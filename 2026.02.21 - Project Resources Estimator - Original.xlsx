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deigratia2-my.sharepoint.com/personal/newton_nbigroup_co_za/Documents/01 SEDGE PRO/Workings/Estimation Module/"/>
    </mc:Choice>
  </mc:AlternateContent>
  <xr:revisionPtr revIDLastSave="283" documentId="8_{4040F686-239D-4C13-AA91-5C6CFD20784D}" xr6:coauthVersionLast="47" xr6:coauthVersionMax="47" xr10:uidLastSave="{2F8AE970-B97F-45AD-9694-D0B13C525F48}"/>
  <bookViews>
    <workbookView xWindow="-110" yWindow="-110" windowWidth="19420" windowHeight="11500" xr2:uid="{0B6434E7-FD1E-4BCA-972A-6A7C90211B8A}"/>
  </bookViews>
  <sheets>
    <sheet name="Baseline BoQ" sheetId="1" r:id="rId1"/>
    <sheet name="Output BoQ" sheetId="2" r:id="rId2"/>
    <sheet name="Trade Code" sheetId="3" r:id="rId3"/>
    <sheet name="Account Code" sheetId="4" r:id="rId4"/>
    <sheet name="Specification Code" sheetId="6" r:id="rId5"/>
    <sheet name="Materials Code" sheetId="5" r:id="rId6"/>
  </sheets>
  <externalReferences>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s>
  <definedNames>
    <definedName name="\0" localSheetId="0">#REF!</definedName>
    <definedName name="\0" localSheetId="1">#REF!</definedName>
    <definedName name="\0" localSheetId="4">#REF!</definedName>
    <definedName name="\0">#REF!</definedName>
    <definedName name="\a" localSheetId="0">#REF!</definedName>
    <definedName name="\a" localSheetId="1">#REF!</definedName>
    <definedName name="\a" localSheetId="4">#REF!</definedName>
    <definedName name="\a">#REF!</definedName>
    <definedName name="\CA" localSheetId="4">#REF!</definedName>
    <definedName name="\CA">#REF!</definedName>
    <definedName name="\CO" localSheetId="4">#REF!</definedName>
    <definedName name="\CO">#REF!</definedName>
    <definedName name="\Convergence">1.79769313486231E+59</definedName>
    <definedName name="\d" localSheetId="0">#REF!</definedName>
    <definedName name="\d" localSheetId="1">#REF!</definedName>
    <definedName name="\d" localSheetId="4">#REF!</definedName>
    <definedName name="\d">#REF!</definedName>
    <definedName name="\e" localSheetId="0">#REF!</definedName>
    <definedName name="\e" localSheetId="1">#REF!</definedName>
    <definedName name="\e" localSheetId="4">#REF!</definedName>
    <definedName name="\e">#REF!</definedName>
    <definedName name="\f" localSheetId="0">#REF!</definedName>
    <definedName name="\f" localSheetId="1">#REF!</definedName>
    <definedName name="\f" localSheetId="4">#REF!</definedName>
    <definedName name="\f">#REF!</definedName>
    <definedName name="\g" localSheetId="4">#REF!</definedName>
    <definedName name="\g">#REF!</definedName>
    <definedName name="\h" localSheetId="4">#REF!</definedName>
    <definedName name="\h">#REF!</definedName>
    <definedName name="\I" localSheetId="4">#REF!</definedName>
    <definedName name="\I">#REF!</definedName>
    <definedName name="\IterationCount">0</definedName>
    <definedName name="\m" localSheetId="4">#REF!</definedName>
    <definedName name="\m">#REF!</definedName>
    <definedName name="\p" localSheetId="4">#REF!</definedName>
    <definedName name="\p">#REF!</definedName>
    <definedName name="\R" localSheetId="4">#REF!</definedName>
    <definedName name="\R">#REF!</definedName>
    <definedName name="\s" localSheetId="4">#REF!</definedName>
    <definedName name="\s">#REF!</definedName>
    <definedName name="\t" localSheetId="4">#REF!</definedName>
    <definedName name="\t">#REF!</definedName>
    <definedName name="\u" localSheetId="4">#REF!</definedName>
    <definedName name="\u">#REF!</definedName>
    <definedName name="\W" localSheetId="4">#REF!</definedName>
    <definedName name="\W">#REF!</definedName>
    <definedName name="\WorstStream">" "</definedName>
    <definedName name="\y" localSheetId="0">#REF!</definedName>
    <definedName name="\y" localSheetId="1">#REF!</definedName>
    <definedName name="\y" localSheetId="4">#REF!</definedName>
    <definedName name="\y">#REF!</definedName>
    <definedName name="______ccr1" localSheetId="4" hidden="1">{#N/A,#N/A,TRUE,"Cover";#N/A,#N/A,TRUE,"Conts";#N/A,#N/A,TRUE,"VOS";#N/A,#N/A,TRUE,"Warrington";#N/A,#N/A,TRUE,"Widnes"}</definedName>
    <definedName name="______ccr1" hidden="1">{#N/A,#N/A,TRUE,"Cover";#N/A,#N/A,TRUE,"Conts";#N/A,#N/A,TRUE,"VOS";#N/A,#N/A,TRUE,"Warrington";#N/A,#N/A,TRUE,"Widnes"}</definedName>
    <definedName name="_____T2" localSheetId="0">#REF!</definedName>
    <definedName name="_____T2" localSheetId="1">#REF!</definedName>
    <definedName name="_____T2" localSheetId="4">#REF!</definedName>
    <definedName name="_____T2">#REF!</definedName>
    <definedName name="____aux10" localSheetId="0">#REF!</definedName>
    <definedName name="____aux10" localSheetId="1">#REF!</definedName>
    <definedName name="____aux10" localSheetId="4">#REF!</definedName>
    <definedName name="____aux10">#REF!</definedName>
    <definedName name="____aux3" localSheetId="0">#REF!</definedName>
    <definedName name="____aux3" localSheetId="1">#REF!</definedName>
    <definedName name="____aux3" localSheetId="4">#REF!</definedName>
    <definedName name="____aux3">#REF!</definedName>
    <definedName name="____aux5" localSheetId="4">#REF!</definedName>
    <definedName name="____aux5">#REF!</definedName>
    <definedName name="____aux7" localSheetId="4">#REF!</definedName>
    <definedName name="____aux7">#REF!</definedName>
    <definedName name="____CAT07" localSheetId="0">#REF!</definedName>
    <definedName name="____CAT07" localSheetId="1">#REF!</definedName>
    <definedName name="____CAT07" localSheetId="4">#REF!</definedName>
    <definedName name="____CAT07">#REF!</definedName>
    <definedName name="____CAT12" localSheetId="0">#REF!</definedName>
    <definedName name="____CAT12" localSheetId="1">#REF!</definedName>
    <definedName name="____CAT12" localSheetId="4">#REF!</definedName>
    <definedName name="____CAT12">#REF!</definedName>
    <definedName name="____CAT21" localSheetId="0">#REF!</definedName>
    <definedName name="____CAT21" localSheetId="1">#REF!</definedName>
    <definedName name="____CAT21" localSheetId="4">#REF!</definedName>
    <definedName name="____CAT21">#REF!</definedName>
    <definedName name="____CAT22" localSheetId="0">#REF!</definedName>
    <definedName name="____CAT22" localSheetId="1">#REF!</definedName>
    <definedName name="____CAT22" localSheetId="4">#REF!</definedName>
    <definedName name="____CAT22">#REF!</definedName>
    <definedName name="____CAT31" localSheetId="0">#REF!</definedName>
    <definedName name="____CAT31" localSheetId="1">#REF!</definedName>
    <definedName name="____CAT31" localSheetId="4">#REF!</definedName>
    <definedName name="____CAT31">#REF!</definedName>
    <definedName name="____CAT33" localSheetId="0">#REF!</definedName>
    <definedName name="____CAT33" localSheetId="1">#REF!</definedName>
    <definedName name="____CAT33" localSheetId="4">#REF!</definedName>
    <definedName name="____CAT33">#REF!</definedName>
    <definedName name="____CAT34" localSheetId="0">#REF!</definedName>
    <definedName name="____CAT34" localSheetId="1">#REF!</definedName>
    <definedName name="____CAT34" localSheetId="4">#REF!</definedName>
    <definedName name="____CAT34">#REF!</definedName>
    <definedName name="____CAT35" localSheetId="0">#REF!</definedName>
    <definedName name="____CAT35" localSheetId="1">#REF!</definedName>
    <definedName name="____CAT35" localSheetId="4">#REF!</definedName>
    <definedName name="____CAT35">#REF!</definedName>
    <definedName name="____CAT36" localSheetId="0">#REF!</definedName>
    <definedName name="____CAT36" localSheetId="1">#REF!</definedName>
    <definedName name="____CAT36" localSheetId="4">#REF!</definedName>
    <definedName name="____CAT36">#REF!</definedName>
    <definedName name="____CAT39" localSheetId="0">#REF!</definedName>
    <definedName name="____CAT39" localSheetId="1">#REF!</definedName>
    <definedName name="____CAT39" localSheetId="4">#REF!</definedName>
    <definedName name="____CAT39">#REF!</definedName>
    <definedName name="____CAT42" localSheetId="0">#REF!</definedName>
    <definedName name="____CAT42" localSheetId="1">#REF!</definedName>
    <definedName name="____CAT42" localSheetId="4">#REF!</definedName>
    <definedName name="____CAT42">#REF!</definedName>
    <definedName name="____CAT43" localSheetId="0">#REF!</definedName>
    <definedName name="____CAT43" localSheetId="1">#REF!</definedName>
    <definedName name="____CAT43" localSheetId="4">#REF!</definedName>
    <definedName name="____CAT43">#REF!</definedName>
    <definedName name="____CAT45" localSheetId="0">#REF!</definedName>
    <definedName name="____CAT45" localSheetId="1">#REF!</definedName>
    <definedName name="____CAT45" localSheetId="4">#REF!</definedName>
    <definedName name="____CAT45">#REF!</definedName>
    <definedName name="____CAT46" localSheetId="0">#REF!</definedName>
    <definedName name="____CAT46" localSheetId="1">#REF!</definedName>
    <definedName name="____CAT46" localSheetId="4">#REF!</definedName>
    <definedName name="____CAT46">#REF!</definedName>
    <definedName name="____CAT48" localSheetId="0">#REF!</definedName>
    <definedName name="____CAT48" localSheetId="1">#REF!</definedName>
    <definedName name="____CAT48" localSheetId="4">#REF!</definedName>
    <definedName name="____CAT48">#REF!</definedName>
    <definedName name="____CAT49" localSheetId="0">#REF!</definedName>
    <definedName name="____CAT49" localSheetId="1">#REF!</definedName>
    <definedName name="____CAT49" localSheetId="4">#REF!</definedName>
    <definedName name="____CAT49">#REF!</definedName>
    <definedName name="____CAT52" localSheetId="0">#REF!</definedName>
    <definedName name="____CAT52" localSheetId="1">#REF!</definedName>
    <definedName name="____CAT52" localSheetId="4">#REF!</definedName>
    <definedName name="____CAT52">#REF!</definedName>
    <definedName name="____CAT53" localSheetId="0">#REF!</definedName>
    <definedName name="____CAT53" localSheetId="1">#REF!</definedName>
    <definedName name="____CAT53" localSheetId="4">#REF!</definedName>
    <definedName name="____CAT53">#REF!</definedName>
    <definedName name="____CAT54" localSheetId="0">#REF!</definedName>
    <definedName name="____CAT54" localSheetId="1">#REF!</definedName>
    <definedName name="____CAT54" localSheetId="4">#REF!</definedName>
    <definedName name="____CAT54">#REF!</definedName>
    <definedName name="____CAT55" localSheetId="0">#REF!</definedName>
    <definedName name="____CAT55" localSheetId="1">#REF!</definedName>
    <definedName name="____CAT55" localSheetId="4">#REF!</definedName>
    <definedName name="____CAT55">#REF!</definedName>
    <definedName name="____CAT82" localSheetId="0">#REF!</definedName>
    <definedName name="____CAT82" localSheetId="1">#REF!</definedName>
    <definedName name="____CAT82" localSheetId="4">#REF!</definedName>
    <definedName name="____CAT82">#REF!</definedName>
    <definedName name="____CAT84" localSheetId="0">#REF!</definedName>
    <definedName name="____CAT84" localSheetId="1">#REF!</definedName>
    <definedName name="____CAT84" localSheetId="4">#REF!</definedName>
    <definedName name="____CAT84">#REF!</definedName>
    <definedName name="____Inc1" localSheetId="0">#REF!</definedName>
    <definedName name="____Inc1" localSheetId="1">#REF!</definedName>
    <definedName name="____Inc1" localSheetId="4">#REF!</definedName>
    <definedName name="____Inc1">#REF!</definedName>
    <definedName name="____Int1" localSheetId="0">#REF!</definedName>
    <definedName name="____Int1" localSheetId="1">#REF!</definedName>
    <definedName name="____Int1" localSheetId="4">#REF!</definedName>
    <definedName name="____Int1">#REF!</definedName>
    <definedName name="____Int2" localSheetId="4">#REF!</definedName>
    <definedName name="____Int2">#REF!</definedName>
    <definedName name="____irr1" localSheetId="4">#REF!</definedName>
    <definedName name="____irr1">#REF!</definedName>
    <definedName name="____irr10" localSheetId="4">#REF!</definedName>
    <definedName name="____irr10">#REF!</definedName>
    <definedName name="____irr2" localSheetId="4">#REF!</definedName>
    <definedName name="____irr2">#REF!</definedName>
    <definedName name="____irr3" localSheetId="4">#REF!</definedName>
    <definedName name="____irr3">#REF!</definedName>
    <definedName name="____irr5" localSheetId="4">#REF!</definedName>
    <definedName name="____irr5">#REF!</definedName>
    <definedName name="____irr7" localSheetId="4">#REF!</definedName>
    <definedName name="____irr7">#REF!</definedName>
    <definedName name="____let1" localSheetId="4">#REF!</definedName>
    <definedName name="____let1">#REF!</definedName>
    <definedName name="____ncv1" localSheetId="4">#REF!</definedName>
    <definedName name="____ncv1">#REF!</definedName>
    <definedName name="____ncv10" localSheetId="4">#REF!</definedName>
    <definedName name="____ncv10">#REF!</definedName>
    <definedName name="____ncv101" localSheetId="4">#REF!</definedName>
    <definedName name="____ncv101">#REF!</definedName>
    <definedName name="____ncv1011" localSheetId="4">#REF!</definedName>
    <definedName name="____ncv1011">#REF!</definedName>
    <definedName name="____ncv102" localSheetId="4">#REF!</definedName>
    <definedName name="____ncv102">#REF!</definedName>
    <definedName name="____ncv103" localSheetId="4">#REF!</definedName>
    <definedName name="____ncv103">#REF!</definedName>
    <definedName name="____ncv105" localSheetId="4">#REF!</definedName>
    <definedName name="____ncv105">#REF!</definedName>
    <definedName name="____ncv2" localSheetId="4">#REF!</definedName>
    <definedName name="____ncv2">#REF!</definedName>
    <definedName name="____ncv3" localSheetId="4">#REF!</definedName>
    <definedName name="____ncv3">#REF!</definedName>
    <definedName name="____ncv5" localSheetId="4">#REF!</definedName>
    <definedName name="____ncv5">#REF!</definedName>
    <definedName name="____ord1" localSheetId="4">#REF!</definedName>
    <definedName name="____ord1">#REF!</definedName>
    <definedName name="____ord2" localSheetId="4">#REF!</definedName>
    <definedName name="____ord2">#REF!</definedName>
    <definedName name="____ord3" localSheetId="4">#REF!</definedName>
    <definedName name="____ord3">#REF!</definedName>
    <definedName name="____ord4" localSheetId="4">#REF!</definedName>
    <definedName name="____ord4">#REF!</definedName>
    <definedName name="____QTY07" localSheetId="0">#REF!</definedName>
    <definedName name="____QTY07" localSheetId="1">#REF!</definedName>
    <definedName name="____QTY07" localSheetId="4">#REF!</definedName>
    <definedName name="____QTY07">#REF!</definedName>
    <definedName name="____QTY12" localSheetId="0">#REF!</definedName>
    <definedName name="____QTY12" localSheetId="1">#REF!</definedName>
    <definedName name="____QTY12" localSheetId="4">#REF!</definedName>
    <definedName name="____QTY12">#REF!</definedName>
    <definedName name="____QTY21" localSheetId="0">#REF!</definedName>
    <definedName name="____QTY21" localSheetId="1">#REF!</definedName>
    <definedName name="____QTY21" localSheetId="4">#REF!</definedName>
    <definedName name="____QTY21">#REF!</definedName>
    <definedName name="____QTY22" localSheetId="0">#REF!</definedName>
    <definedName name="____QTY22" localSheetId="1">#REF!</definedName>
    <definedName name="____QTY22" localSheetId="4">#REF!</definedName>
    <definedName name="____QTY22">#REF!</definedName>
    <definedName name="____QTY33" localSheetId="0">#REF!</definedName>
    <definedName name="____QTY33" localSheetId="1">#REF!</definedName>
    <definedName name="____QTY33" localSheetId="4">#REF!</definedName>
    <definedName name="____QTY33">#REF!</definedName>
    <definedName name="____QTY34" localSheetId="0">#REF!</definedName>
    <definedName name="____QTY34" localSheetId="1">#REF!</definedName>
    <definedName name="____QTY34" localSheetId="4">#REF!</definedName>
    <definedName name="____QTY34">#REF!</definedName>
    <definedName name="____QTY35" localSheetId="0">#REF!</definedName>
    <definedName name="____QTY35" localSheetId="1">#REF!</definedName>
    <definedName name="____QTY35" localSheetId="4">#REF!</definedName>
    <definedName name="____QTY35">#REF!</definedName>
    <definedName name="____QTY36" localSheetId="0">#REF!</definedName>
    <definedName name="____QTY36" localSheetId="1">#REF!</definedName>
    <definedName name="____QTY36" localSheetId="4">#REF!</definedName>
    <definedName name="____QTY36">#REF!</definedName>
    <definedName name="____QTY39" localSheetId="0">#REF!</definedName>
    <definedName name="____QTY39" localSheetId="1">#REF!</definedName>
    <definedName name="____QTY39" localSheetId="4">#REF!</definedName>
    <definedName name="____QTY39">#REF!</definedName>
    <definedName name="____QTY42" localSheetId="0">#REF!</definedName>
    <definedName name="____QTY42" localSheetId="1">#REF!</definedName>
    <definedName name="____QTY42" localSheetId="4">#REF!</definedName>
    <definedName name="____QTY42">#REF!</definedName>
    <definedName name="____QTY43" localSheetId="0">#REF!</definedName>
    <definedName name="____QTY43" localSheetId="1">#REF!</definedName>
    <definedName name="____QTY43" localSheetId="4">#REF!</definedName>
    <definedName name="____QTY43">#REF!</definedName>
    <definedName name="____QTY45" localSheetId="0">#REF!</definedName>
    <definedName name="____QTY45" localSheetId="1">#REF!</definedName>
    <definedName name="____QTY45" localSheetId="4">#REF!</definedName>
    <definedName name="____QTY45">#REF!</definedName>
    <definedName name="____QTY46" localSheetId="0">#REF!</definedName>
    <definedName name="____QTY46" localSheetId="1">#REF!</definedName>
    <definedName name="____QTY46" localSheetId="4">#REF!</definedName>
    <definedName name="____QTY46">#REF!</definedName>
    <definedName name="____QTY48" localSheetId="0">#REF!</definedName>
    <definedName name="____QTY48" localSheetId="1">#REF!</definedName>
    <definedName name="____QTY48" localSheetId="4">#REF!</definedName>
    <definedName name="____QTY48">#REF!</definedName>
    <definedName name="____QTY49" localSheetId="0">#REF!</definedName>
    <definedName name="____QTY49" localSheetId="1">#REF!</definedName>
    <definedName name="____QTY49" localSheetId="4">#REF!</definedName>
    <definedName name="____QTY49">#REF!</definedName>
    <definedName name="____QTY52" localSheetId="0">#REF!</definedName>
    <definedName name="____QTY52" localSheetId="1">#REF!</definedName>
    <definedName name="____QTY52" localSheetId="4">#REF!</definedName>
    <definedName name="____QTY52">#REF!</definedName>
    <definedName name="____QTY53" localSheetId="0">#REF!</definedName>
    <definedName name="____QTY53" localSheetId="1">#REF!</definedName>
    <definedName name="____QTY53" localSheetId="4">#REF!</definedName>
    <definedName name="____QTY53">#REF!</definedName>
    <definedName name="____QTY54" localSheetId="0">#REF!</definedName>
    <definedName name="____QTY54" localSheetId="1">#REF!</definedName>
    <definedName name="____QTY54" localSheetId="4">#REF!</definedName>
    <definedName name="____QTY54">#REF!</definedName>
    <definedName name="____QTY55" localSheetId="0">#REF!</definedName>
    <definedName name="____QTY55" localSheetId="1">#REF!</definedName>
    <definedName name="____QTY55" localSheetId="4">#REF!</definedName>
    <definedName name="____QTY55">#REF!</definedName>
    <definedName name="____QTY82" localSheetId="0">#REF!</definedName>
    <definedName name="____QTY82" localSheetId="1">#REF!</definedName>
    <definedName name="____QTY82" localSheetId="4">#REF!</definedName>
    <definedName name="____QTY82">#REF!</definedName>
    <definedName name="____QTY84" localSheetId="0">#REF!</definedName>
    <definedName name="____QTY84" localSheetId="1">#REF!</definedName>
    <definedName name="____QTY84" localSheetId="4">#REF!</definedName>
    <definedName name="____QTY84">#REF!</definedName>
    <definedName name="____RR1" localSheetId="0">#REF!</definedName>
    <definedName name="____RR1" localSheetId="1">#REF!</definedName>
    <definedName name="____RR1" localSheetId="4">#REF!</definedName>
    <definedName name="____RR1">#REF!</definedName>
    <definedName name="____rs101" localSheetId="0">#REF!</definedName>
    <definedName name="____rs101" localSheetId="1">#REF!</definedName>
    <definedName name="____rs101" localSheetId="4">#REF!</definedName>
    <definedName name="____rs101">#REF!</definedName>
    <definedName name="____rs1010" localSheetId="4">#REF!</definedName>
    <definedName name="____rs1010">#REF!</definedName>
    <definedName name="____rs102" localSheetId="4">#REF!</definedName>
    <definedName name="____rs102">#REF!</definedName>
    <definedName name="____rs103" localSheetId="4">#REF!</definedName>
    <definedName name="____rs103">#REF!</definedName>
    <definedName name="____rs105" localSheetId="4">#REF!</definedName>
    <definedName name="____rs105">#REF!</definedName>
    <definedName name="____rs11" localSheetId="4">#REF!</definedName>
    <definedName name="____rs11">#REF!</definedName>
    <definedName name="____rs110" localSheetId="4">#REF!</definedName>
    <definedName name="____rs110">#REF!</definedName>
    <definedName name="____rs111" localSheetId="4">#REF!</definedName>
    <definedName name="____rs111">#REF!</definedName>
    <definedName name="____rs1110" localSheetId="4">#REF!</definedName>
    <definedName name="____rs1110">#REF!</definedName>
    <definedName name="____rs112" localSheetId="4">#REF!</definedName>
    <definedName name="____rs112">#REF!</definedName>
    <definedName name="____rs113" localSheetId="4">#REF!</definedName>
    <definedName name="____rs113">#REF!</definedName>
    <definedName name="____rs115" localSheetId="4">#REF!</definedName>
    <definedName name="____rs115">#REF!</definedName>
    <definedName name="____rs12" localSheetId="4">#REF!</definedName>
    <definedName name="____rs12">#REF!</definedName>
    <definedName name="____rs121" localSheetId="4">#REF!</definedName>
    <definedName name="____rs121">#REF!</definedName>
    <definedName name="____rs1210" localSheetId="4">#REF!</definedName>
    <definedName name="____rs1210">#REF!</definedName>
    <definedName name="____rs122" localSheetId="4">#REF!</definedName>
    <definedName name="____rs122">#REF!</definedName>
    <definedName name="____rs123" localSheetId="4">#REF!</definedName>
    <definedName name="____rs123">#REF!</definedName>
    <definedName name="____rs125" localSheetId="4">#REF!</definedName>
    <definedName name="____rs125">#REF!</definedName>
    <definedName name="____rs13" localSheetId="4">#REF!</definedName>
    <definedName name="____rs13">#REF!</definedName>
    <definedName name="____rs131" localSheetId="4">#REF!</definedName>
    <definedName name="____rs131">#REF!</definedName>
    <definedName name="____rs1310" localSheetId="4">#REF!</definedName>
    <definedName name="____rs1310">#REF!</definedName>
    <definedName name="____rs132" localSheetId="4">#REF!</definedName>
    <definedName name="____rs132">#REF!</definedName>
    <definedName name="____rs133" localSheetId="4">#REF!</definedName>
    <definedName name="____rs133">#REF!</definedName>
    <definedName name="____rs135" localSheetId="4">#REF!</definedName>
    <definedName name="____rs135">#REF!</definedName>
    <definedName name="____rs141" localSheetId="4">#REF!</definedName>
    <definedName name="____rs141">#REF!</definedName>
    <definedName name="____rs1410" localSheetId="4">#REF!</definedName>
    <definedName name="____rs1410">#REF!</definedName>
    <definedName name="____rs142" localSheetId="4">#REF!</definedName>
    <definedName name="____rs142">#REF!</definedName>
    <definedName name="____rs143" localSheetId="4">#REF!</definedName>
    <definedName name="____rs143">#REF!</definedName>
    <definedName name="____rs145" localSheetId="4">#REF!</definedName>
    <definedName name="____rs145">#REF!</definedName>
    <definedName name="____rs15" localSheetId="4">#REF!</definedName>
    <definedName name="____rs15">#REF!</definedName>
    <definedName name="____rs151" localSheetId="4">#REF!</definedName>
    <definedName name="____rs151">#REF!</definedName>
    <definedName name="____rs1510" localSheetId="4">#REF!</definedName>
    <definedName name="____rs1510">#REF!</definedName>
    <definedName name="____rs152" localSheetId="4">#REF!</definedName>
    <definedName name="____rs152">#REF!</definedName>
    <definedName name="____rs153" localSheetId="4">#REF!</definedName>
    <definedName name="____rs153">#REF!</definedName>
    <definedName name="____rs155" localSheetId="4">#REF!</definedName>
    <definedName name="____rs155">#REF!</definedName>
    <definedName name="____rs161" localSheetId="4">#REF!</definedName>
    <definedName name="____rs161">#REF!</definedName>
    <definedName name="____rs1610" localSheetId="4">#REF!</definedName>
    <definedName name="____rs1610">#REF!</definedName>
    <definedName name="____rs162" localSheetId="4">#REF!</definedName>
    <definedName name="____rs162">#REF!</definedName>
    <definedName name="____rs163" localSheetId="4">#REF!</definedName>
    <definedName name="____rs163">#REF!</definedName>
    <definedName name="____rs165" localSheetId="4">#REF!</definedName>
    <definedName name="____rs165">#REF!</definedName>
    <definedName name="____rs171" localSheetId="4">#REF!</definedName>
    <definedName name="____rs171">#REF!</definedName>
    <definedName name="____rs1710" localSheetId="4">#REF!</definedName>
    <definedName name="____rs1710">#REF!</definedName>
    <definedName name="____rs172" localSheetId="4">#REF!</definedName>
    <definedName name="____rs172">#REF!</definedName>
    <definedName name="____rs173" localSheetId="4">#REF!</definedName>
    <definedName name="____rs173">#REF!</definedName>
    <definedName name="____rs175" localSheetId="4">#REF!</definedName>
    <definedName name="____rs175">#REF!</definedName>
    <definedName name="____rs181" localSheetId="4">#REF!</definedName>
    <definedName name="____rs181">#REF!</definedName>
    <definedName name="____rs1810" localSheetId="4">#REF!</definedName>
    <definedName name="____rs1810">#REF!</definedName>
    <definedName name="____rs182" localSheetId="4">#REF!</definedName>
    <definedName name="____rs182">#REF!</definedName>
    <definedName name="____rs183" localSheetId="4">#REF!</definedName>
    <definedName name="____rs183">#REF!</definedName>
    <definedName name="____rs185" localSheetId="4">#REF!</definedName>
    <definedName name="____rs185">#REF!</definedName>
    <definedName name="____rs191" localSheetId="4">#REF!</definedName>
    <definedName name="____rs191">#REF!</definedName>
    <definedName name="____rs1910" localSheetId="4">#REF!</definedName>
    <definedName name="____rs1910">#REF!</definedName>
    <definedName name="____rs192" localSheetId="4">#REF!</definedName>
    <definedName name="____rs192">#REF!</definedName>
    <definedName name="____rs193" localSheetId="4">#REF!</definedName>
    <definedName name="____rs193">#REF!</definedName>
    <definedName name="____rs195" localSheetId="4">#REF!</definedName>
    <definedName name="____rs195">#REF!</definedName>
    <definedName name="____rs201" localSheetId="4">#REF!</definedName>
    <definedName name="____rs201">#REF!</definedName>
    <definedName name="____rs2010" localSheetId="4">#REF!</definedName>
    <definedName name="____rs2010">#REF!</definedName>
    <definedName name="____rs202" localSheetId="4">#REF!</definedName>
    <definedName name="____rs202">#REF!</definedName>
    <definedName name="____rs203" localSheetId="4">#REF!</definedName>
    <definedName name="____rs203">#REF!</definedName>
    <definedName name="____rs205" localSheetId="4">#REF!</definedName>
    <definedName name="____rs205">#REF!</definedName>
    <definedName name="____rs21" localSheetId="4">#REF!</definedName>
    <definedName name="____rs21">#REF!</definedName>
    <definedName name="____rs210" localSheetId="4">#REF!</definedName>
    <definedName name="____rs210">#REF!</definedName>
    <definedName name="____rs211" localSheetId="4">#REF!</definedName>
    <definedName name="____rs211">#REF!</definedName>
    <definedName name="____rs2110" localSheetId="4">#REF!</definedName>
    <definedName name="____rs2110">#REF!</definedName>
    <definedName name="____rs212" localSheetId="4">#REF!</definedName>
    <definedName name="____rs212">#REF!</definedName>
    <definedName name="____rs213" localSheetId="4">#REF!</definedName>
    <definedName name="____rs213">#REF!</definedName>
    <definedName name="____rs215" localSheetId="4">#REF!</definedName>
    <definedName name="____rs215">#REF!</definedName>
    <definedName name="____rs22" localSheetId="4">#REF!</definedName>
    <definedName name="____rs22">#REF!</definedName>
    <definedName name="____rs221" localSheetId="4">#REF!</definedName>
    <definedName name="____rs221">#REF!</definedName>
    <definedName name="____rs2210" localSheetId="4">#REF!</definedName>
    <definedName name="____rs2210">#REF!</definedName>
    <definedName name="____rs222" localSheetId="4">#REF!</definedName>
    <definedName name="____rs222">#REF!</definedName>
    <definedName name="____rs223" localSheetId="4">#REF!</definedName>
    <definedName name="____rs223">#REF!</definedName>
    <definedName name="____rs225" localSheetId="4">#REF!</definedName>
    <definedName name="____rs225">#REF!</definedName>
    <definedName name="____rs23" localSheetId="4">#REF!</definedName>
    <definedName name="____rs23">#REF!</definedName>
    <definedName name="____rs231" localSheetId="4">#REF!</definedName>
    <definedName name="____rs231">#REF!</definedName>
    <definedName name="____rs2310" localSheetId="4">#REF!</definedName>
    <definedName name="____rs2310">#REF!</definedName>
    <definedName name="____rs232" localSheetId="4">#REF!</definedName>
    <definedName name="____rs232">#REF!</definedName>
    <definedName name="____rs233" localSheetId="4">#REF!</definedName>
    <definedName name="____rs233">#REF!</definedName>
    <definedName name="____rs235" localSheetId="4">#REF!</definedName>
    <definedName name="____rs235">#REF!</definedName>
    <definedName name="____rs241" localSheetId="4">#REF!</definedName>
    <definedName name="____rs241">#REF!</definedName>
    <definedName name="____rs2410" localSheetId="4">#REF!</definedName>
    <definedName name="____rs2410">#REF!</definedName>
    <definedName name="____rs242" localSheetId="4">#REF!</definedName>
    <definedName name="____rs242">#REF!</definedName>
    <definedName name="____rs243" localSheetId="4">#REF!</definedName>
    <definedName name="____rs243">#REF!</definedName>
    <definedName name="____rs245" localSheetId="4">#REF!</definedName>
    <definedName name="____rs245">#REF!</definedName>
    <definedName name="____rs25" localSheetId="4">#REF!</definedName>
    <definedName name="____rs25">#REF!</definedName>
    <definedName name="____rs251" localSheetId="4">#REF!</definedName>
    <definedName name="____rs251">#REF!</definedName>
    <definedName name="____rs2510" localSheetId="4">#REF!</definedName>
    <definedName name="____rs2510">#REF!</definedName>
    <definedName name="____rs252" localSheetId="4">#REF!</definedName>
    <definedName name="____rs252">#REF!</definedName>
    <definedName name="____rs253" localSheetId="4">#REF!</definedName>
    <definedName name="____rs253">#REF!</definedName>
    <definedName name="____rs255" localSheetId="4">#REF!</definedName>
    <definedName name="____rs255">#REF!</definedName>
    <definedName name="____rs31" localSheetId="4">#REF!</definedName>
    <definedName name="____rs31">#REF!</definedName>
    <definedName name="____rs310" localSheetId="4">#REF!</definedName>
    <definedName name="____rs310">#REF!</definedName>
    <definedName name="____rs32" localSheetId="4">#REF!</definedName>
    <definedName name="____rs32">#REF!</definedName>
    <definedName name="____rs33" localSheetId="4">#REF!</definedName>
    <definedName name="____rs33">#REF!</definedName>
    <definedName name="____rs35" localSheetId="4">#REF!</definedName>
    <definedName name="____rs35">#REF!</definedName>
    <definedName name="____rs41" localSheetId="4">#REF!</definedName>
    <definedName name="____rs41">#REF!</definedName>
    <definedName name="____rs410" localSheetId="4">#REF!</definedName>
    <definedName name="____rs410">#REF!</definedName>
    <definedName name="____rs42" localSheetId="4">#REF!</definedName>
    <definedName name="____rs42">#REF!</definedName>
    <definedName name="____rs43" localSheetId="4">#REF!</definedName>
    <definedName name="____rs43">#REF!</definedName>
    <definedName name="____rs45" localSheetId="4">#REF!</definedName>
    <definedName name="____rs45">#REF!</definedName>
    <definedName name="____rs51" localSheetId="4">#REF!</definedName>
    <definedName name="____rs51">#REF!</definedName>
    <definedName name="____rs510" localSheetId="4">#REF!</definedName>
    <definedName name="____rs510">#REF!</definedName>
    <definedName name="____rs52" localSheetId="4">#REF!</definedName>
    <definedName name="____rs52">#REF!</definedName>
    <definedName name="____rs53" localSheetId="4">#REF!</definedName>
    <definedName name="____rs53">#REF!</definedName>
    <definedName name="____rs55" localSheetId="4">#REF!</definedName>
    <definedName name="____rs55">#REF!</definedName>
    <definedName name="____rs61" localSheetId="4">#REF!</definedName>
    <definedName name="____rs61">#REF!</definedName>
    <definedName name="____rs610" localSheetId="4">#REF!</definedName>
    <definedName name="____rs610">#REF!</definedName>
    <definedName name="____rs62" localSheetId="4">#REF!</definedName>
    <definedName name="____rs62">#REF!</definedName>
    <definedName name="____rs63" localSheetId="4">#REF!</definedName>
    <definedName name="____rs63">#REF!</definedName>
    <definedName name="____rs65" localSheetId="4">#REF!</definedName>
    <definedName name="____rs65">#REF!</definedName>
    <definedName name="____rs71" localSheetId="4">#REF!</definedName>
    <definedName name="____rs71">#REF!</definedName>
    <definedName name="____rs710" localSheetId="4">#REF!</definedName>
    <definedName name="____rs710">#REF!</definedName>
    <definedName name="____rs72" localSheetId="4">#REF!</definedName>
    <definedName name="____rs72">#REF!</definedName>
    <definedName name="____rs73" localSheetId="4">#REF!</definedName>
    <definedName name="____rs73">#REF!</definedName>
    <definedName name="____rs75" localSheetId="4">#REF!</definedName>
    <definedName name="____rs75">#REF!</definedName>
    <definedName name="____rs81" localSheetId="4">#REF!</definedName>
    <definedName name="____rs81">#REF!</definedName>
    <definedName name="____rs810" localSheetId="4">#REF!</definedName>
    <definedName name="____rs810">#REF!</definedName>
    <definedName name="____rs82" localSheetId="4">#REF!</definedName>
    <definedName name="____rs82">#REF!</definedName>
    <definedName name="____rs83" localSheetId="4">#REF!</definedName>
    <definedName name="____rs83">#REF!</definedName>
    <definedName name="____rs85" localSheetId="4">#REF!</definedName>
    <definedName name="____rs85">#REF!</definedName>
    <definedName name="____rs91" localSheetId="4">#REF!</definedName>
    <definedName name="____rs91">#REF!</definedName>
    <definedName name="____rs910" localSheetId="4">#REF!</definedName>
    <definedName name="____rs910">#REF!</definedName>
    <definedName name="____rs92" localSheetId="4">#REF!</definedName>
    <definedName name="____rs92">#REF!</definedName>
    <definedName name="____rs93" localSheetId="4">#REF!</definedName>
    <definedName name="____rs93">#REF!</definedName>
    <definedName name="____rs95" localSheetId="4">#REF!</definedName>
    <definedName name="____rs95">#REF!</definedName>
    <definedName name="____sc1" localSheetId="4">#REF!</definedName>
    <definedName name="____sc1">#REF!</definedName>
    <definedName name="____T2" localSheetId="0">#REF!</definedName>
    <definedName name="____T2" localSheetId="1">#REF!</definedName>
    <definedName name="____T2" localSheetId="4">#REF!</definedName>
    <definedName name="____T2">#REF!</definedName>
    <definedName name="____tdp1" localSheetId="0">#REF!</definedName>
    <definedName name="____tdp1" localSheetId="1">#REF!</definedName>
    <definedName name="____tdp1" localSheetId="4">#REF!</definedName>
    <definedName name="____tdp1">#REF!</definedName>
    <definedName name="____ubr1" localSheetId="0">#REF!</definedName>
    <definedName name="____ubr1" localSheetId="1">#REF!</definedName>
    <definedName name="____ubr1" localSheetId="4">#REF!</definedName>
    <definedName name="____ubr1">#REF!</definedName>
    <definedName name="___aux10" localSheetId="4">#REF!</definedName>
    <definedName name="___aux10">#REF!</definedName>
    <definedName name="___aux3" localSheetId="4">#REF!</definedName>
    <definedName name="___aux3">#REF!</definedName>
    <definedName name="___aux5" localSheetId="4">#REF!</definedName>
    <definedName name="___aux5">#REF!</definedName>
    <definedName name="___aux7" localSheetId="4">#REF!</definedName>
    <definedName name="___aux7">#REF!</definedName>
    <definedName name="___CAT07" localSheetId="0">#REF!</definedName>
    <definedName name="___CAT07" localSheetId="1">#REF!</definedName>
    <definedName name="___CAT07">[2]Equip!#REF!</definedName>
    <definedName name="___CAT12" localSheetId="0">#REF!</definedName>
    <definedName name="___CAT12" localSheetId="1">#REF!</definedName>
    <definedName name="___CAT12">[2]Equip!#REF!</definedName>
    <definedName name="___CAT21" localSheetId="0">#REF!</definedName>
    <definedName name="___CAT21" localSheetId="1">#REF!</definedName>
    <definedName name="___CAT21">[2]Equip!#REF!</definedName>
    <definedName name="___CAT22" localSheetId="0">#REF!</definedName>
    <definedName name="___CAT22" localSheetId="1">#REF!</definedName>
    <definedName name="___CAT22">[2]Equip!#REF!</definedName>
    <definedName name="___CAT31" localSheetId="0">#REF!</definedName>
    <definedName name="___CAT31" localSheetId="1">#REF!</definedName>
    <definedName name="___CAT31">[2]Equip!#REF!</definedName>
    <definedName name="___CAT33" localSheetId="0">#REF!</definedName>
    <definedName name="___CAT33" localSheetId="1">#REF!</definedName>
    <definedName name="___CAT33">[2]Equip!#REF!</definedName>
    <definedName name="___CAT34" localSheetId="0">#REF!</definedName>
    <definedName name="___CAT34" localSheetId="1">#REF!</definedName>
    <definedName name="___CAT34">[2]Equip!#REF!</definedName>
    <definedName name="___CAT35" localSheetId="0">#REF!</definedName>
    <definedName name="___CAT35" localSheetId="1">#REF!</definedName>
    <definedName name="___CAT35">[2]Equip!#REF!</definedName>
    <definedName name="___CAT36" localSheetId="0">#REF!</definedName>
    <definedName name="___CAT36" localSheetId="1">#REF!</definedName>
    <definedName name="___CAT36">[2]Equip!#REF!</definedName>
    <definedName name="___CAT39" localSheetId="0">#REF!</definedName>
    <definedName name="___CAT39" localSheetId="1">#REF!</definedName>
    <definedName name="___CAT39">[2]Equip!#REF!</definedName>
    <definedName name="___CAT42" localSheetId="0">#REF!</definedName>
    <definedName name="___CAT42" localSheetId="1">#REF!</definedName>
    <definedName name="___CAT42">[2]Equip!#REF!</definedName>
    <definedName name="___CAT43" localSheetId="0">#REF!</definedName>
    <definedName name="___CAT43" localSheetId="1">#REF!</definedName>
    <definedName name="___CAT43">[2]Equip!#REF!</definedName>
    <definedName name="___CAT45" localSheetId="0">#REF!</definedName>
    <definedName name="___CAT45" localSheetId="1">#REF!</definedName>
    <definedName name="___CAT45">[2]Equip!#REF!</definedName>
    <definedName name="___CAT46" localSheetId="0">#REF!</definedName>
    <definedName name="___CAT46" localSheetId="1">#REF!</definedName>
    <definedName name="___CAT46">[2]Equip!#REF!</definedName>
    <definedName name="___CAT48" localSheetId="0">#REF!</definedName>
    <definedName name="___CAT48" localSheetId="1">#REF!</definedName>
    <definedName name="___CAT48">[2]Equip!#REF!</definedName>
    <definedName name="___CAT49" localSheetId="0">#REF!</definedName>
    <definedName name="___CAT49" localSheetId="1">#REF!</definedName>
    <definedName name="___CAT49">[2]Equip!#REF!</definedName>
    <definedName name="___CAT52" localSheetId="0">#REF!</definedName>
    <definedName name="___CAT52" localSheetId="1">#REF!</definedName>
    <definedName name="___CAT52">[2]Equip!#REF!</definedName>
    <definedName name="___CAT53" localSheetId="0">#REF!</definedName>
    <definedName name="___CAT53" localSheetId="1">#REF!</definedName>
    <definedName name="___CAT53">[2]Equip!#REF!</definedName>
    <definedName name="___CAT54" localSheetId="0">#REF!</definedName>
    <definedName name="___CAT54" localSheetId="1">#REF!</definedName>
    <definedName name="___CAT54">[2]Equip!#REF!</definedName>
    <definedName name="___CAT55" localSheetId="0">#REF!</definedName>
    <definedName name="___CAT55" localSheetId="1">#REF!</definedName>
    <definedName name="___CAT55">[2]Equip!#REF!</definedName>
    <definedName name="___CAT82" localSheetId="0">#REF!</definedName>
    <definedName name="___CAT82" localSheetId="1">#REF!</definedName>
    <definedName name="___CAT82">[2]Equip!#REF!</definedName>
    <definedName name="___CAT84" localSheetId="0">#REF!</definedName>
    <definedName name="___CAT84" localSheetId="1">#REF!</definedName>
    <definedName name="___CAT84">[2]Equip!#REF!</definedName>
    <definedName name="___ccr1" localSheetId="0" hidden="1">{#N/A,#N/A,TRUE,"Cover";#N/A,#N/A,TRUE,"Conts";#N/A,#N/A,TRUE,"VOS";#N/A,#N/A,TRUE,"Warrington";#N/A,#N/A,TRUE,"Widnes"}</definedName>
    <definedName name="___ccr1" localSheetId="1" hidden="1">{#N/A,#N/A,TRUE,"Cover";#N/A,#N/A,TRUE,"Conts";#N/A,#N/A,TRUE,"VOS";#N/A,#N/A,TRUE,"Warrington";#N/A,#N/A,TRUE,"Widnes"}</definedName>
    <definedName name="___ccr1" localSheetId="4" hidden="1">{#N/A,#N/A,TRUE,"Cover";#N/A,#N/A,TRUE,"Conts";#N/A,#N/A,TRUE,"VOS";#N/A,#N/A,TRUE,"Warrington";#N/A,#N/A,TRUE,"Widnes"}</definedName>
    <definedName name="___ccr1" hidden="1">{#N/A,#N/A,TRUE,"Cover";#N/A,#N/A,TRUE,"Conts";#N/A,#N/A,TRUE,"VOS";#N/A,#N/A,TRUE,"Warrington";#N/A,#N/A,TRUE,"Widnes"}</definedName>
    <definedName name="___Inc1" localSheetId="0">#REF!</definedName>
    <definedName name="___Inc1" localSheetId="1">#REF!</definedName>
    <definedName name="___Inc1" localSheetId="4">#REF!</definedName>
    <definedName name="___Inc1">#REF!</definedName>
    <definedName name="___Int1" localSheetId="0">#REF!</definedName>
    <definedName name="___Int1" localSheetId="1">#REF!</definedName>
    <definedName name="___Int1" localSheetId="4">#REF!</definedName>
    <definedName name="___Int1">#REF!</definedName>
    <definedName name="___Int2" localSheetId="4">#REF!</definedName>
    <definedName name="___Int2">#REF!</definedName>
    <definedName name="___irr1" localSheetId="4">#REF!</definedName>
    <definedName name="___irr1">#REF!</definedName>
    <definedName name="___irr10" localSheetId="4">#REF!</definedName>
    <definedName name="___irr10">#REF!</definedName>
    <definedName name="___irr2" localSheetId="4">#REF!</definedName>
    <definedName name="___irr2">#REF!</definedName>
    <definedName name="___irr3" localSheetId="4">#REF!</definedName>
    <definedName name="___irr3">#REF!</definedName>
    <definedName name="___irr5" localSheetId="4">#REF!</definedName>
    <definedName name="___irr5">#REF!</definedName>
    <definedName name="___irr7" localSheetId="4">#REF!</definedName>
    <definedName name="___irr7">#REF!</definedName>
    <definedName name="___let1" localSheetId="4">#REF!</definedName>
    <definedName name="___let1">#REF!</definedName>
    <definedName name="___ncv1" localSheetId="4">#REF!</definedName>
    <definedName name="___ncv1">#REF!</definedName>
    <definedName name="___ncv10" localSheetId="4">#REF!</definedName>
    <definedName name="___ncv10">#REF!</definedName>
    <definedName name="___ncv101" localSheetId="4">#REF!</definedName>
    <definedName name="___ncv101">#REF!</definedName>
    <definedName name="___ncv1011" localSheetId="4">#REF!</definedName>
    <definedName name="___ncv1011">#REF!</definedName>
    <definedName name="___ncv102" localSheetId="4">#REF!</definedName>
    <definedName name="___ncv102">#REF!</definedName>
    <definedName name="___ncv103" localSheetId="4">#REF!</definedName>
    <definedName name="___ncv103">#REF!</definedName>
    <definedName name="___ncv105" localSheetId="4">#REF!</definedName>
    <definedName name="___ncv105">#REF!</definedName>
    <definedName name="___ncv2" localSheetId="4">#REF!</definedName>
    <definedName name="___ncv2">#REF!</definedName>
    <definedName name="___ncv3" localSheetId="4">#REF!</definedName>
    <definedName name="___ncv3">#REF!</definedName>
    <definedName name="___ncv5" localSheetId="4">#REF!</definedName>
    <definedName name="___ncv5">#REF!</definedName>
    <definedName name="___ord1" localSheetId="4">#REF!</definedName>
    <definedName name="___ord1">#REF!</definedName>
    <definedName name="___ord2" localSheetId="4">#REF!</definedName>
    <definedName name="___ord2">#REF!</definedName>
    <definedName name="___ord3" localSheetId="4">#REF!</definedName>
    <definedName name="___ord3">#REF!</definedName>
    <definedName name="___ord4" localSheetId="4">#REF!</definedName>
    <definedName name="___ord4">#REF!</definedName>
    <definedName name="___QTY07" localSheetId="0">#REF!</definedName>
    <definedName name="___QTY07" localSheetId="1">#REF!</definedName>
    <definedName name="___QTY07">[2]Equip!#REF!</definedName>
    <definedName name="___QTY12" localSheetId="0">#REF!</definedName>
    <definedName name="___QTY12" localSheetId="1">#REF!</definedName>
    <definedName name="___QTY12">[2]Equip!#REF!</definedName>
    <definedName name="___QTY21" localSheetId="0">#REF!</definedName>
    <definedName name="___QTY21" localSheetId="1">#REF!</definedName>
    <definedName name="___QTY21">[2]Equip!#REF!</definedName>
    <definedName name="___QTY22" localSheetId="0">#REF!</definedName>
    <definedName name="___QTY22" localSheetId="1">#REF!</definedName>
    <definedName name="___QTY22">[2]Equip!#REF!</definedName>
    <definedName name="___QTY33" localSheetId="0">#REF!</definedName>
    <definedName name="___QTY33" localSheetId="1">#REF!</definedName>
    <definedName name="___QTY33">[2]Equip!#REF!</definedName>
    <definedName name="___QTY34" localSheetId="0">#REF!</definedName>
    <definedName name="___QTY34" localSheetId="1">#REF!</definedName>
    <definedName name="___QTY34">[2]Equip!#REF!</definedName>
    <definedName name="___QTY35" localSheetId="0">#REF!</definedName>
    <definedName name="___QTY35" localSheetId="1">#REF!</definedName>
    <definedName name="___QTY35">[2]Equip!#REF!</definedName>
    <definedName name="___QTY36" localSheetId="0">#REF!</definedName>
    <definedName name="___QTY36" localSheetId="1">#REF!</definedName>
    <definedName name="___QTY36">[2]Equip!#REF!</definedName>
    <definedName name="___QTY39" localSheetId="0">#REF!</definedName>
    <definedName name="___QTY39" localSheetId="1">#REF!</definedName>
    <definedName name="___QTY39">[2]Equip!#REF!</definedName>
    <definedName name="___QTY42" localSheetId="0">#REF!</definedName>
    <definedName name="___QTY42" localSheetId="1">#REF!</definedName>
    <definedName name="___QTY42">[2]Equip!#REF!</definedName>
    <definedName name="___QTY43" localSheetId="0">#REF!</definedName>
    <definedName name="___QTY43" localSheetId="1">#REF!</definedName>
    <definedName name="___QTY43">[2]Equip!#REF!</definedName>
    <definedName name="___QTY45" localSheetId="0">#REF!</definedName>
    <definedName name="___QTY45" localSheetId="1">#REF!</definedName>
    <definedName name="___QTY45">[2]Equip!#REF!</definedName>
    <definedName name="___QTY46" localSheetId="0">#REF!</definedName>
    <definedName name="___QTY46" localSheetId="1">#REF!</definedName>
    <definedName name="___QTY46">[2]Equip!#REF!</definedName>
    <definedName name="___QTY48" localSheetId="0">#REF!</definedName>
    <definedName name="___QTY48" localSheetId="1">#REF!</definedName>
    <definedName name="___QTY48">[2]Equip!#REF!</definedName>
    <definedName name="___QTY49" localSheetId="0">#REF!</definedName>
    <definedName name="___QTY49" localSheetId="1">#REF!</definedName>
    <definedName name="___QTY49">[2]Equip!#REF!</definedName>
    <definedName name="___QTY52" localSheetId="0">#REF!</definedName>
    <definedName name="___QTY52" localSheetId="1">#REF!</definedName>
    <definedName name="___QTY52">[2]Equip!#REF!</definedName>
    <definedName name="___QTY53" localSheetId="0">#REF!</definedName>
    <definedName name="___QTY53" localSheetId="1">#REF!</definedName>
    <definedName name="___QTY53">[2]Equip!#REF!</definedName>
    <definedName name="___QTY54" localSheetId="0">#REF!</definedName>
    <definedName name="___QTY54" localSheetId="1">#REF!</definedName>
    <definedName name="___QTY54">[2]Equip!#REF!</definedName>
    <definedName name="___QTY55" localSheetId="0">#REF!</definedName>
    <definedName name="___QTY55" localSheetId="1">#REF!</definedName>
    <definedName name="___QTY55">[2]Equip!#REF!</definedName>
    <definedName name="___QTY82" localSheetId="0">#REF!</definedName>
    <definedName name="___QTY82" localSheetId="1">#REF!</definedName>
    <definedName name="___QTY82">[2]Equip!#REF!</definedName>
    <definedName name="___QTY84" localSheetId="0">#REF!</definedName>
    <definedName name="___QTY84" localSheetId="1">#REF!</definedName>
    <definedName name="___QTY84">[2]Equip!#REF!</definedName>
    <definedName name="___RR1" localSheetId="0">#REF!</definedName>
    <definedName name="___RR1" localSheetId="1">#REF!</definedName>
    <definedName name="___RR1" localSheetId="4">#REF!</definedName>
    <definedName name="___RR1">#REF!</definedName>
    <definedName name="___rs101" localSheetId="0">#REF!</definedName>
    <definedName name="___rs101" localSheetId="1">#REF!</definedName>
    <definedName name="___rs101" localSheetId="4">#REF!</definedName>
    <definedName name="___rs101">#REF!</definedName>
    <definedName name="___rs1010" localSheetId="4">#REF!</definedName>
    <definedName name="___rs1010">#REF!</definedName>
    <definedName name="___rs102" localSheetId="4">#REF!</definedName>
    <definedName name="___rs102">#REF!</definedName>
    <definedName name="___rs103" localSheetId="4">#REF!</definedName>
    <definedName name="___rs103">#REF!</definedName>
    <definedName name="___rs105" localSheetId="4">#REF!</definedName>
    <definedName name="___rs105">#REF!</definedName>
    <definedName name="___rs11" localSheetId="4">#REF!</definedName>
    <definedName name="___rs11">#REF!</definedName>
    <definedName name="___rs110" localSheetId="4">#REF!</definedName>
    <definedName name="___rs110">#REF!</definedName>
    <definedName name="___rs111" localSheetId="4">#REF!</definedName>
    <definedName name="___rs111">#REF!</definedName>
    <definedName name="___rs1110" localSheetId="4">#REF!</definedName>
    <definedName name="___rs1110">#REF!</definedName>
    <definedName name="___rs112" localSheetId="4">#REF!</definedName>
    <definedName name="___rs112">#REF!</definedName>
    <definedName name="___rs113" localSheetId="4">#REF!</definedName>
    <definedName name="___rs113">#REF!</definedName>
    <definedName name="___rs115" localSheetId="4">#REF!</definedName>
    <definedName name="___rs115">#REF!</definedName>
    <definedName name="___rs12" localSheetId="4">#REF!</definedName>
    <definedName name="___rs12">#REF!</definedName>
    <definedName name="___rs121" localSheetId="4">#REF!</definedName>
    <definedName name="___rs121">#REF!</definedName>
    <definedName name="___rs1210" localSheetId="4">#REF!</definedName>
    <definedName name="___rs1210">#REF!</definedName>
    <definedName name="___rs122" localSheetId="4">#REF!</definedName>
    <definedName name="___rs122">#REF!</definedName>
    <definedName name="___rs123" localSheetId="4">#REF!</definedName>
    <definedName name="___rs123">#REF!</definedName>
    <definedName name="___rs125" localSheetId="4">#REF!</definedName>
    <definedName name="___rs125">#REF!</definedName>
    <definedName name="___rs13" localSheetId="4">#REF!</definedName>
    <definedName name="___rs13">#REF!</definedName>
    <definedName name="___rs131" localSheetId="4">#REF!</definedName>
    <definedName name="___rs131">#REF!</definedName>
    <definedName name="___rs1310" localSheetId="4">#REF!</definedName>
    <definedName name="___rs1310">#REF!</definedName>
    <definedName name="___rs132" localSheetId="4">#REF!</definedName>
    <definedName name="___rs132">#REF!</definedName>
    <definedName name="___rs133" localSheetId="4">#REF!</definedName>
    <definedName name="___rs133">#REF!</definedName>
    <definedName name="___rs135" localSheetId="4">#REF!</definedName>
    <definedName name="___rs135">#REF!</definedName>
    <definedName name="___rs141" localSheetId="4">#REF!</definedName>
    <definedName name="___rs141">#REF!</definedName>
    <definedName name="___rs1410" localSheetId="4">#REF!</definedName>
    <definedName name="___rs1410">#REF!</definedName>
    <definedName name="___rs142" localSheetId="4">#REF!</definedName>
    <definedName name="___rs142">#REF!</definedName>
    <definedName name="___rs143" localSheetId="4">#REF!</definedName>
    <definedName name="___rs143">#REF!</definedName>
    <definedName name="___rs145" localSheetId="4">#REF!</definedName>
    <definedName name="___rs145">#REF!</definedName>
    <definedName name="___rs15" localSheetId="4">#REF!</definedName>
    <definedName name="___rs15">#REF!</definedName>
    <definedName name="___rs151" localSheetId="4">#REF!</definedName>
    <definedName name="___rs151">#REF!</definedName>
    <definedName name="___rs1510" localSheetId="4">#REF!</definedName>
    <definedName name="___rs1510">#REF!</definedName>
    <definedName name="___rs152" localSheetId="4">#REF!</definedName>
    <definedName name="___rs152">#REF!</definedName>
    <definedName name="___rs153" localSheetId="4">#REF!</definedName>
    <definedName name="___rs153">#REF!</definedName>
    <definedName name="___rs155" localSheetId="4">#REF!</definedName>
    <definedName name="___rs155">#REF!</definedName>
    <definedName name="___rs161" localSheetId="4">#REF!</definedName>
    <definedName name="___rs161">#REF!</definedName>
    <definedName name="___rs1610" localSheetId="4">#REF!</definedName>
    <definedName name="___rs1610">#REF!</definedName>
    <definedName name="___rs162" localSheetId="4">#REF!</definedName>
    <definedName name="___rs162">#REF!</definedName>
    <definedName name="___rs163" localSheetId="4">#REF!</definedName>
    <definedName name="___rs163">#REF!</definedName>
    <definedName name="___rs165" localSheetId="4">#REF!</definedName>
    <definedName name="___rs165">#REF!</definedName>
    <definedName name="___rs171" localSheetId="4">#REF!</definedName>
    <definedName name="___rs171">#REF!</definedName>
    <definedName name="___rs1710" localSheetId="4">#REF!</definedName>
    <definedName name="___rs1710">#REF!</definedName>
    <definedName name="___rs172" localSheetId="4">#REF!</definedName>
    <definedName name="___rs172">#REF!</definedName>
    <definedName name="___rs173" localSheetId="4">#REF!</definedName>
    <definedName name="___rs173">#REF!</definedName>
    <definedName name="___rs175" localSheetId="4">#REF!</definedName>
    <definedName name="___rs175">#REF!</definedName>
    <definedName name="___rs181" localSheetId="4">#REF!</definedName>
    <definedName name="___rs181">#REF!</definedName>
    <definedName name="___rs1810" localSheetId="4">#REF!</definedName>
    <definedName name="___rs1810">#REF!</definedName>
    <definedName name="___rs182" localSheetId="4">#REF!</definedName>
    <definedName name="___rs182">#REF!</definedName>
    <definedName name="___rs183" localSheetId="4">#REF!</definedName>
    <definedName name="___rs183">#REF!</definedName>
    <definedName name="___rs185" localSheetId="4">#REF!</definedName>
    <definedName name="___rs185">#REF!</definedName>
    <definedName name="___rs191" localSheetId="4">#REF!</definedName>
    <definedName name="___rs191">#REF!</definedName>
    <definedName name="___rs1910" localSheetId="4">#REF!</definedName>
    <definedName name="___rs1910">#REF!</definedName>
    <definedName name="___rs192" localSheetId="4">#REF!</definedName>
    <definedName name="___rs192">#REF!</definedName>
    <definedName name="___rs193" localSheetId="4">#REF!</definedName>
    <definedName name="___rs193">#REF!</definedName>
    <definedName name="___rs195" localSheetId="4">#REF!</definedName>
    <definedName name="___rs195">#REF!</definedName>
    <definedName name="___rs201" localSheetId="4">#REF!</definedName>
    <definedName name="___rs201">#REF!</definedName>
    <definedName name="___rs2010" localSheetId="4">#REF!</definedName>
    <definedName name="___rs2010">#REF!</definedName>
    <definedName name="___rs202" localSheetId="4">#REF!</definedName>
    <definedName name="___rs202">#REF!</definedName>
    <definedName name="___rs203" localSheetId="4">#REF!</definedName>
    <definedName name="___rs203">#REF!</definedName>
    <definedName name="___rs205" localSheetId="4">#REF!</definedName>
    <definedName name="___rs205">#REF!</definedName>
    <definedName name="___rs21" localSheetId="4">#REF!</definedName>
    <definedName name="___rs21">#REF!</definedName>
    <definedName name="___rs210" localSheetId="4">#REF!</definedName>
    <definedName name="___rs210">#REF!</definedName>
    <definedName name="___rs211" localSheetId="4">#REF!</definedName>
    <definedName name="___rs211">#REF!</definedName>
    <definedName name="___rs2110" localSheetId="4">#REF!</definedName>
    <definedName name="___rs2110">#REF!</definedName>
    <definedName name="___rs212" localSheetId="4">#REF!</definedName>
    <definedName name="___rs212">#REF!</definedName>
    <definedName name="___rs213" localSheetId="4">#REF!</definedName>
    <definedName name="___rs213">#REF!</definedName>
    <definedName name="___rs215" localSheetId="4">#REF!</definedName>
    <definedName name="___rs215">#REF!</definedName>
    <definedName name="___rs22" localSheetId="4">#REF!</definedName>
    <definedName name="___rs22">#REF!</definedName>
    <definedName name="___rs221" localSheetId="4">#REF!</definedName>
    <definedName name="___rs221">#REF!</definedName>
    <definedName name="___rs2210" localSheetId="4">#REF!</definedName>
    <definedName name="___rs2210">#REF!</definedName>
    <definedName name="___rs222" localSheetId="4">#REF!</definedName>
    <definedName name="___rs222">#REF!</definedName>
    <definedName name="___rs223" localSheetId="4">#REF!</definedName>
    <definedName name="___rs223">#REF!</definedName>
    <definedName name="___rs225" localSheetId="4">#REF!</definedName>
    <definedName name="___rs225">#REF!</definedName>
    <definedName name="___rs23" localSheetId="4">#REF!</definedName>
    <definedName name="___rs23">#REF!</definedName>
    <definedName name="___rs231" localSheetId="4">#REF!</definedName>
    <definedName name="___rs231">#REF!</definedName>
    <definedName name="___rs2310" localSheetId="4">#REF!</definedName>
    <definedName name="___rs2310">#REF!</definedName>
    <definedName name="___rs232" localSheetId="4">#REF!</definedName>
    <definedName name="___rs232">#REF!</definedName>
    <definedName name="___rs233" localSheetId="4">#REF!</definedName>
    <definedName name="___rs233">#REF!</definedName>
    <definedName name="___rs235" localSheetId="4">#REF!</definedName>
    <definedName name="___rs235">#REF!</definedName>
    <definedName name="___rs241" localSheetId="4">#REF!</definedName>
    <definedName name="___rs241">#REF!</definedName>
    <definedName name="___rs2410" localSheetId="4">#REF!</definedName>
    <definedName name="___rs2410">#REF!</definedName>
    <definedName name="___rs242" localSheetId="4">#REF!</definedName>
    <definedName name="___rs242">#REF!</definedName>
    <definedName name="___rs243" localSheetId="4">#REF!</definedName>
    <definedName name="___rs243">#REF!</definedName>
    <definedName name="___rs245" localSheetId="4">#REF!</definedName>
    <definedName name="___rs245">#REF!</definedName>
    <definedName name="___rs25" localSheetId="4">#REF!</definedName>
    <definedName name="___rs25">#REF!</definedName>
    <definedName name="___rs251" localSheetId="4">#REF!</definedName>
    <definedName name="___rs251">#REF!</definedName>
    <definedName name="___rs2510" localSheetId="4">#REF!</definedName>
    <definedName name="___rs2510">#REF!</definedName>
    <definedName name="___rs252" localSheetId="4">#REF!</definedName>
    <definedName name="___rs252">#REF!</definedName>
    <definedName name="___rs253" localSheetId="4">#REF!</definedName>
    <definedName name="___rs253">#REF!</definedName>
    <definedName name="___rs255" localSheetId="4">#REF!</definedName>
    <definedName name="___rs255">#REF!</definedName>
    <definedName name="___rs31" localSheetId="4">#REF!</definedName>
    <definedName name="___rs31">#REF!</definedName>
    <definedName name="___rs310" localSheetId="4">#REF!</definedName>
    <definedName name="___rs310">#REF!</definedName>
    <definedName name="___rs32" localSheetId="4">#REF!</definedName>
    <definedName name="___rs32">#REF!</definedName>
    <definedName name="___rs33" localSheetId="4">#REF!</definedName>
    <definedName name="___rs33">#REF!</definedName>
    <definedName name="___rs35" localSheetId="4">#REF!</definedName>
    <definedName name="___rs35">#REF!</definedName>
    <definedName name="___rs41" localSheetId="4">#REF!</definedName>
    <definedName name="___rs41">#REF!</definedName>
    <definedName name="___rs410" localSheetId="4">#REF!</definedName>
    <definedName name="___rs410">#REF!</definedName>
    <definedName name="___rs42" localSheetId="4">#REF!</definedName>
    <definedName name="___rs42">#REF!</definedName>
    <definedName name="___rs43" localSheetId="4">#REF!</definedName>
    <definedName name="___rs43">#REF!</definedName>
    <definedName name="___rs45" localSheetId="4">#REF!</definedName>
    <definedName name="___rs45">#REF!</definedName>
    <definedName name="___rs51" localSheetId="4">#REF!</definedName>
    <definedName name="___rs51">#REF!</definedName>
    <definedName name="___rs510" localSheetId="4">#REF!</definedName>
    <definedName name="___rs510">#REF!</definedName>
    <definedName name="___rs52" localSheetId="4">#REF!</definedName>
    <definedName name="___rs52">#REF!</definedName>
    <definedName name="___rs53" localSheetId="4">#REF!</definedName>
    <definedName name="___rs53">#REF!</definedName>
    <definedName name="___rs55" localSheetId="4">#REF!</definedName>
    <definedName name="___rs55">#REF!</definedName>
    <definedName name="___rs61" localSheetId="4">#REF!</definedName>
    <definedName name="___rs61">#REF!</definedName>
    <definedName name="___rs610" localSheetId="4">#REF!</definedName>
    <definedName name="___rs610">#REF!</definedName>
    <definedName name="___rs62" localSheetId="4">#REF!</definedName>
    <definedName name="___rs62">#REF!</definedName>
    <definedName name="___rs63" localSheetId="4">#REF!</definedName>
    <definedName name="___rs63">#REF!</definedName>
    <definedName name="___rs65" localSheetId="4">#REF!</definedName>
    <definedName name="___rs65">#REF!</definedName>
    <definedName name="___rs71" localSheetId="4">#REF!</definedName>
    <definedName name="___rs71">#REF!</definedName>
    <definedName name="___rs710" localSheetId="4">#REF!</definedName>
    <definedName name="___rs710">#REF!</definedName>
    <definedName name="___rs72" localSheetId="4">#REF!</definedName>
    <definedName name="___rs72">#REF!</definedName>
    <definedName name="___rs73" localSheetId="4">#REF!</definedName>
    <definedName name="___rs73">#REF!</definedName>
    <definedName name="___rs75" localSheetId="4">#REF!</definedName>
    <definedName name="___rs75">#REF!</definedName>
    <definedName name="___rs81" localSheetId="4">#REF!</definedName>
    <definedName name="___rs81">#REF!</definedName>
    <definedName name="___rs810" localSheetId="4">#REF!</definedName>
    <definedName name="___rs810">#REF!</definedName>
    <definedName name="___rs82" localSheetId="4">#REF!</definedName>
    <definedName name="___rs82">#REF!</definedName>
    <definedName name="___rs83" localSheetId="4">#REF!</definedName>
    <definedName name="___rs83">#REF!</definedName>
    <definedName name="___rs85" localSheetId="4">#REF!</definedName>
    <definedName name="___rs85">#REF!</definedName>
    <definedName name="___rs91" localSheetId="4">#REF!</definedName>
    <definedName name="___rs91">#REF!</definedName>
    <definedName name="___rs910" localSheetId="4">#REF!</definedName>
    <definedName name="___rs910">#REF!</definedName>
    <definedName name="___rs92" localSheetId="4">#REF!</definedName>
    <definedName name="___rs92">#REF!</definedName>
    <definedName name="___rs93" localSheetId="4">#REF!</definedName>
    <definedName name="___rs93">#REF!</definedName>
    <definedName name="___rs95" localSheetId="4">#REF!</definedName>
    <definedName name="___rs95">#REF!</definedName>
    <definedName name="___sc1" localSheetId="4">#REF!</definedName>
    <definedName name="___sc1">#REF!</definedName>
    <definedName name="___T2" localSheetId="0">#REF!</definedName>
    <definedName name="___T2" localSheetId="1">#REF!</definedName>
    <definedName name="___T2">'[3]Estimate Warehouse'!#REF!</definedName>
    <definedName name="___tdp1" localSheetId="0">#REF!</definedName>
    <definedName name="___tdp1" localSheetId="1">#REF!</definedName>
    <definedName name="___tdp1" localSheetId="4">#REF!</definedName>
    <definedName name="___tdp1">#REF!</definedName>
    <definedName name="___ubr1" localSheetId="0">#REF!</definedName>
    <definedName name="___ubr1" localSheetId="1">#REF!</definedName>
    <definedName name="___ubr1" localSheetId="4">#REF!</definedName>
    <definedName name="___ubr1">#REF!</definedName>
    <definedName name="__123Graph_A" hidden="1">#N/A</definedName>
    <definedName name="__123Graph_ACURRENT" localSheetId="0" hidden="1">#REF!</definedName>
    <definedName name="__123Graph_ACURRENT" localSheetId="1" hidden="1">#REF!</definedName>
    <definedName name="__123Graph_ACURRENT" localSheetId="4" hidden="1">#REF!</definedName>
    <definedName name="__123Graph_ACURRENT" hidden="1">#REF!</definedName>
    <definedName name="__123Graph_B" hidden="1">#N/A</definedName>
    <definedName name="__123Graph_BCURRENT" localSheetId="0" hidden="1">#REF!</definedName>
    <definedName name="__123Graph_BCURRENT" localSheetId="1" hidden="1">#REF!</definedName>
    <definedName name="__123Graph_BCURRENT" localSheetId="4" hidden="1">#REF!</definedName>
    <definedName name="__123Graph_BCURRENT" hidden="1">#REF!</definedName>
    <definedName name="__123Graph_C" localSheetId="0" hidden="1">#REF!</definedName>
    <definedName name="__123Graph_C" localSheetId="1" hidden="1">#REF!</definedName>
    <definedName name="__123Graph_C" localSheetId="4" hidden="1">#REF!</definedName>
    <definedName name="__123Graph_C" hidden="1">#REF!</definedName>
    <definedName name="__123Graph_CCURRENT" localSheetId="0" hidden="1">#REF!</definedName>
    <definedName name="__123Graph_CCURRENT" localSheetId="1" hidden="1">#REF!</definedName>
    <definedName name="__123Graph_CCURRENT" localSheetId="4" hidden="1">#REF!</definedName>
    <definedName name="__123Graph_CCURRENT" hidden="1">#REF!</definedName>
    <definedName name="__123Graph_D" localSheetId="0" hidden="1">#REF!</definedName>
    <definedName name="__123Graph_D" localSheetId="1" hidden="1">#REF!</definedName>
    <definedName name="__123Graph_D" localSheetId="4" hidden="1">#REF!</definedName>
    <definedName name="__123Graph_D" hidden="1">#REF!</definedName>
    <definedName name="__123Graph_DCURRENT" localSheetId="0" hidden="1">#REF!</definedName>
    <definedName name="__123Graph_DCURRENT" localSheetId="1" hidden="1">#REF!</definedName>
    <definedName name="__123Graph_DCURRENT" localSheetId="4" hidden="1">#REF!</definedName>
    <definedName name="__123Graph_DCURRENT" hidden="1">#REF!</definedName>
    <definedName name="__123Graph_E" localSheetId="0" hidden="1">#REF!</definedName>
    <definedName name="__123Graph_E" localSheetId="1" hidden="1">#REF!</definedName>
    <definedName name="__123Graph_E" localSheetId="4" hidden="1">#REF!</definedName>
    <definedName name="__123Graph_E" hidden="1">#REF!</definedName>
    <definedName name="__123Graph_ECURRENT" localSheetId="0" hidden="1">#REF!</definedName>
    <definedName name="__123Graph_ECURRENT" localSheetId="1" hidden="1">#REF!</definedName>
    <definedName name="__123Graph_ECURRENT" localSheetId="4" hidden="1">#REF!</definedName>
    <definedName name="__123Graph_ECURRENT" hidden="1">#REF!</definedName>
    <definedName name="__123Graph_F" localSheetId="0" hidden="1">#REF!</definedName>
    <definedName name="__123Graph_F" localSheetId="1" hidden="1">#REF!</definedName>
    <definedName name="__123Graph_F" localSheetId="4" hidden="1">#REF!</definedName>
    <definedName name="__123Graph_F" hidden="1">#REF!</definedName>
    <definedName name="__123Graph_FCURRENT" localSheetId="0" hidden="1">#REF!</definedName>
    <definedName name="__123Graph_FCURRENT" localSheetId="1" hidden="1">#REF!</definedName>
    <definedName name="__123Graph_FCURRENT" localSheetId="4" hidden="1">#REF!</definedName>
    <definedName name="__123Graph_FCURRENT" hidden="1">#REF!</definedName>
    <definedName name="__123Graph_X" hidden="1">#N/A</definedName>
    <definedName name="__aux10" localSheetId="0">#REF!</definedName>
    <definedName name="__aux10" localSheetId="1">#REF!</definedName>
    <definedName name="__aux10" localSheetId="4">#REF!</definedName>
    <definedName name="__aux10">#REF!</definedName>
    <definedName name="__aux3" localSheetId="0">#REF!</definedName>
    <definedName name="__aux3" localSheetId="1">#REF!</definedName>
    <definedName name="__aux3" localSheetId="4">#REF!</definedName>
    <definedName name="__aux3">#REF!</definedName>
    <definedName name="__aux5" localSheetId="0">#REF!</definedName>
    <definedName name="__aux5" localSheetId="1">#REF!</definedName>
    <definedName name="__aux5" localSheetId="4">#REF!</definedName>
    <definedName name="__aux5">#REF!</definedName>
    <definedName name="__aux7" localSheetId="4">#REF!</definedName>
    <definedName name="__aux7">#REF!</definedName>
    <definedName name="__CAT07" localSheetId="0">#REF!</definedName>
    <definedName name="__CAT07" localSheetId="1">#REF!</definedName>
    <definedName name="__CAT07">[2]Equip!#REF!</definedName>
    <definedName name="__CAT12" localSheetId="0">#REF!</definedName>
    <definedName name="__CAT12" localSheetId="1">#REF!</definedName>
    <definedName name="__CAT12">[2]Equip!#REF!</definedName>
    <definedName name="__CAT21" localSheetId="0">#REF!</definedName>
    <definedName name="__CAT21" localSheetId="1">#REF!</definedName>
    <definedName name="__CAT21">[2]Equip!#REF!</definedName>
    <definedName name="__CAT22" localSheetId="0">#REF!</definedName>
    <definedName name="__CAT22" localSheetId="1">#REF!</definedName>
    <definedName name="__CAT22">[2]Equip!#REF!</definedName>
    <definedName name="__CAT31" localSheetId="0">#REF!</definedName>
    <definedName name="__CAT31" localSheetId="1">#REF!</definedName>
    <definedName name="__CAT31">[2]Equip!#REF!</definedName>
    <definedName name="__CAT33" localSheetId="0">#REF!</definedName>
    <definedName name="__CAT33" localSheetId="1">#REF!</definedName>
    <definedName name="__CAT33">[2]Equip!#REF!</definedName>
    <definedName name="__CAT34" localSheetId="0">#REF!</definedName>
    <definedName name="__CAT34" localSheetId="1">#REF!</definedName>
    <definedName name="__CAT34">[2]Equip!#REF!</definedName>
    <definedName name="__CAT35" localSheetId="0">#REF!</definedName>
    <definedName name="__CAT35" localSheetId="1">#REF!</definedName>
    <definedName name="__CAT35">[2]Equip!#REF!</definedName>
    <definedName name="__CAT36" localSheetId="0">#REF!</definedName>
    <definedName name="__CAT36" localSheetId="1">#REF!</definedName>
    <definedName name="__CAT36">[2]Equip!#REF!</definedName>
    <definedName name="__CAT39" localSheetId="0">#REF!</definedName>
    <definedName name="__CAT39" localSheetId="1">#REF!</definedName>
    <definedName name="__CAT39">[2]Equip!#REF!</definedName>
    <definedName name="__CAT42" localSheetId="0">#REF!</definedName>
    <definedName name="__CAT42" localSheetId="1">#REF!</definedName>
    <definedName name="__CAT42">[2]Equip!#REF!</definedName>
    <definedName name="__CAT43" localSheetId="0">#REF!</definedName>
    <definedName name="__CAT43" localSheetId="1">#REF!</definedName>
    <definedName name="__CAT43">[2]Equip!#REF!</definedName>
    <definedName name="__CAT45" localSheetId="0">#REF!</definedName>
    <definedName name="__CAT45" localSheetId="1">#REF!</definedName>
    <definedName name="__CAT45">[2]Equip!#REF!</definedName>
    <definedName name="__CAT46" localSheetId="0">#REF!</definedName>
    <definedName name="__CAT46" localSheetId="1">#REF!</definedName>
    <definedName name="__CAT46">[2]Equip!#REF!</definedName>
    <definedName name="__CAT48" localSheetId="0">#REF!</definedName>
    <definedName name="__CAT48" localSheetId="1">#REF!</definedName>
    <definedName name="__CAT48">[2]Equip!#REF!</definedName>
    <definedName name="__CAT49" localSheetId="0">#REF!</definedName>
    <definedName name="__CAT49" localSheetId="1">#REF!</definedName>
    <definedName name="__CAT49">[2]Equip!#REF!</definedName>
    <definedName name="__CAT52" localSheetId="0">#REF!</definedName>
    <definedName name="__CAT52" localSheetId="1">#REF!</definedName>
    <definedName name="__CAT52">[2]Equip!#REF!</definedName>
    <definedName name="__CAT53" localSheetId="0">#REF!</definedName>
    <definedName name="__CAT53" localSheetId="1">#REF!</definedName>
    <definedName name="__CAT53">[2]Equip!#REF!</definedName>
    <definedName name="__CAT54" localSheetId="0">#REF!</definedName>
    <definedName name="__CAT54" localSheetId="1">#REF!</definedName>
    <definedName name="__CAT54">[2]Equip!#REF!</definedName>
    <definedName name="__CAT55" localSheetId="0">#REF!</definedName>
    <definedName name="__CAT55" localSheetId="1">#REF!</definedName>
    <definedName name="__CAT55">[2]Equip!#REF!</definedName>
    <definedName name="__CAT82" localSheetId="0">#REF!</definedName>
    <definedName name="__CAT82" localSheetId="1">#REF!</definedName>
    <definedName name="__CAT82">[2]Equip!#REF!</definedName>
    <definedName name="__CAT84" localSheetId="0">#REF!</definedName>
    <definedName name="__CAT84" localSheetId="1">#REF!</definedName>
    <definedName name="__CAT84">[2]Equip!#REF!</definedName>
    <definedName name="__ccr1" localSheetId="0" hidden="1">{#N/A,#N/A,TRUE,"Cover";#N/A,#N/A,TRUE,"Conts";#N/A,#N/A,TRUE,"VOS";#N/A,#N/A,TRUE,"Warrington";#N/A,#N/A,TRUE,"Widnes"}</definedName>
    <definedName name="__ccr1" localSheetId="1" hidden="1">{#N/A,#N/A,TRUE,"Cover";#N/A,#N/A,TRUE,"Conts";#N/A,#N/A,TRUE,"VOS";#N/A,#N/A,TRUE,"Warrington";#N/A,#N/A,TRUE,"Widnes"}</definedName>
    <definedName name="__ccr1" localSheetId="4" hidden="1">{#N/A,#N/A,TRUE,"Cover";#N/A,#N/A,TRUE,"Conts";#N/A,#N/A,TRUE,"VOS";#N/A,#N/A,TRUE,"Warrington";#N/A,#N/A,TRUE,"Widnes"}</definedName>
    <definedName name="__ccr1" hidden="1">{#N/A,#N/A,TRUE,"Cover";#N/A,#N/A,TRUE,"Conts";#N/A,#N/A,TRUE,"VOS";#N/A,#N/A,TRUE,"Warrington";#N/A,#N/A,TRUE,"Widnes"}</definedName>
    <definedName name="__Inc1" localSheetId="0">#REF!</definedName>
    <definedName name="__Inc1" localSheetId="1">#REF!</definedName>
    <definedName name="__Inc1" localSheetId="4">#REF!</definedName>
    <definedName name="__Inc1">#REF!</definedName>
    <definedName name="__Int1" localSheetId="0">#REF!</definedName>
    <definedName name="__Int1" localSheetId="1">#REF!</definedName>
    <definedName name="__Int1" localSheetId="4">#REF!</definedName>
    <definedName name="__Int1">#REF!</definedName>
    <definedName name="__Int2" localSheetId="4">#REF!</definedName>
    <definedName name="__Int2">#REF!</definedName>
    <definedName name="__irr1" localSheetId="4">#REF!</definedName>
    <definedName name="__irr1">#REF!</definedName>
    <definedName name="__irr10" localSheetId="4">#REF!</definedName>
    <definedName name="__irr10">#REF!</definedName>
    <definedName name="__irr2" localSheetId="4">#REF!</definedName>
    <definedName name="__irr2">#REF!</definedName>
    <definedName name="__irr3" localSheetId="4">#REF!</definedName>
    <definedName name="__irr3">#REF!</definedName>
    <definedName name="__irr5" localSheetId="4">#REF!</definedName>
    <definedName name="__irr5">#REF!</definedName>
    <definedName name="__irr7" localSheetId="4">#REF!</definedName>
    <definedName name="__irr7">#REF!</definedName>
    <definedName name="__let1" localSheetId="4">#REF!</definedName>
    <definedName name="__let1">#REF!</definedName>
    <definedName name="__MAN1" localSheetId="0">#REF!</definedName>
    <definedName name="__MAN1" localSheetId="1">#REF!</definedName>
    <definedName name="__MAN1" localSheetId="4">#REF!</definedName>
    <definedName name="__MAN1">#REF!</definedName>
    <definedName name="__ncv1" localSheetId="4">#REF!</definedName>
    <definedName name="__ncv1">#REF!</definedName>
    <definedName name="__ncv10" localSheetId="4">#REF!</definedName>
    <definedName name="__ncv10">#REF!</definedName>
    <definedName name="__ncv101" localSheetId="4">#REF!</definedName>
    <definedName name="__ncv101">#REF!</definedName>
    <definedName name="__ncv1011" localSheetId="4">#REF!</definedName>
    <definedName name="__ncv1011">#REF!</definedName>
    <definedName name="__ncv102" localSheetId="4">#REF!</definedName>
    <definedName name="__ncv102">#REF!</definedName>
    <definedName name="__ncv103" localSheetId="4">#REF!</definedName>
    <definedName name="__ncv103">#REF!</definedName>
    <definedName name="__ncv105" localSheetId="4">#REF!</definedName>
    <definedName name="__ncv105">#REF!</definedName>
    <definedName name="__ncv2" localSheetId="4">#REF!</definedName>
    <definedName name="__ncv2">#REF!</definedName>
    <definedName name="__ncv3" localSheetId="4">#REF!</definedName>
    <definedName name="__ncv3">#REF!</definedName>
    <definedName name="__ncv5" localSheetId="4">#REF!</definedName>
    <definedName name="__ncv5">#REF!</definedName>
    <definedName name="__ord1" localSheetId="4">#REF!</definedName>
    <definedName name="__ord1">#REF!</definedName>
    <definedName name="__ord2" localSheetId="4">#REF!</definedName>
    <definedName name="__ord2">#REF!</definedName>
    <definedName name="__ord3" localSheetId="4">#REF!</definedName>
    <definedName name="__ord3">#REF!</definedName>
    <definedName name="__ord4" localSheetId="4">#REF!</definedName>
    <definedName name="__ord4">#REF!</definedName>
    <definedName name="__QTY07" localSheetId="0">#REF!</definedName>
    <definedName name="__QTY07" localSheetId="1">#REF!</definedName>
    <definedName name="__QTY07">[2]Equip!#REF!</definedName>
    <definedName name="__QTY12" localSheetId="0">#REF!</definedName>
    <definedName name="__QTY12" localSheetId="1">#REF!</definedName>
    <definedName name="__QTY12">[2]Equip!#REF!</definedName>
    <definedName name="__QTY21" localSheetId="0">#REF!</definedName>
    <definedName name="__QTY21" localSheetId="1">#REF!</definedName>
    <definedName name="__QTY21">[2]Equip!#REF!</definedName>
    <definedName name="__QTY22" localSheetId="0">#REF!</definedName>
    <definedName name="__QTY22" localSheetId="1">#REF!</definedName>
    <definedName name="__QTY22">[2]Equip!#REF!</definedName>
    <definedName name="__QTY33" localSheetId="0">#REF!</definedName>
    <definedName name="__QTY33" localSheetId="1">#REF!</definedName>
    <definedName name="__QTY33">[2]Equip!#REF!</definedName>
    <definedName name="__QTY34" localSheetId="0">#REF!</definedName>
    <definedName name="__QTY34" localSheetId="1">#REF!</definedName>
    <definedName name="__QTY34">[2]Equip!#REF!</definedName>
    <definedName name="__QTY35" localSheetId="0">#REF!</definedName>
    <definedName name="__QTY35" localSheetId="1">#REF!</definedName>
    <definedName name="__QTY35">[2]Equip!#REF!</definedName>
    <definedName name="__QTY36" localSheetId="0">#REF!</definedName>
    <definedName name="__QTY36" localSheetId="1">#REF!</definedName>
    <definedName name="__QTY36">[2]Equip!#REF!</definedName>
    <definedName name="__QTY39" localSheetId="0">#REF!</definedName>
    <definedName name="__QTY39" localSheetId="1">#REF!</definedName>
    <definedName name="__QTY39">[2]Equip!#REF!</definedName>
    <definedName name="__QTY42" localSheetId="0">#REF!</definedName>
    <definedName name="__QTY42" localSheetId="1">#REF!</definedName>
    <definedName name="__QTY42">[2]Equip!#REF!</definedName>
    <definedName name="__QTY43" localSheetId="0">#REF!</definedName>
    <definedName name="__QTY43" localSheetId="1">#REF!</definedName>
    <definedName name="__QTY43">[2]Equip!#REF!</definedName>
    <definedName name="__QTY45" localSheetId="0">#REF!</definedName>
    <definedName name="__QTY45" localSheetId="1">#REF!</definedName>
    <definedName name="__QTY45">[2]Equip!#REF!</definedName>
    <definedName name="__QTY46" localSheetId="0">#REF!</definedName>
    <definedName name="__QTY46" localSheetId="1">#REF!</definedName>
    <definedName name="__QTY46">[2]Equip!#REF!</definedName>
    <definedName name="__QTY48" localSheetId="0">#REF!</definedName>
    <definedName name="__QTY48" localSheetId="1">#REF!</definedName>
    <definedName name="__QTY48">[2]Equip!#REF!</definedName>
    <definedName name="__QTY49" localSheetId="0">#REF!</definedName>
    <definedName name="__QTY49" localSheetId="1">#REF!</definedName>
    <definedName name="__QTY49">[2]Equip!#REF!</definedName>
    <definedName name="__QTY52" localSheetId="0">#REF!</definedName>
    <definedName name="__QTY52" localSheetId="1">#REF!</definedName>
    <definedName name="__QTY52">[2]Equip!#REF!</definedName>
    <definedName name="__QTY53" localSheetId="0">#REF!</definedName>
    <definedName name="__QTY53" localSheetId="1">#REF!</definedName>
    <definedName name="__QTY53">[2]Equip!#REF!</definedName>
    <definedName name="__QTY54" localSheetId="0">#REF!</definedName>
    <definedName name="__QTY54" localSheetId="1">#REF!</definedName>
    <definedName name="__QTY54">[2]Equip!#REF!</definedName>
    <definedName name="__QTY55" localSheetId="0">#REF!</definedName>
    <definedName name="__QTY55" localSheetId="1">#REF!</definedName>
    <definedName name="__QTY55">[2]Equip!#REF!</definedName>
    <definedName name="__QTY82" localSheetId="0">#REF!</definedName>
    <definedName name="__QTY82" localSheetId="1">#REF!</definedName>
    <definedName name="__QTY82">[2]Equip!#REF!</definedName>
    <definedName name="__QTY84" localSheetId="0">#REF!</definedName>
    <definedName name="__QTY84" localSheetId="1">#REF!</definedName>
    <definedName name="__QTY84">[2]Equip!#REF!</definedName>
    <definedName name="__RR1" localSheetId="0">#REF!</definedName>
    <definedName name="__RR1" localSheetId="1">#REF!</definedName>
    <definedName name="__RR1" localSheetId="4">#REF!</definedName>
    <definedName name="__RR1">#REF!</definedName>
    <definedName name="__rs101" localSheetId="0">#REF!</definedName>
    <definedName name="__rs101" localSheetId="1">#REF!</definedName>
    <definedName name="__rs101" localSheetId="4">#REF!</definedName>
    <definedName name="__rs101">#REF!</definedName>
    <definedName name="__rs1010" localSheetId="4">#REF!</definedName>
    <definedName name="__rs1010">#REF!</definedName>
    <definedName name="__rs102" localSheetId="4">#REF!</definedName>
    <definedName name="__rs102">#REF!</definedName>
    <definedName name="__rs103" localSheetId="4">#REF!</definedName>
    <definedName name="__rs103">#REF!</definedName>
    <definedName name="__rs105" localSheetId="4">#REF!</definedName>
    <definedName name="__rs105">#REF!</definedName>
    <definedName name="__rs11" localSheetId="4">#REF!</definedName>
    <definedName name="__rs11">#REF!</definedName>
    <definedName name="__rs110" localSheetId="4">#REF!</definedName>
    <definedName name="__rs110">#REF!</definedName>
    <definedName name="__rs111" localSheetId="4">#REF!</definedName>
    <definedName name="__rs111">#REF!</definedName>
    <definedName name="__rs1110" localSheetId="4">#REF!</definedName>
    <definedName name="__rs1110">#REF!</definedName>
    <definedName name="__rs112" localSheetId="4">#REF!</definedName>
    <definedName name="__rs112">#REF!</definedName>
    <definedName name="__rs113" localSheetId="4">#REF!</definedName>
    <definedName name="__rs113">#REF!</definedName>
    <definedName name="__rs115" localSheetId="4">#REF!</definedName>
    <definedName name="__rs115">#REF!</definedName>
    <definedName name="__rs12" localSheetId="4">#REF!</definedName>
    <definedName name="__rs12">#REF!</definedName>
    <definedName name="__rs121" localSheetId="4">#REF!</definedName>
    <definedName name="__rs121">#REF!</definedName>
    <definedName name="__rs1210" localSheetId="4">#REF!</definedName>
    <definedName name="__rs1210">#REF!</definedName>
    <definedName name="__rs122" localSheetId="4">#REF!</definedName>
    <definedName name="__rs122">#REF!</definedName>
    <definedName name="__rs123" localSheetId="4">#REF!</definedName>
    <definedName name="__rs123">#REF!</definedName>
    <definedName name="__rs125" localSheetId="4">#REF!</definedName>
    <definedName name="__rs125">#REF!</definedName>
    <definedName name="__rs13" localSheetId="4">#REF!</definedName>
    <definedName name="__rs13">#REF!</definedName>
    <definedName name="__rs131" localSheetId="4">#REF!</definedName>
    <definedName name="__rs131">#REF!</definedName>
    <definedName name="__rs1310" localSheetId="4">#REF!</definedName>
    <definedName name="__rs1310">#REF!</definedName>
    <definedName name="__rs132" localSheetId="4">#REF!</definedName>
    <definedName name="__rs132">#REF!</definedName>
    <definedName name="__rs133" localSheetId="4">#REF!</definedName>
    <definedName name="__rs133">#REF!</definedName>
    <definedName name="__rs135" localSheetId="4">#REF!</definedName>
    <definedName name="__rs135">#REF!</definedName>
    <definedName name="__rs141" localSheetId="4">#REF!</definedName>
    <definedName name="__rs141">#REF!</definedName>
    <definedName name="__rs1410" localSheetId="4">#REF!</definedName>
    <definedName name="__rs1410">#REF!</definedName>
    <definedName name="__rs142" localSheetId="4">#REF!</definedName>
    <definedName name="__rs142">#REF!</definedName>
    <definedName name="__rs143" localSheetId="4">#REF!</definedName>
    <definedName name="__rs143">#REF!</definedName>
    <definedName name="__rs145" localSheetId="4">#REF!</definedName>
    <definedName name="__rs145">#REF!</definedName>
    <definedName name="__rs15" localSheetId="4">#REF!</definedName>
    <definedName name="__rs15">#REF!</definedName>
    <definedName name="__rs151" localSheetId="4">#REF!</definedName>
    <definedName name="__rs151">#REF!</definedName>
    <definedName name="__rs1510" localSheetId="4">#REF!</definedName>
    <definedName name="__rs1510">#REF!</definedName>
    <definedName name="__rs152" localSheetId="4">#REF!</definedName>
    <definedName name="__rs152">#REF!</definedName>
    <definedName name="__rs153" localSheetId="4">#REF!</definedName>
    <definedName name="__rs153">#REF!</definedName>
    <definedName name="__rs155" localSheetId="4">#REF!</definedName>
    <definedName name="__rs155">#REF!</definedName>
    <definedName name="__rs161" localSheetId="4">#REF!</definedName>
    <definedName name="__rs161">#REF!</definedName>
    <definedName name="__rs1610" localSheetId="4">#REF!</definedName>
    <definedName name="__rs1610">#REF!</definedName>
    <definedName name="__rs162" localSheetId="4">#REF!</definedName>
    <definedName name="__rs162">#REF!</definedName>
    <definedName name="__rs163" localSheetId="4">#REF!</definedName>
    <definedName name="__rs163">#REF!</definedName>
    <definedName name="__rs165" localSheetId="4">#REF!</definedName>
    <definedName name="__rs165">#REF!</definedName>
    <definedName name="__rs171" localSheetId="4">#REF!</definedName>
    <definedName name="__rs171">#REF!</definedName>
    <definedName name="__rs1710" localSheetId="4">#REF!</definedName>
    <definedName name="__rs1710">#REF!</definedName>
    <definedName name="__rs172" localSheetId="4">#REF!</definedName>
    <definedName name="__rs172">#REF!</definedName>
    <definedName name="__rs173" localSheetId="4">#REF!</definedName>
    <definedName name="__rs173">#REF!</definedName>
    <definedName name="__rs175" localSheetId="4">#REF!</definedName>
    <definedName name="__rs175">#REF!</definedName>
    <definedName name="__rs181" localSheetId="4">#REF!</definedName>
    <definedName name="__rs181">#REF!</definedName>
    <definedName name="__rs1810" localSheetId="4">#REF!</definedName>
    <definedName name="__rs1810">#REF!</definedName>
    <definedName name="__rs182" localSheetId="4">#REF!</definedName>
    <definedName name="__rs182">#REF!</definedName>
    <definedName name="__rs183" localSheetId="4">#REF!</definedName>
    <definedName name="__rs183">#REF!</definedName>
    <definedName name="__rs185" localSheetId="4">#REF!</definedName>
    <definedName name="__rs185">#REF!</definedName>
    <definedName name="__rs191" localSheetId="4">#REF!</definedName>
    <definedName name="__rs191">#REF!</definedName>
    <definedName name="__rs1910" localSheetId="4">#REF!</definedName>
    <definedName name="__rs1910">#REF!</definedName>
    <definedName name="__rs192" localSheetId="4">#REF!</definedName>
    <definedName name="__rs192">#REF!</definedName>
    <definedName name="__rs193" localSheetId="4">#REF!</definedName>
    <definedName name="__rs193">#REF!</definedName>
    <definedName name="__rs195" localSheetId="4">#REF!</definedName>
    <definedName name="__rs195">#REF!</definedName>
    <definedName name="__rs201" localSheetId="4">#REF!</definedName>
    <definedName name="__rs201">#REF!</definedName>
    <definedName name="__rs2010" localSheetId="4">#REF!</definedName>
    <definedName name="__rs2010">#REF!</definedName>
    <definedName name="__rs202" localSheetId="4">#REF!</definedName>
    <definedName name="__rs202">#REF!</definedName>
    <definedName name="__rs203" localSheetId="4">#REF!</definedName>
    <definedName name="__rs203">#REF!</definedName>
    <definedName name="__rs205" localSheetId="4">#REF!</definedName>
    <definedName name="__rs205">#REF!</definedName>
    <definedName name="__rs21" localSheetId="4">#REF!</definedName>
    <definedName name="__rs21">#REF!</definedName>
    <definedName name="__rs210" localSheetId="4">#REF!</definedName>
    <definedName name="__rs210">#REF!</definedName>
    <definedName name="__rs211" localSheetId="4">#REF!</definedName>
    <definedName name="__rs211">#REF!</definedName>
    <definedName name="__rs2110" localSheetId="4">#REF!</definedName>
    <definedName name="__rs2110">#REF!</definedName>
    <definedName name="__rs212" localSheetId="4">#REF!</definedName>
    <definedName name="__rs212">#REF!</definedName>
    <definedName name="__rs213" localSheetId="4">#REF!</definedName>
    <definedName name="__rs213">#REF!</definedName>
    <definedName name="__rs215" localSheetId="4">#REF!</definedName>
    <definedName name="__rs215">#REF!</definedName>
    <definedName name="__rs22" localSheetId="4">#REF!</definedName>
    <definedName name="__rs22">#REF!</definedName>
    <definedName name="__rs221" localSheetId="4">#REF!</definedName>
    <definedName name="__rs221">#REF!</definedName>
    <definedName name="__rs2210" localSheetId="4">#REF!</definedName>
    <definedName name="__rs2210">#REF!</definedName>
    <definedName name="__rs222" localSheetId="4">#REF!</definedName>
    <definedName name="__rs222">#REF!</definedName>
    <definedName name="__rs223" localSheetId="4">#REF!</definedName>
    <definedName name="__rs223">#REF!</definedName>
    <definedName name="__rs225" localSheetId="4">#REF!</definedName>
    <definedName name="__rs225">#REF!</definedName>
    <definedName name="__rs23" localSheetId="4">#REF!</definedName>
    <definedName name="__rs23">#REF!</definedName>
    <definedName name="__rs231" localSheetId="4">#REF!</definedName>
    <definedName name="__rs231">#REF!</definedName>
    <definedName name="__rs2310" localSheetId="4">#REF!</definedName>
    <definedName name="__rs2310">#REF!</definedName>
    <definedName name="__rs232" localSheetId="4">#REF!</definedName>
    <definedName name="__rs232">#REF!</definedName>
    <definedName name="__rs233" localSheetId="4">#REF!</definedName>
    <definedName name="__rs233">#REF!</definedName>
    <definedName name="__rs235" localSheetId="4">#REF!</definedName>
    <definedName name="__rs235">#REF!</definedName>
    <definedName name="__rs241" localSheetId="4">#REF!</definedName>
    <definedName name="__rs241">#REF!</definedName>
    <definedName name="__rs2410" localSheetId="4">#REF!</definedName>
    <definedName name="__rs2410">#REF!</definedName>
    <definedName name="__rs242" localSheetId="4">#REF!</definedName>
    <definedName name="__rs242">#REF!</definedName>
    <definedName name="__rs243" localSheetId="4">#REF!</definedName>
    <definedName name="__rs243">#REF!</definedName>
    <definedName name="__rs245" localSheetId="4">#REF!</definedName>
    <definedName name="__rs245">#REF!</definedName>
    <definedName name="__rs25" localSheetId="4">#REF!</definedName>
    <definedName name="__rs25">#REF!</definedName>
    <definedName name="__rs251" localSheetId="4">#REF!</definedName>
    <definedName name="__rs251">#REF!</definedName>
    <definedName name="__rs2510" localSheetId="4">#REF!</definedName>
    <definedName name="__rs2510">#REF!</definedName>
    <definedName name="__rs252" localSheetId="4">#REF!</definedName>
    <definedName name="__rs252">#REF!</definedName>
    <definedName name="__rs253" localSheetId="4">#REF!</definedName>
    <definedName name="__rs253">#REF!</definedName>
    <definedName name="__rs255" localSheetId="4">#REF!</definedName>
    <definedName name="__rs255">#REF!</definedName>
    <definedName name="__rs31" localSheetId="4">#REF!</definedName>
    <definedName name="__rs31">#REF!</definedName>
    <definedName name="__rs310" localSheetId="4">#REF!</definedName>
    <definedName name="__rs310">#REF!</definedName>
    <definedName name="__rs32" localSheetId="4">#REF!</definedName>
    <definedName name="__rs32">#REF!</definedName>
    <definedName name="__rs33" localSheetId="4">#REF!</definedName>
    <definedName name="__rs33">#REF!</definedName>
    <definedName name="__rs35" localSheetId="4">#REF!</definedName>
    <definedName name="__rs35">#REF!</definedName>
    <definedName name="__rs41" localSheetId="4">#REF!</definedName>
    <definedName name="__rs41">#REF!</definedName>
    <definedName name="__rs410" localSheetId="4">#REF!</definedName>
    <definedName name="__rs410">#REF!</definedName>
    <definedName name="__rs42" localSheetId="4">#REF!</definedName>
    <definedName name="__rs42">#REF!</definedName>
    <definedName name="__rs43" localSheetId="4">#REF!</definedName>
    <definedName name="__rs43">#REF!</definedName>
    <definedName name="__rs45" localSheetId="4">#REF!</definedName>
    <definedName name="__rs45">#REF!</definedName>
    <definedName name="__rs51" localSheetId="4">#REF!</definedName>
    <definedName name="__rs51">#REF!</definedName>
    <definedName name="__rs510" localSheetId="4">#REF!</definedName>
    <definedName name="__rs510">#REF!</definedName>
    <definedName name="__rs52" localSheetId="4">#REF!</definedName>
    <definedName name="__rs52">#REF!</definedName>
    <definedName name="__rs53" localSheetId="4">#REF!</definedName>
    <definedName name="__rs53">#REF!</definedName>
    <definedName name="__rs55" localSheetId="4">#REF!</definedName>
    <definedName name="__rs55">#REF!</definedName>
    <definedName name="__rs61" localSheetId="4">#REF!</definedName>
    <definedName name="__rs61">#REF!</definedName>
    <definedName name="__rs610" localSheetId="4">#REF!</definedName>
    <definedName name="__rs610">#REF!</definedName>
    <definedName name="__rs62" localSheetId="4">#REF!</definedName>
    <definedName name="__rs62">#REF!</definedName>
    <definedName name="__rs63" localSheetId="4">#REF!</definedName>
    <definedName name="__rs63">#REF!</definedName>
    <definedName name="__rs65" localSheetId="4">#REF!</definedName>
    <definedName name="__rs65">#REF!</definedName>
    <definedName name="__rs71" localSheetId="4">#REF!</definedName>
    <definedName name="__rs71">#REF!</definedName>
    <definedName name="__rs710" localSheetId="4">#REF!</definedName>
    <definedName name="__rs710">#REF!</definedName>
    <definedName name="__rs72" localSheetId="4">#REF!</definedName>
    <definedName name="__rs72">#REF!</definedName>
    <definedName name="__rs73" localSheetId="4">#REF!</definedName>
    <definedName name="__rs73">#REF!</definedName>
    <definedName name="__rs75" localSheetId="4">#REF!</definedName>
    <definedName name="__rs75">#REF!</definedName>
    <definedName name="__rs81" localSheetId="4">#REF!</definedName>
    <definedName name="__rs81">#REF!</definedName>
    <definedName name="__rs810" localSheetId="4">#REF!</definedName>
    <definedName name="__rs810">#REF!</definedName>
    <definedName name="__rs82" localSheetId="4">#REF!</definedName>
    <definedName name="__rs82">#REF!</definedName>
    <definedName name="__rs83" localSheetId="4">#REF!</definedName>
    <definedName name="__rs83">#REF!</definedName>
    <definedName name="__rs85" localSheetId="4">#REF!</definedName>
    <definedName name="__rs85">#REF!</definedName>
    <definedName name="__rs91" localSheetId="4">#REF!</definedName>
    <definedName name="__rs91">#REF!</definedName>
    <definedName name="__rs910" localSheetId="4">#REF!</definedName>
    <definedName name="__rs910">#REF!</definedName>
    <definedName name="__rs92" localSheetId="4">#REF!</definedName>
    <definedName name="__rs92">#REF!</definedName>
    <definedName name="__rs93" localSheetId="4">#REF!</definedName>
    <definedName name="__rs93">#REF!</definedName>
    <definedName name="__rs95" localSheetId="4">#REF!</definedName>
    <definedName name="__rs95">#REF!</definedName>
    <definedName name="__sc1" localSheetId="4">#REF!</definedName>
    <definedName name="__sc1">#REF!</definedName>
    <definedName name="__T2" localSheetId="0">#REF!</definedName>
    <definedName name="__T2" localSheetId="1">#REF!</definedName>
    <definedName name="__T2">'[3]Estimate Warehouse'!#REF!</definedName>
    <definedName name="__tdp1" localSheetId="0">#REF!</definedName>
    <definedName name="__tdp1" localSheetId="1">#REF!</definedName>
    <definedName name="__tdp1" localSheetId="4">#REF!</definedName>
    <definedName name="__tdp1">#REF!</definedName>
    <definedName name="__ubr1" localSheetId="0">#REF!</definedName>
    <definedName name="__ubr1" localSheetId="1">#REF!</definedName>
    <definedName name="__ubr1" localSheetId="4">#REF!</definedName>
    <definedName name="__ubr1">#REF!</definedName>
    <definedName name="_0_SLQ_MetricsDIR" localSheetId="4">#REF!</definedName>
    <definedName name="_0_SLQ_MetricsDIR">#REF!</definedName>
    <definedName name="_0_SLQ_MetricsIND" localSheetId="4">#REF!</definedName>
    <definedName name="_0_SLQ_MetricsIND">#REF!</definedName>
    <definedName name="_0_TAQ_TDC_AcctSumry" localSheetId="4">#REF!</definedName>
    <definedName name="_0_TAQ_TDC_AcctSumry">#REF!</definedName>
    <definedName name="_0_TAQ_TDC_ListEQProj" localSheetId="4">#REF!</definedName>
    <definedName name="_0_TAQ_TDC_ListEQProj">#REF!</definedName>
    <definedName name="_1" localSheetId="4" hidden="1">#REF!</definedName>
    <definedName name="_1" hidden="1">#REF!</definedName>
    <definedName name="_1__123Graph_ACHART_1" hidden="1">#N/A</definedName>
    <definedName name="_12_Month" localSheetId="0">#REF!</definedName>
    <definedName name="_12_Month" localSheetId="1">#REF!</definedName>
    <definedName name="_12_Month" localSheetId="4">#REF!</definedName>
    <definedName name="_12_Month">#REF!</definedName>
    <definedName name="_12_month_growth" localSheetId="0">#REF!</definedName>
    <definedName name="_12_month_growth" localSheetId="1">#REF!</definedName>
    <definedName name="_12_month_growth" localSheetId="4">#REF!</definedName>
    <definedName name="_12_month_growth">#REF!</definedName>
    <definedName name="_18_month_growth" localSheetId="0">#REF!</definedName>
    <definedName name="_18_month_growth" localSheetId="1">#REF!</definedName>
    <definedName name="_18_month_growth" localSheetId="4">#REF!</definedName>
    <definedName name="_18_month_growth">#REF!</definedName>
    <definedName name="_1ANNEXURE__A" localSheetId="4">#REF!</definedName>
    <definedName name="_1ANNEXURE__A">#REF!</definedName>
    <definedName name="_1ST" localSheetId="4">#REF!</definedName>
    <definedName name="_1ST">#REF!</definedName>
    <definedName name="_2__123Graph_BCHART_1" hidden="1">#N/A</definedName>
    <definedName name="_2_SLQ_NozzleList" localSheetId="0">#REF!</definedName>
    <definedName name="_2_SLQ_NozzleList" localSheetId="1">#REF!</definedName>
    <definedName name="_2_SLQ_NozzleList" localSheetId="4">#REF!</definedName>
    <definedName name="_2_SLQ_NozzleList">#REF!</definedName>
    <definedName name="_24_month_growth" localSheetId="0">#REF!</definedName>
    <definedName name="_24_month_growth" localSheetId="1">#REF!</definedName>
    <definedName name="_24_month_growth" localSheetId="4">#REF!</definedName>
    <definedName name="_24_month_growth">#REF!</definedName>
    <definedName name="_2ANNEXURE__A" localSheetId="0">#REF!</definedName>
    <definedName name="_2ANNEXURE__A" localSheetId="1">#REF!</definedName>
    <definedName name="_2ANNEXURE__A" localSheetId="4">#REF!</definedName>
    <definedName name="_2ANNEXURE__A">#REF!</definedName>
    <definedName name="_2ANNEXURE__B" localSheetId="4">#REF!</definedName>
    <definedName name="_2ANNEXURE__B">#REF!</definedName>
    <definedName name="_2ND" localSheetId="4">#REF!</definedName>
    <definedName name="_2ND">#REF!</definedName>
    <definedName name="_3__123Graph_XCHART_1" hidden="1">#N/A</definedName>
    <definedName name="_3_AQ_Acct3Pipe_AvgDiam" localSheetId="0">#REF!</definedName>
    <definedName name="_3_AQ_Acct3Pipe_AvgDiam" localSheetId="1">#REF!</definedName>
    <definedName name="_3_AQ_Acct3Pipe_AvgDiam" localSheetId="4">#REF!</definedName>
    <definedName name="_3_AQ_Acct3Pipe_AvgDiam">#REF!</definedName>
    <definedName name="_3_AQ_AGPipe_AvgDiam" localSheetId="0">#REF!</definedName>
    <definedName name="_3_AQ_AGPipe_AvgDiam" localSheetId="1">#REF!</definedName>
    <definedName name="_3_AQ_AGPipe_AvgDiam" localSheetId="4">#REF!</definedName>
    <definedName name="_3_AQ_AGPipe_AvgDiam">#REF!</definedName>
    <definedName name="_3_AQ_AGPipe_AvgDiam_BoreLg" localSheetId="0">#REF!</definedName>
    <definedName name="_3_AQ_AGPipe_AvgDiam_BoreLg" localSheetId="1">#REF!</definedName>
    <definedName name="_3_AQ_AGPipe_AvgDiam_BoreLg" localSheetId="4">#REF!</definedName>
    <definedName name="_3_AQ_AGPipe_AvgDiam_BoreLg">#REF!</definedName>
    <definedName name="_3_AQ_AGPipe_AvgDiam_BoreSm" localSheetId="4">#REF!</definedName>
    <definedName name="_3_AQ_AGPipe_AvgDiam_BoreSm">#REF!</definedName>
    <definedName name="_3_AQ_AGPipe_AvgDiam_MatCS" localSheetId="4">#REF!</definedName>
    <definedName name="_3_AQ_AGPipe_AvgDiam_MatCS">#REF!</definedName>
    <definedName name="_3_AQ_AGPipe_AvgDiam_MatMisc" localSheetId="4">#REF!</definedName>
    <definedName name="_3_AQ_AGPipe_AvgDiam_MatMisc">#REF!</definedName>
    <definedName name="_3_AQ_AGPipe_AvgDiam_MatSS" localSheetId="4">#REF!</definedName>
    <definedName name="_3_AQ_AGPipe_AvgDiam_MatSS">#REF!</definedName>
    <definedName name="_3_AQ_UGPipe_AvgDiam" localSheetId="4">#REF!</definedName>
    <definedName name="_3_AQ_UGPipe_AvgDiam">#REF!</definedName>
    <definedName name="_3_KQQ_AGPipe_Sub1_BoreLg" localSheetId="4">#REF!</definedName>
    <definedName name="_3_KQQ_AGPipe_Sub1_BoreLg">#REF!</definedName>
    <definedName name="_3_KQQ_AGPipe_Sub1_BoreSm" localSheetId="4">#REF!</definedName>
    <definedName name="_3_KQQ_AGPipe_Sub1_BoreSm">#REF!</definedName>
    <definedName name="_3_KQQ_AGPipe_Sub2_InstPipe" localSheetId="4">#REF!</definedName>
    <definedName name="_3_KQQ_AGPipe_Sub2_InstPipe">#REF!</definedName>
    <definedName name="_3_KQQ_AGPipe_Sub2_Spool" localSheetId="4">#REF!</definedName>
    <definedName name="_3_KQQ_AGPipe_Sub2_Spool">#REF!</definedName>
    <definedName name="_3_KQQ_AGPipe_Sub2_StRun" localSheetId="4">#REF!</definedName>
    <definedName name="_3_KQQ_AGPipe_Sub2_StRun">#REF!</definedName>
    <definedName name="_3_KQQ_AGPipe_Sub3_FieldRunFab" localSheetId="4">#REF!</definedName>
    <definedName name="_3_KQQ_AGPipe_Sub3_FieldRunFab">#REF!</definedName>
    <definedName name="_3_KQQ_AGPipe_Sub3_RemoteFab" localSheetId="4">#REF!</definedName>
    <definedName name="_3_KQQ_AGPipe_Sub3_RemoteFab">#REF!</definedName>
    <definedName name="_3_KQQ_AGPipeLength_MatCS" localSheetId="4">#REF!</definedName>
    <definedName name="_3_KQQ_AGPipeLength_MatCS">#REF!</definedName>
    <definedName name="_3_KQQ_AGPipeLength_MatMisc" localSheetId="4">#REF!</definedName>
    <definedName name="_3_KQQ_AGPipeLength_MatMisc">#REF!</definedName>
    <definedName name="_3_KQQ_AGPipeLength_MatSS" localSheetId="4">#REF!</definedName>
    <definedName name="_3_KQQ_AGPipeLength_MatSS">#REF!</definedName>
    <definedName name="_3RD" localSheetId="4">#REF!</definedName>
    <definedName name="_3RD">#REF!</definedName>
    <definedName name="_4_KQQ_Conc_Sub1_BlkLg" localSheetId="4">#REF!</definedName>
    <definedName name="_4_KQQ_Conc_Sub1_BlkLg">#REF!</definedName>
    <definedName name="_4_KQQ_Conc_Sub1_BlkMed" localSheetId="4">#REF!</definedName>
    <definedName name="_4_KQQ_Conc_Sub1_BlkMed">#REF!</definedName>
    <definedName name="_4_KQQ_Conc_Sub1_BlkSm" localSheetId="4">#REF!</definedName>
    <definedName name="_4_KQQ_Conc_Sub1_BlkSm">#REF!</definedName>
    <definedName name="_4_KQQ_Conc_Sub1_DuctBank" localSheetId="4">#REF!</definedName>
    <definedName name="_4_KQQ_Conc_Sub1_DuctBank">#REF!</definedName>
    <definedName name="_4_KQQ_Conc_Sub1_Elev" localSheetId="4">#REF!</definedName>
    <definedName name="_4_KQQ_Conc_Sub1_Elev">#REF!</definedName>
    <definedName name="_4_KQQ_Conc_Sub1_MassLg" localSheetId="4">#REF!</definedName>
    <definedName name="_4_KQQ_Conc_Sub1_MassLg">#REF!</definedName>
    <definedName name="_4_KQQ_Conc_Sub1_MassMed" localSheetId="4">#REF!</definedName>
    <definedName name="_4_KQQ_Conc_Sub1_MassMed">#REF!</definedName>
    <definedName name="_4_KQQ_Conc_Sub1_MassSm" localSheetId="4">#REF!</definedName>
    <definedName name="_4_KQQ_Conc_Sub1_MassSm">#REF!</definedName>
    <definedName name="_4_KQQ_Conc_Sub1_Piling" localSheetId="4">#REF!</definedName>
    <definedName name="_4_KQQ_Conc_Sub1_Piling">#REF!</definedName>
    <definedName name="_4_KQQ_ConcTot_Embeds" localSheetId="4">#REF!</definedName>
    <definedName name="_4_KQQ_ConcTot_Embeds">#REF!</definedName>
    <definedName name="_4_KQQ_ConcTot_ExcBF" localSheetId="4">#REF!</definedName>
    <definedName name="_4_KQQ_ConcTot_ExcBF">#REF!</definedName>
    <definedName name="_4_KQQ_ConcTot_Forms" localSheetId="4">#REF!</definedName>
    <definedName name="_4_KQQ_ConcTot_Forms">#REF!</definedName>
    <definedName name="_4_KQQ_ConcTot_Grout" localSheetId="4">#REF!</definedName>
    <definedName name="_4_KQQ_ConcTot_Grout">#REF!</definedName>
    <definedName name="_4_KQQ_ConcTot_Rebar" localSheetId="4">#REF!</definedName>
    <definedName name="_4_KQQ_ConcTot_Rebar">#REF!</definedName>
    <definedName name="_4_KQQ_ConcTotQty" localSheetId="4">#REF!</definedName>
    <definedName name="_4_KQQ_ConcTotQty">#REF!</definedName>
    <definedName name="_4ANNEXURE__B" localSheetId="4">#REF!</definedName>
    <definedName name="_4ANNEXURE__B">#REF!</definedName>
    <definedName name="_5_KQQ_TotQty_Sub1_ExLtLt" localSheetId="4">#REF!</definedName>
    <definedName name="_5_KQQ_TotQty_Sub1_ExLtLt">#REF!</definedName>
    <definedName name="_5_KQQ_TotQty_Sub1_HvyXHvy" localSheetId="4">#REF!</definedName>
    <definedName name="_5_KQQ_TotQty_Sub1_HvyXHvy">#REF!</definedName>
    <definedName name="_5_KQQ_TotQty_Sub1_Ldr" localSheetId="4">#REF!</definedName>
    <definedName name="_5_KQQ_TotQty_Sub1_Ldr">#REF!</definedName>
    <definedName name="_5_KQQ_TotQty_Sub1_Med" localSheetId="4">#REF!</definedName>
    <definedName name="_5_KQQ_TotQty_Sub1_Med">#REF!</definedName>
    <definedName name="_5_KQQ_TotQty_Sub1_Misc" localSheetId="4">#REF!</definedName>
    <definedName name="_5_KQQ_TotQty_Sub1_Misc">#REF!</definedName>
    <definedName name="_5_KQQ_TotQty_Sub1_PlatStrGrt" localSheetId="4">#REF!</definedName>
    <definedName name="_5_KQQ_TotQty_Sub1_PlatStrGrt">#REF!</definedName>
    <definedName name="_5_KQQ_TotQty_Sub2_FloorTread" localSheetId="4">#REF!</definedName>
    <definedName name="_5_KQQ_TotQty_Sub2_FloorTread">#REF!</definedName>
    <definedName name="_5_KQQ_TotQty_Sub2_HR" localSheetId="4">#REF!</definedName>
    <definedName name="_5_KQQ_TotQty_Sub2_HR">#REF!</definedName>
    <definedName name="_5_KQQ_TotQty_Sub2_Ladder" localSheetId="4">#REF!</definedName>
    <definedName name="_5_KQQ_TotQty_Sub2_Ladder">#REF!</definedName>
    <definedName name="_5_KQQ_TotQty_Sub2_Other" localSheetId="4">#REF!</definedName>
    <definedName name="_5_KQQ_TotQty_Sub2_Other">#REF!</definedName>
    <definedName name="_5_KQQ_TotQty_Sub2_Piperack" localSheetId="4">#REF!</definedName>
    <definedName name="_5_KQQ_TotQty_Sub2_Piperack">#REF!</definedName>
    <definedName name="_5_KQQ_TotQty_Sub2_Platform" localSheetId="4">#REF!</definedName>
    <definedName name="_5_KQQ_TotQty_Sub2_Platform">#REF!</definedName>
    <definedName name="_5_KQQ_TotQty_Sub2_Structure" localSheetId="4">#REF!</definedName>
    <definedName name="_5_KQQ_TotQty_Sub2_Structure">#REF!</definedName>
    <definedName name="_5_KQQ_TotQty_Sub2_Suppts" localSheetId="4">#REF!</definedName>
    <definedName name="_5_KQQ_TotQty_Sub2_Suppts">#REF!</definedName>
    <definedName name="_5_KQQ_TotQty_Sub2_TowersTrusses" localSheetId="4">#REF!</definedName>
    <definedName name="_5_KQQ_TotQty_Sub2_TowersTrusses">#REF!</definedName>
    <definedName name="_6_KQQ_InstTerms" localSheetId="4">#REF!</definedName>
    <definedName name="_6_KQQ_InstTerms">#REF!</definedName>
    <definedName name="_6_KQQ_InstWire" localSheetId="4">#REF!</definedName>
    <definedName name="_6_KQQ_InstWire">#REF!</definedName>
    <definedName name="_6_KQQ_RacewayTot" localSheetId="4">#REF!</definedName>
    <definedName name="_6_KQQ_RacewayTot">#REF!</definedName>
    <definedName name="_6_KQQ_TotCount_InstJBox" localSheetId="4">#REF!</definedName>
    <definedName name="_6_KQQ_TotCount_InstJBox">#REF!</definedName>
    <definedName name="_7_KQQ_AGElecTerms" localSheetId="4">#REF!</definedName>
    <definedName name="_7_KQQ_AGElecTerms">#REF!</definedName>
    <definedName name="_7_KQQ_AGJBox" localSheetId="4">#REF!</definedName>
    <definedName name="_7_KQQ_AGJBox">#REF!</definedName>
    <definedName name="_7_KQQ_AGRacewayTot" localSheetId="4">#REF!</definedName>
    <definedName name="_7_KQQ_AGRacewayTot">#REF!</definedName>
    <definedName name="_7_KQQ_AGUGElecTerms" localSheetId="4">#REF!</definedName>
    <definedName name="_7_KQQ_AGUGElecTerms">#REF!</definedName>
    <definedName name="_7_KQQ_AGUGJBox" localSheetId="4">#REF!</definedName>
    <definedName name="_7_KQQ_AGUGJBox">#REF!</definedName>
    <definedName name="_7_KQQ_AGUGRacewayTot" localSheetId="4">#REF!</definedName>
    <definedName name="_7_KQQ_AGUGRacewayTot">#REF!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FALSE</definedName>
    <definedName name="_AtRisk_SimSetting_LiveUpdatePeriod" hidden="1">-1</definedName>
    <definedName name="_AtRisk_SimSetting_RandomNumberGenerator" hidden="1">0</definedName>
    <definedName name="_AtRisk_SimSetting_ReportsList" hidden="1">255</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_aux10" localSheetId="4">#REF!</definedName>
    <definedName name="_aux10">#REF!</definedName>
    <definedName name="_aux3" localSheetId="4">#REF!</definedName>
    <definedName name="_aux3">#REF!</definedName>
    <definedName name="_aux5" localSheetId="4">#REF!</definedName>
    <definedName name="_aux5">#REF!</definedName>
    <definedName name="_aux7" localSheetId="4">#REF!</definedName>
    <definedName name="_aux7">#REF!</definedName>
    <definedName name="_bar1" localSheetId="0" hidden="1">{#N/A,#N/A,FALSE,"GERAL";#N/A,#N/A,FALSE,"012-96";#N/A,#N/A,FALSE,"018-96";#N/A,#N/A,FALSE,"027-96";#N/A,#N/A,FALSE,"059-96";#N/A,#N/A,FALSE,"076-96";#N/A,#N/A,FALSE,"019-97";#N/A,#N/A,FALSE,"021-97";#N/A,#N/A,FALSE,"022-97";#N/A,#N/A,FALSE,"028-97"}</definedName>
    <definedName name="_bar1" localSheetId="1" hidden="1">{#N/A,#N/A,FALSE,"GERAL";#N/A,#N/A,FALSE,"012-96";#N/A,#N/A,FALSE,"018-96";#N/A,#N/A,FALSE,"027-96";#N/A,#N/A,FALSE,"059-96";#N/A,#N/A,FALSE,"076-96";#N/A,#N/A,FALSE,"019-97";#N/A,#N/A,FALSE,"021-97";#N/A,#N/A,FALSE,"022-97";#N/A,#N/A,FALSE,"028-97"}</definedName>
    <definedName name="_bar1" localSheetId="4" hidden="1">{#N/A,#N/A,FALSE,"GERAL";#N/A,#N/A,FALSE,"012-96";#N/A,#N/A,FALSE,"018-96";#N/A,#N/A,FALSE,"027-96";#N/A,#N/A,FALSE,"059-96";#N/A,#N/A,FALSE,"076-96";#N/A,#N/A,FALSE,"019-97";#N/A,#N/A,FALSE,"021-97";#N/A,#N/A,FALSE,"022-97";#N/A,#N/A,FALSE,"028-97"}</definedName>
    <definedName name="_bar1" hidden="1">{#N/A,#N/A,FALSE,"GERAL";#N/A,#N/A,FALSE,"012-96";#N/A,#N/A,FALSE,"018-96";#N/A,#N/A,FALSE,"027-96";#N/A,#N/A,FALSE,"059-96";#N/A,#N/A,FALSE,"076-96";#N/A,#N/A,FALSE,"019-97";#N/A,#N/A,FALSE,"021-97";#N/A,#N/A,FALSE,"022-97";#N/A,#N/A,FALSE,"028-97"}</definedName>
    <definedName name="_boq10" localSheetId="4">#REF!</definedName>
    <definedName name="_boq10">#REF!</definedName>
    <definedName name="_boq11" localSheetId="4">#REF!</definedName>
    <definedName name="_boq11">#REF!</definedName>
    <definedName name="_boq12" localSheetId="4">#REF!</definedName>
    <definedName name="_boq12">#REF!</definedName>
    <definedName name="_boq13" localSheetId="4">#REF!</definedName>
    <definedName name="_boq13">#REF!</definedName>
    <definedName name="_boq14" localSheetId="4">#REF!</definedName>
    <definedName name="_boq14">#REF!</definedName>
    <definedName name="_boq15" localSheetId="4">#REF!</definedName>
    <definedName name="_boq15">#REF!</definedName>
    <definedName name="_boq16" localSheetId="4">#REF!</definedName>
    <definedName name="_boq16">#REF!</definedName>
    <definedName name="_boq17" localSheetId="4">#REF!</definedName>
    <definedName name="_boq17">#REF!</definedName>
    <definedName name="_boq18" localSheetId="4">#REF!</definedName>
    <definedName name="_boq18">#REF!</definedName>
    <definedName name="_boq19" localSheetId="4">#REF!</definedName>
    <definedName name="_boq19">#REF!</definedName>
    <definedName name="_boq2" localSheetId="4">#REF!</definedName>
    <definedName name="_boq2">#REF!</definedName>
    <definedName name="_boq20" localSheetId="4">#REF!</definedName>
    <definedName name="_boq20">#REF!</definedName>
    <definedName name="_boq21" localSheetId="4">#REF!</definedName>
    <definedName name="_boq21">#REF!</definedName>
    <definedName name="_boq22" localSheetId="4">#REF!</definedName>
    <definedName name="_boq22">#REF!</definedName>
    <definedName name="_boq23" localSheetId="4">#REF!</definedName>
    <definedName name="_boq23">#REF!</definedName>
    <definedName name="_boq24" localSheetId="4">#REF!</definedName>
    <definedName name="_boq24">#REF!</definedName>
    <definedName name="_boq25" localSheetId="4">#REF!</definedName>
    <definedName name="_boq25">#REF!</definedName>
    <definedName name="_boq26" localSheetId="4">#REF!</definedName>
    <definedName name="_boq26">#REF!</definedName>
    <definedName name="_boq27" localSheetId="4">#REF!</definedName>
    <definedName name="_boq27">#REF!</definedName>
    <definedName name="_boq28" localSheetId="4">#REF!</definedName>
    <definedName name="_boq28">#REF!</definedName>
    <definedName name="_boq29" localSheetId="4">#REF!</definedName>
    <definedName name="_boq29">#REF!</definedName>
    <definedName name="_boq30" localSheetId="4">#REF!</definedName>
    <definedName name="_boq30">#REF!</definedName>
    <definedName name="_boq31" localSheetId="4">#REF!</definedName>
    <definedName name="_boq31">#REF!</definedName>
    <definedName name="_boq32" localSheetId="4">#REF!</definedName>
    <definedName name="_boq32">#REF!</definedName>
    <definedName name="_boq33" localSheetId="4">#REF!</definedName>
    <definedName name="_boq33">#REF!</definedName>
    <definedName name="_boq34" localSheetId="4">#REF!</definedName>
    <definedName name="_boq34">#REF!</definedName>
    <definedName name="_boq35" localSheetId="4">#REF!</definedName>
    <definedName name="_boq35">#REF!</definedName>
    <definedName name="_boq36" localSheetId="4">#REF!</definedName>
    <definedName name="_boq36">#REF!</definedName>
    <definedName name="_boq37" localSheetId="4">#REF!</definedName>
    <definedName name="_boq37">#REF!</definedName>
    <definedName name="_boq38" localSheetId="4">#REF!</definedName>
    <definedName name="_boq38">#REF!</definedName>
    <definedName name="_boq39" localSheetId="4">#REF!</definedName>
    <definedName name="_boq39">#REF!</definedName>
    <definedName name="_boq4" localSheetId="4">#REF!</definedName>
    <definedName name="_boq4">#REF!</definedName>
    <definedName name="_boq40" localSheetId="4">#REF!</definedName>
    <definedName name="_boq40">#REF!</definedName>
    <definedName name="_boq41" localSheetId="4">#REF!</definedName>
    <definedName name="_boq41">#REF!</definedName>
    <definedName name="_boq42" localSheetId="4">#REF!</definedName>
    <definedName name="_boq42">#REF!</definedName>
    <definedName name="_boq44" localSheetId="4">#REF!</definedName>
    <definedName name="_boq44">#REF!</definedName>
    <definedName name="_boq45" localSheetId="4">#REF!</definedName>
    <definedName name="_boq45">#REF!</definedName>
    <definedName name="_boq46" localSheetId="4">#REF!</definedName>
    <definedName name="_boq46">#REF!</definedName>
    <definedName name="_boq47" localSheetId="4">#REF!</definedName>
    <definedName name="_boq47">#REF!</definedName>
    <definedName name="_boq48" localSheetId="4">#REF!</definedName>
    <definedName name="_boq48">#REF!</definedName>
    <definedName name="_boq49" localSheetId="4">#REF!</definedName>
    <definedName name="_boq49">#REF!</definedName>
    <definedName name="_boq5" localSheetId="4">#REF!</definedName>
    <definedName name="_boq5">#REF!</definedName>
    <definedName name="_boq50" localSheetId="4">#REF!</definedName>
    <definedName name="_boq50">#REF!</definedName>
    <definedName name="_boq6" localSheetId="4">#REF!</definedName>
    <definedName name="_boq6">#REF!</definedName>
    <definedName name="_boq7" localSheetId="4">#REF!</definedName>
    <definedName name="_boq7">#REF!</definedName>
    <definedName name="_boq8" localSheetId="4">#REF!</definedName>
    <definedName name="_boq8">#REF!</definedName>
    <definedName name="_boq9" localSheetId="4">#REF!</definedName>
    <definedName name="_boq9">#REF!</definedName>
    <definedName name="_CAT07" localSheetId="0">#REF!</definedName>
    <definedName name="_CAT07" localSheetId="1">#REF!</definedName>
    <definedName name="_CAT07">[2]Equip!#REF!</definedName>
    <definedName name="_CAT12" localSheetId="0">#REF!</definedName>
    <definedName name="_CAT12" localSheetId="1">#REF!</definedName>
    <definedName name="_CAT12">[2]Equip!#REF!</definedName>
    <definedName name="_CAT21" localSheetId="0">#REF!</definedName>
    <definedName name="_CAT21" localSheetId="1">#REF!</definedName>
    <definedName name="_CAT21">[2]Equip!#REF!</definedName>
    <definedName name="_CAT22" localSheetId="0">#REF!</definedName>
    <definedName name="_CAT22" localSheetId="1">#REF!</definedName>
    <definedName name="_CAT22">[2]Equip!#REF!</definedName>
    <definedName name="_CAT31" localSheetId="0">#REF!</definedName>
    <definedName name="_CAT31" localSheetId="1">#REF!</definedName>
    <definedName name="_CAT31">[2]Equip!#REF!</definedName>
    <definedName name="_CAT33" localSheetId="0">#REF!</definedName>
    <definedName name="_CAT33" localSheetId="1">#REF!</definedName>
    <definedName name="_CAT33">[2]Equip!#REF!</definedName>
    <definedName name="_CAT34" localSheetId="0">#REF!</definedName>
    <definedName name="_CAT34" localSheetId="1">#REF!</definedName>
    <definedName name="_CAT34">[2]Equip!#REF!</definedName>
    <definedName name="_CAT35" localSheetId="0">#REF!</definedName>
    <definedName name="_CAT35" localSheetId="1">#REF!</definedName>
    <definedName name="_CAT35">[2]Equip!#REF!</definedName>
    <definedName name="_CAT36" localSheetId="0">#REF!</definedName>
    <definedName name="_CAT36" localSheetId="1">#REF!</definedName>
    <definedName name="_CAT36">[2]Equip!#REF!</definedName>
    <definedName name="_CAT39" localSheetId="0">#REF!</definedName>
    <definedName name="_CAT39" localSheetId="1">#REF!</definedName>
    <definedName name="_CAT39">[2]Equip!#REF!</definedName>
    <definedName name="_CAT42" localSheetId="0">#REF!</definedName>
    <definedName name="_CAT42" localSheetId="1">#REF!</definedName>
    <definedName name="_CAT42">[2]Equip!#REF!</definedName>
    <definedName name="_CAT43" localSheetId="0">#REF!</definedName>
    <definedName name="_CAT43" localSheetId="1">#REF!</definedName>
    <definedName name="_CAT43">[2]Equip!#REF!</definedName>
    <definedName name="_CAT45" localSheetId="0">#REF!</definedName>
    <definedName name="_CAT45" localSheetId="1">#REF!</definedName>
    <definedName name="_CAT45">[2]Equip!#REF!</definedName>
    <definedName name="_CAT46" localSheetId="0">#REF!</definedName>
    <definedName name="_CAT46" localSheetId="1">#REF!</definedName>
    <definedName name="_CAT46">[2]Equip!#REF!</definedName>
    <definedName name="_CAT48" localSheetId="0">#REF!</definedName>
    <definedName name="_CAT48" localSheetId="1">#REF!</definedName>
    <definedName name="_CAT48">[2]Equip!#REF!</definedName>
    <definedName name="_CAT49" localSheetId="0">#REF!</definedName>
    <definedName name="_CAT49" localSheetId="1">#REF!</definedName>
    <definedName name="_CAT49">[2]Equip!#REF!</definedName>
    <definedName name="_CAT52" localSheetId="0">#REF!</definedName>
    <definedName name="_CAT52" localSheetId="1">#REF!</definedName>
    <definedName name="_CAT52">[2]Equip!#REF!</definedName>
    <definedName name="_CAT53" localSheetId="0">#REF!</definedName>
    <definedName name="_CAT53" localSheetId="1">#REF!</definedName>
    <definedName name="_CAT53">[2]Equip!#REF!</definedName>
    <definedName name="_CAT54" localSheetId="0">#REF!</definedName>
    <definedName name="_CAT54" localSheetId="1">#REF!</definedName>
    <definedName name="_CAT54">[2]Equip!#REF!</definedName>
    <definedName name="_CAT55" localSheetId="0">#REF!</definedName>
    <definedName name="_CAT55" localSheetId="1">#REF!</definedName>
    <definedName name="_CAT55">[2]Equip!#REF!</definedName>
    <definedName name="_CAT82" localSheetId="0">#REF!</definedName>
    <definedName name="_CAT82" localSheetId="1">#REF!</definedName>
    <definedName name="_CAT82">[2]Equip!#REF!</definedName>
    <definedName name="_CAT84" localSheetId="0">#REF!</definedName>
    <definedName name="_CAT84" localSheetId="1">#REF!</definedName>
    <definedName name="_CAT84">[2]Equip!#REF!</definedName>
    <definedName name="_ccr1" localSheetId="0" hidden="1">{#N/A,#N/A,TRUE,"Cover";#N/A,#N/A,TRUE,"Conts";#N/A,#N/A,TRUE,"VOS";#N/A,#N/A,TRUE,"Warrington";#N/A,#N/A,TRUE,"Widnes"}</definedName>
    <definedName name="_ccr1" localSheetId="1" hidden="1">{#N/A,#N/A,TRUE,"Cover";#N/A,#N/A,TRUE,"Conts";#N/A,#N/A,TRUE,"VOS";#N/A,#N/A,TRUE,"Warrington";#N/A,#N/A,TRUE,"Widnes"}</definedName>
    <definedName name="_ccr1" localSheetId="4" hidden="1">{#N/A,#N/A,TRUE,"Cover";#N/A,#N/A,TRUE,"Conts";#N/A,#N/A,TRUE,"VOS";#N/A,#N/A,TRUE,"Warrington";#N/A,#N/A,TRUE,"Widnes"}</definedName>
    <definedName name="_ccr1" hidden="1">{#N/A,#N/A,TRUE,"Cover";#N/A,#N/A,TRUE,"Conts";#N/A,#N/A,TRUE,"VOS";#N/A,#N/A,TRUE,"Warrington";#N/A,#N/A,TRUE,"Widnes"}</definedName>
    <definedName name="_Currency_List__Equipment" localSheetId="0">#REF!</definedName>
    <definedName name="_Currency_List__Equipment" localSheetId="1">#REF!</definedName>
    <definedName name="_Currency_List__Equipment" localSheetId="4">#REF!</definedName>
    <definedName name="_Currency_List__Equipment">#REF!</definedName>
    <definedName name="_DilutionPC" localSheetId="0">#REF!</definedName>
    <definedName name="_DilutionPC" localSheetId="1">#REF!</definedName>
    <definedName name="_DilutionPC" localSheetId="4">#REF!</definedName>
    <definedName name="_DilutionPC">#REF!</definedName>
    <definedName name="_Estimate_Class_List__Equipment" localSheetId="4">#REF!</definedName>
    <definedName name="_Estimate_Class_List__Equipment">#REF!</definedName>
    <definedName name="_Estimate_Date_List__Equipment" localSheetId="4">#REF!</definedName>
    <definedName name="_Estimate_Date_List__Equipment">#REF!</definedName>
    <definedName name="_Fil" localSheetId="0" hidden="1">#REF!</definedName>
    <definedName name="_Fil" localSheetId="1" hidden="1">#REF!</definedName>
    <definedName name="_Fil" hidden="1">[4]PRELIMIN!#REF!</definedName>
    <definedName name="_Fill" localSheetId="0" hidden="1">#REF!</definedName>
    <definedName name="_Fill" localSheetId="1" hidden="1">#REF!</definedName>
    <definedName name="_Fill" hidden="1">[5]PRELIMIN!#REF!</definedName>
    <definedName name="_filll" localSheetId="0" hidden="1">#REF!</definedName>
    <definedName name="_filll" localSheetId="1" hidden="1">#REF!</definedName>
    <definedName name="_filll" hidden="1">[4]PRELIMIN!#REF!</definedName>
    <definedName name="_xlnm._FilterDatabase" localSheetId="0" hidden="1">'Baseline BoQ'!$A$1:$N$2017</definedName>
    <definedName name="_xlnm._FilterDatabase" localSheetId="5" hidden="1">'Materials Code'!$A$1:$H$389</definedName>
    <definedName name="_xlnm._FilterDatabase" localSheetId="1" hidden="1">'Output BoQ'!$A$1:$Q$2017</definedName>
    <definedName name="_Inc1" localSheetId="0">#REF!</definedName>
    <definedName name="_Inc1" localSheetId="1">#REF!</definedName>
    <definedName name="_Inc1" localSheetId="4">#REF!</definedName>
    <definedName name="_Inc1">#REF!</definedName>
    <definedName name="_Int1" localSheetId="0">#REF!</definedName>
    <definedName name="_Int1" localSheetId="1">#REF!</definedName>
    <definedName name="_Int1" localSheetId="4">#REF!</definedName>
    <definedName name="_Int1">#REF!</definedName>
    <definedName name="_Int2" localSheetId="4">#REF!</definedName>
    <definedName name="_Int2">#REF!</definedName>
    <definedName name="_irr1" localSheetId="4">#REF!</definedName>
    <definedName name="_irr1">#REF!</definedName>
    <definedName name="_irr10" localSheetId="4">#REF!</definedName>
    <definedName name="_irr10">#REF!</definedName>
    <definedName name="_irr2" localSheetId="4">#REF!</definedName>
    <definedName name="_irr2">#REF!</definedName>
    <definedName name="_irr3" localSheetId="4">#REF!</definedName>
    <definedName name="_irr3">#REF!</definedName>
    <definedName name="_irr5" localSheetId="4">#REF!</definedName>
    <definedName name="_irr5">#REF!</definedName>
    <definedName name="_irr7" localSheetId="4">#REF!</definedName>
    <definedName name="_irr7">#REF!</definedName>
    <definedName name="_Job_Number_List__Equipment" localSheetId="4">#REF!</definedName>
    <definedName name="_Job_Number_List__Equipment">#REF!</definedName>
    <definedName name="_Key1" localSheetId="4" hidden="1">#REF!</definedName>
    <definedName name="_Key1" hidden="1">#REF!</definedName>
    <definedName name="_key2" localSheetId="4" hidden="1">#REF!</definedName>
    <definedName name="_key2" hidden="1">#REF!</definedName>
    <definedName name="_let1" localSheetId="4">#REF!</definedName>
    <definedName name="_let1">#REF!</definedName>
    <definedName name="_MAN1" localSheetId="0">#REF!</definedName>
    <definedName name="_MAN1" localSheetId="1">#REF!</definedName>
    <definedName name="_MAN1" localSheetId="4">#REF!</definedName>
    <definedName name="_MAN1">#REF!</definedName>
    <definedName name="_ncv1" localSheetId="4">#REF!</definedName>
    <definedName name="_ncv1">#REF!</definedName>
    <definedName name="_ncv10" localSheetId="4">#REF!</definedName>
    <definedName name="_ncv10">#REF!</definedName>
    <definedName name="_ncv101" localSheetId="4">#REF!</definedName>
    <definedName name="_ncv101">#REF!</definedName>
    <definedName name="_ncv1011" localSheetId="4">#REF!</definedName>
    <definedName name="_ncv1011">#REF!</definedName>
    <definedName name="_ncv102" localSheetId="4">#REF!</definedName>
    <definedName name="_ncv102">#REF!</definedName>
    <definedName name="_ncv103" localSheetId="4">#REF!</definedName>
    <definedName name="_ncv103">#REF!</definedName>
    <definedName name="_ncv105" localSheetId="4">#REF!</definedName>
    <definedName name="_ncv105">#REF!</definedName>
    <definedName name="_ncv2" localSheetId="4">#REF!</definedName>
    <definedName name="_ncv2">#REF!</definedName>
    <definedName name="_ncv3" localSheetId="4">#REF!</definedName>
    <definedName name="_ncv3">#REF!</definedName>
    <definedName name="_ncv5" localSheetId="4">#REF!</definedName>
    <definedName name="_ncv5">#REF!</definedName>
    <definedName name="_ord1" localSheetId="4">#REF!</definedName>
    <definedName name="_ord1">#REF!</definedName>
    <definedName name="_ord2" localSheetId="4">#REF!</definedName>
    <definedName name="_ord2">#REF!</definedName>
    <definedName name="_ord3" localSheetId="4">#REF!</definedName>
    <definedName name="_ord3">#REF!</definedName>
    <definedName name="_ord4" localSheetId="4">#REF!</definedName>
    <definedName name="_ord4">#REF!</definedName>
    <definedName name="_Order1" hidden="1">255</definedName>
    <definedName name="_Order2" hidden="1">255</definedName>
    <definedName name="_Parse_Out" localSheetId="4" hidden="1">#REF!</definedName>
    <definedName name="_Parse_Out" hidden="1">#REF!</definedName>
    <definedName name="_ph1" localSheetId="0">#REF!</definedName>
    <definedName name="_ph1" localSheetId="1">#REF!</definedName>
    <definedName name="_ph1" localSheetId="4">#REF!</definedName>
    <definedName name="_ph1">#REF!</definedName>
    <definedName name="_Prepared_By_List__Equipment" localSheetId="0">#REF!</definedName>
    <definedName name="_Prepared_By_List__Equipment" localSheetId="1">#REF!</definedName>
    <definedName name="_Prepared_By_List__Equipment" localSheetId="4">#REF!</definedName>
    <definedName name="_Prepared_By_List__Equipment">#REF!</definedName>
    <definedName name="_Project_Directory_Proj_Cost_Sumry" localSheetId="0">#REF!</definedName>
    <definedName name="_Project_Directory_Proj_Cost_Sumry" localSheetId="1">#REF!</definedName>
    <definedName name="_Project_Directory_Proj_Cost_Sumry">'[6]Proj Cost Sumry'!#REF!</definedName>
    <definedName name="_Project_Location_List__Equipment" localSheetId="0">#REF!</definedName>
    <definedName name="_Project_Location_List__Equipment" localSheetId="1">#REF!</definedName>
    <definedName name="_Project_Location_List__Equipment" localSheetId="4">#REF!</definedName>
    <definedName name="_Project_Location_List__Equipment">#REF!</definedName>
    <definedName name="_Project_Name_List__Equipment" localSheetId="0">#REF!</definedName>
    <definedName name="_Project_Name_List__Equipment" localSheetId="1">#REF!</definedName>
    <definedName name="_Project_Name_List__Equipment" localSheetId="4">#REF!</definedName>
    <definedName name="_Project_Name_List__Equipment">#REF!</definedName>
    <definedName name="_Project_Title_List__Equipment" localSheetId="4">#REF!</definedName>
    <definedName name="_Project_Title_List__Equipment">#REF!</definedName>
    <definedName name="_QTY07" localSheetId="0">#REF!</definedName>
    <definedName name="_QTY07" localSheetId="1">#REF!</definedName>
    <definedName name="_QTY07">[2]Equip!#REF!</definedName>
    <definedName name="_QTY12" localSheetId="0">#REF!</definedName>
    <definedName name="_QTY12" localSheetId="1">#REF!</definedName>
    <definedName name="_QTY12">[2]Equip!#REF!</definedName>
    <definedName name="_QTY21" localSheetId="0">#REF!</definedName>
    <definedName name="_QTY21" localSheetId="1">#REF!</definedName>
    <definedName name="_QTY21">[2]Equip!#REF!</definedName>
    <definedName name="_QTY22" localSheetId="0">#REF!</definedName>
    <definedName name="_QTY22" localSheetId="1">#REF!</definedName>
    <definedName name="_QTY22">[2]Equip!#REF!</definedName>
    <definedName name="_QTY33" localSheetId="0">#REF!</definedName>
    <definedName name="_QTY33" localSheetId="1">#REF!</definedName>
    <definedName name="_QTY33">[2]Equip!#REF!</definedName>
    <definedName name="_QTY34" localSheetId="0">#REF!</definedName>
    <definedName name="_QTY34" localSheetId="1">#REF!</definedName>
    <definedName name="_QTY34">[2]Equip!#REF!</definedName>
    <definedName name="_QTY35" localSheetId="0">#REF!</definedName>
    <definedName name="_QTY35" localSheetId="1">#REF!</definedName>
    <definedName name="_QTY35">[2]Equip!#REF!</definedName>
    <definedName name="_QTY36" localSheetId="0">#REF!</definedName>
    <definedName name="_QTY36" localSheetId="1">#REF!</definedName>
    <definedName name="_QTY36">[2]Equip!#REF!</definedName>
    <definedName name="_QTY39" localSheetId="0">#REF!</definedName>
    <definedName name="_QTY39" localSheetId="1">#REF!</definedName>
    <definedName name="_QTY39">[2]Equip!#REF!</definedName>
    <definedName name="_QTY42" localSheetId="0">#REF!</definedName>
    <definedName name="_QTY42" localSheetId="1">#REF!</definedName>
    <definedName name="_QTY42">[2]Equip!#REF!</definedName>
    <definedName name="_QTY43" localSheetId="0">#REF!</definedName>
    <definedName name="_QTY43" localSheetId="1">#REF!</definedName>
    <definedName name="_QTY43">[2]Equip!#REF!</definedName>
    <definedName name="_QTY45" localSheetId="0">#REF!</definedName>
    <definedName name="_QTY45" localSheetId="1">#REF!</definedName>
    <definedName name="_QTY45">[2]Equip!#REF!</definedName>
    <definedName name="_QTY46" localSheetId="0">#REF!</definedName>
    <definedName name="_QTY46" localSheetId="1">#REF!</definedName>
    <definedName name="_QTY46">[2]Equip!#REF!</definedName>
    <definedName name="_QTY48" localSheetId="0">#REF!</definedName>
    <definedName name="_QTY48" localSheetId="1">#REF!</definedName>
    <definedName name="_QTY48">[2]Equip!#REF!</definedName>
    <definedName name="_QTY49" localSheetId="0">#REF!</definedName>
    <definedName name="_QTY49" localSheetId="1">#REF!</definedName>
    <definedName name="_QTY49">[2]Equip!#REF!</definedName>
    <definedName name="_QTY52" localSheetId="0">#REF!</definedName>
    <definedName name="_QTY52" localSheetId="1">#REF!</definedName>
    <definedName name="_QTY52">[2]Equip!#REF!</definedName>
    <definedName name="_QTY53" localSheetId="0">#REF!</definedName>
    <definedName name="_QTY53" localSheetId="1">#REF!</definedName>
    <definedName name="_QTY53">[2]Equip!#REF!</definedName>
    <definedName name="_QTY54" localSheetId="0">#REF!</definedName>
    <definedName name="_QTY54" localSheetId="1">#REF!</definedName>
    <definedName name="_QTY54">[2]Equip!#REF!</definedName>
    <definedName name="_QTY55" localSheetId="0">#REF!</definedName>
    <definedName name="_QTY55" localSheetId="1">#REF!</definedName>
    <definedName name="_QTY55">[2]Equip!#REF!</definedName>
    <definedName name="_QTY82" localSheetId="0">#REF!</definedName>
    <definedName name="_QTY82" localSheetId="1">#REF!</definedName>
    <definedName name="_QTY82">[2]Equip!#REF!</definedName>
    <definedName name="_QTY84" localSheetId="0">#REF!</definedName>
    <definedName name="_QTY84" localSheetId="1">#REF!</definedName>
    <definedName name="_QTY84">[2]Equip!#REF!</definedName>
    <definedName name="_Regression_Out" localSheetId="0" hidden="1">#REF!</definedName>
    <definedName name="_Regression_Out" localSheetId="1" hidden="1">#REF!</definedName>
    <definedName name="_Regression_Out" localSheetId="4" hidden="1">#REF!</definedName>
    <definedName name="_Regression_Out" hidden="1">#REF!</definedName>
    <definedName name="_RR1" localSheetId="0">#REF!</definedName>
    <definedName name="_RR1" localSheetId="1">#REF!</definedName>
    <definedName name="_RR1" localSheetId="4">#REF!</definedName>
    <definedName name="_RR1">#REF!</definedName>
    <definedName name="_rs101" localSheetId="4">#REF!</definedName>
    <definedName name="_rs101">#REF!</definedName>
    <definedName name="_rs1010" localSheetId="4">#REF!</definedName>
    <definedName name="_rs1010">#REF!</definedName>
    <definedName name="_rs102" localSheetId="4">#REF!</definedName>
    <definedName name="_rs102">#REF!</definedName>
    <definedName name="_rs103" localSheetId="4">#REF!</definedName>
    <definedName name="_rs103">#REF!</definedName>
    <definedName name="_rs105" localSheetId="4">#REF!</definedName>
    <definedName name="_rs105">#REF!</definedName>
    <definedName name="_rs11" localSheetId="4">#REF!</definedName>
    <definedName name="_rs11">#REF!</definedName>
    <definedName name="_rs110" localSheetId="4">#REF!</definedName>
    <definedName name="_rs110">#REF!</definedName>
    <definedName name="_rs111" localSheetId="4">#REF!</definedName>
    <definedName name="_rs111">#REF!</definedName>
    <definedName name="_rs1110" localSheetId="4">#REF!</definedName>
    <definedName name="_rs1110">#REF!</definedName>
    <definedName name="_rs112" localSheetId="4">#REF!</definedName>
    <definedName name="_rs112">#REF!</definedName>
    <definedName name="_rs113" localSheetId="4">#REF!</definedName>
    <definedName name="_rs113">#REF!</definedName>
    <definedName name="_rs115" localSheetId="4">#REF!</definedName>
    <definedName name="_rs115">#REF!</definedName>
    <definedName name="_rs12" localSheetId="4">#REF!</definedName>
    <definedName name="_rs12">#REF!</definedName>
    <definedName name="_rs121" localSheetId="4">#REF!</definedName>
    <definedName name="_rs121">#REF!</definedName>
    <definedName name="_rs1210" localSheetId="4">#REF!</definedName>
    <definedName name="_rs1210">#REF!</definedName>
    <definedName name="_rs122" localSheetId="4">#REF!</definedName>
    <definedName name="_rs122">#REF!</definedName>
    <definedName name="_rs123" localSheetId="4">#REF!</definedName>
    <definedName name="_rs123">#REF!</definedName>
    <definedName name="_rs125" localSheetId="4">#REF!</definedName>
    <definedName name="_rs125">#REF!</definedName>
    <definedName name="_rs13" localSheetId="4">#REF!</definedName>
    <definedName name="_rs13">#REF!</definedName>
    <definedName name="_rs131" localSheetId="4">#REF!</definedName>
    <definedName name="_rs131">#REF!</definedName>
    <definedName name="_rs1310" localSheetId="4">#REF!</definedName>
    <definedName name="_rs1310">#REF!</definedName>
    <definedName name="_rs132" localSheetId="4">#REF!</definedName>
    <definedName name="_rs132">#REF!</definedName>
    <definedName name="_rs133" localSheetId="4">#REF!</definedName>
    <definedName name="_rs133">#REF!</definedName>
    <definedName name="_rs135" localSheetId="4">#REF!</definedName>
    <definedName name="_rs135">#REF!</definedName>
    <definedName name="_rs141" localSheetId="4">#REF!</definedName>
    <definedName name="_rs141">#REF!</definedName>
    <definedName name="_rs1410" localSheetId="4">#REF!</definedName>
    <definedName name="_rs1410">#REF!</definedName>
    <definedName name="_rs142" localSheetId="4">#REF!</definedName>
    <definedName name="_rs142">#REF!</definedName>
    <definedName name="_rs143" localSheetId="4">#REF!</definedName>
    <definedName name="_rs143">#REF!</definedName>
    <definedName name="_rs145" localSheetId="4">#REF!</definedName>
    <definedName name="_rs145">#REF!</definedName>
    <definedName name="_rs15" localSheetId="4">#REF!</definedName>
    <definedName name="_rs15">#REF!</definedName>
    <definedName name="_rs151" localSheetId="4">#REF!</definedName>
    <definedName name="_rs151">#REF!</definedName>
    <definedName name="_rs1510" localSheetId="4">#REF!</definedName>
    <definedName name="_rs1510">#REF!</definedName>
    <definedName name="_rs152" localSheetId="4">#REF!</definedName>
    <definedName name="_rs152">#REF!</definedName>
    <definedName name="_rs153" localSheetId="4">#REF!</definedName>
    <definedName name="_rs153">#REF!</definedName>
    <definedName name="_rs155" localSheetId="4">#REF!</definedName>
    <definedName name="_rs155">#REF!</definedName>
    <definedName name="_rs161" localSheetId="4">#REF!</definedName>
    <definedName name="_rs161">#REF!</definedName>
    <definedName name="_rs1610" localSheetId="4">#REF!</definedName>
    <definedName name="_rs1610">#REF!</definedName>
    <definedName name="_rs162" localSheetId="4">#REF!</definedName>
    <definedName name="_rs162">#REF!</definedName>
    <definedName name="_rs163" localSheetId="4">#REF!</definedName>
    <definedName name="_rs163">#REF!</definedName>
    <definedName name="_rs165" localSheetId="4">#REF!</definedName>
    <definedName name="_rs165">#REF!</definedName>
    <definedName name="_rs171" localSheetId="4">#REF!</definedName>
    <definedName name="_rs171">#REF!</definedName>
    <definedName name="_rs1710" localSheetId="4">#REF!</definedName>
    <definedName name="_rs1710">#REF!</definedName>
    <definedName name="_rs172" localSheetId="4">#REF!</definedName>
    <definedName name="_rs172">#REF!</definedName>
    <definedName name="_rs173" localSheetId="4">#REF!</definedName>
    <definedName name="_rs173">#REF!</definedName>
    <definedName name="_rs175" localSheetId="4">#REF!</definedName>
    <definedName name="_rs175">#REF!</definedName>
    <definedName name="_rs181" localSheetId="4">#REF!</definedName>
    <definedName name="_rs181">#REF!</definedName>
    <definedName name="_rs1810" localSheetId="4">#REF!</definedName>
    <definedName name="_rs1810">#REF!</definedName>
    <definedName name="_rs182" localSheetId="4">#REF!</definedName>
    <definedName name="_rs182">#REF!</definedName>
    <definedName name="_rs183" localSheetId="4">#REF!</definedName>
    <definedName name="_rs183">#REF!</definedName>
    <definedName name="_rs185" localSheetId="4">#REF!</definedName>
    <definedName name="_rs185">#REF!</definedName>
    <definedName name="_rs191" localSheetId="4">#REF!</definedName>
    <definedName name="_rs191">#REF!</definedName>
    <definedName name="_rs1910" localSheetId="4">#REF!</definedName>
    <definedName name="_rs1910">#REF!</definedName>
    <definedName name="_rs192" localSheetId="4">#REF!</definedName>
    <definedName name="_rs192">#REF!</definedName>
    <definedName name="_rs193" localSheetId="4">#REF!</definedName>
    <definedName name="_rs193">#REF!</definedName>
    <definedName name="_rs195" localSheetId="4">#REF!</definedName>
    <definedName name="_rs195">#REF!</definedName>
    <definedName name="_rs201" localSheetId="4">#REF!</definedName>
    <definedName name="_rs201">#REF!</definedName>
    <definedName name="_rs2010" localSheetId="4">#REF!</definedName>
    <definedName name="_rs2010">#REF!</definedName>
    <definedName name="_rs202" localSheetId="4">#REF!</definedName>
    <definedName name="_rs202">#REF!</definedName>
    <definedName name="_rs203" localSheetId="4">#REF!</definedName>
    <definedName name="_rs203">#REF!</definedName>
    <definedName name="_rs205" localSheetId="4">#REF!</definedName>
    <definedName name="_rs205">#REF!</definedName>
    <definedName name="_rs21" localSheetId="4">#REF!</definedName>
    <definedName name="_rs21">#REF!</definedName>
    <definedName name="_rs210" localSheetId="4">#REF!</definedName>
    <definedName name="_rs210">#REF!</definedName>
    <definedName name="_rs211" localSheetId="4">#REF!</definedName>
    <definedName name="_rs211">#REF!</definedName>
    <definedName name="_rs2110" localSheetId="4">#REF!</definedName>
    <definedName name="_rs2110">#REF!</definedName>
    <definedName name="_rs212" localSheetId="4">#REF!</definedName>
    <definedName name="_rs212">#REF!</definedName>
    <definedName name="_rs213" localSheetId="4">#REF!</definedName>
    <definedName name="_rs213">#REF!</definedName>
    <definedName name="_rs215" localSheetId="4">#REF!</definedName>
    <definedName name="_rs215">#REF!</definedName>
    <definedName name="_rs22" localSheetId="4">#REF!</definedName>
    <definedName name="_rs22">#REF!</definedName>
    <definedName name="_rs221" localSheetId="4">#REF!</definedName>
    <definedName name="_rs221">#REF!</definedName>
    <definedName name="_rs2210" localSheetId="4">#REF!</definedName>
    <definedName name="_rs2210">#REF!</definedName>
    <definedName name="_rs222" localSheetId="4">#REF!</definedName>
    <definedName name="_rs222">#REF!</definedName>
    <definedName name="_rs223" localSheetId="4">#REF!</definedName>
    <definedName name="_rs223">#REF!</definedName>
    <definedName name="_rs225" localSheetId="4">#REF!</definedName>
    <definedName name="_rs225">#REF!</definedName>
    <definedName name="_rs23" localSheetId="4">#REF!</definedName>
    <definedName name="_rs23">#REF!</definedName>
    <definedName name="_rs231" localSheetId="4">#REF!</definedName>
    <definedName name="_rs231">#REF!</definedName>
    <definedName name="_rs2310" localSheetId="4">#REF!</definedName>
    <definedName name="_rs2310">#REF!</definedName>
    <definedName name="_rs232" localSheetId="4">#REF!</definedName>
    <definedName name="_rs232">#REF!</definedName>
    <definedName name="_rs233" localSheetId="4">#REF!</definedName>
    <definedName name="_rs233">#REF!</definedName>
    <definedName name="_rs235" localSheetId="4">#REF!</definedName>
    <definedName name="_rs235">#REF!</definedName>
    <definedName name="_rs241" localSheetId="4">#REF!</definedName>
    <definedName name="_rs241">#REF!</definedName>
    <definedName name="_rs2410" localSheetId="4">#REF!</definedName>
    <definedName name="_rs2410">#REF!</definedName>
    <definedName name="_rs242" localSheetId="4">#REF!</definedName>
    <definedName name="_rs242">#REF!</definedName>
    <definedName name="_rs243" localSheetId="4">#REF!</definedName>
    <definedName name="_rs243">#REF!</definedName>
    <definedName name="_rs245" localSheetId="4">#REF!</definedName>
    <definedName name="_rs245">#REF!</definedName>
    <definedName name="_rs25" localSheetId="4">#REF!</definedName>
    <definedName name="_rs25">#REF!</definedName>
    <definedName name="_rs251" localSheetId="4">#REF!</definedName>
    <definedName name="_rs251">#REF!</definedName>
    <definedName name="_rs2510" localSheetId="4">#REF!</definedName>
    <definedName name="_rs2510">#REF!</definedName>
    <definedName name="_rs252" localSheetId="4">#REF!</definedName>
    <definedName name="_rs252">#REF!</definedName>
    <definedName name="_rs253" localSheetId="4">#REF!</definedName>
    <definedName name="_rs253">#REF!</definedName>
    <definedName name="_rs255" localSheetId="4">#REF!</definedName>
    <definedName name="_rs255">#REF!</definedName>
    <definedName name="_rs31" localSheetId="4">#REF!</definedName>
    <definedName name="_rs31">#REF!</definedName>
    <definedName name="_rs310" localSheetId="4">#REF!</definedName>
    <definedName name="_rs310">#REF!</definedName>
    <definedName name="_rs32" localSheetId="4">#REF!</definedName>
    <definedName name="_rs32">#REF!</definedName>
    <definedName name="_rs33" localSheetId="4">#REF!</definedName>
    <definedName name="_rs33">#REF!</definedName>
    <definedName name="_rs35" localSheetId="4">#REF!</definedName>
    <definedName name="_rs35">#REF!</definedName>
    <definedName name="_rs41" localSheetId="4">#REF!</definedName>
    <definedName name="_rs41">#REF!</definedName>
    <definedName name="_rs410" localSheetId="4">#REF!</definedName>
    <definedName name="_rs410">#REF!</definedName>
    <definedName name="_rs42" localSheetId="4">#REF!</definedName>
    <definedName name="_rs42">#REF!</definedName>
    <definedName name="_rs43" localSheetId="4">#REF!</definedName>
    <definedName name="_rs43">#REF!</definedName>
    <definedName name="_rs45" localSheetId="4">#REF!</definedName>
    <definedName name="_rs45">#REF!</definedName>
    <definedName name="_rs51" localSheetId="4">#REF!</definedName>
    <definedName name="_rs51">#REF!</definedName>
    <definedName name="_rs510" localSheetId="4">#REF!</definedName>
    <definedName name="_rs510">#REF!</definedName>
    <definedName name="_rs52" localSheetId="4">#REF!</definedName>
    <definedName name="_rs52">#REF!</definedName>
    <definedName name="_rs53" localSheetId="4">#REF!</definedName>
    <definedName name="_rs53">#REF!</definedName>
    <definedName name="_rs55" localSheetId="4">#REF!</definedName>
    <definedName name="_rs55">#REF!</definedName>
    <definedName name="_rs61" localSheetId="4">#REF!</definedName>
    <definedName name="_rs61">#REF!</definedName>
    <definedName name="_rs610" localSheetId="4">#REF!</definedName>
    <definedName name="_rs610">#REF!</definedName>
    <definedName name="_rs62" localSheetId="4">#REF!</definedName>
    <definedName name="_rs62">#REF!</definedName>
    <definedName name="_rs63" localSheetId="4">#REF!</definedName>
    <definedName name="_rs63">#REF!</definedName>
    <definedName name="_rs65" localSheetId="4">#REF!</definedName>
    <definedName name="_rs65">#REF!</definedName>
    <definedName name="_rs71" localSheetId="4">#REF!</definedName>
    <definedName name="_rs71">#REF!</definedName>
    <definedName name="_rs710" localSheetId="4">#REF!</definedName>
    <definedName name="_rs710">#REF!</definedName>
    <definedName name="_rs72" localSheetId="4">#REF!</definedName>
    <definedName name="_rs72">#REF!</definedName>
    <definedName name="_rs73" localSheetId="4">#REF!</definedName>
    <definedName name="_rs73">#REF!</definedName>
    <definedName name="_rs75" localSheetId="4">#REF!</definedName>
    <definedName name="_rs75">#REF!</definedName>
    <definedName name="_rs81" localSheetId="4">#REF!</definedName>
    <definedName name="_rs81">#REF!</definedName>
    <definedName name="_rs810" localSheetId="4">#REF!</definedName>
    <definedName name="_rs810">#REF!</definedName>
    <definedName name="_rs82" localSheetId="4">#REF!</definedName>
    <definedName name="_rs82">#REF!</definedName>
    <definedName name="_rs83" localSheetId="4">#REF!</definedName>
    <definedName name="_rs83">#REF!</definedName>
    <definedName name="_rs85" localSheetId="4">#REF!</definedName>
    <definedName name="_rs85">#REF!</definedName>
    <definedName name="_rs91" localSheetId="4">#REF!</definedName>
    <definedName name="_rs91">#REF!</definedName>
    <definedName name="_rs910" localSheetId="4">#REF!</definedName>
    <definedName name="_rs910">#REF!</definedName>
    <definedName name="_rs92" localSheetId="4">#REF!</definedName>
    <definedName name="_rs92">#REF!</definedName>
    <definedName name="_rs93" localSheetId="4">#REF!</definedName>
    <definedName name="_rs93">#REF!</definedName>
    <definedName name="_rs95" localSheetId="4">#REF!</definedName>
    <definedName name="_rs95">#REF!</definedName>
    <definedName name="_sc1" localSheetId="4">#REF!</definedName>
    <definedName name="_sc1">#REF!</definedName>
    <definedName name="_Scenario_Name_List__Equipment" localSheetId="4">#REF!</definedName>
    <definedName name="_Scenario_Name_List__Equipment">#REF!</definedName>
    <definedName name="_SEC1200" localSheetId="4">#REF!</definedName>
    <definedName name="_SEC1200">#REF!</definedName>
    <definedName name="_Sort" localSheetId="4" hidden="1">#REF!</definedName>
    <definedName name="_Sort" hidden="1">#REF!</definedName>
    <definedName name="_T2" localSheetId="0">#REF!</definedName>
    <definedName name="_T2" localSheetId="1">#REF!</definedName>
    <definedName name="_T2">'[3]Estimate Warehouse'!#REF!</definedName>
    <definedName name="_Table2_In2" localSheetId="0" hidden="1">#REF!</definedName>
    <definedName name="_Table2_In2" localSheetId="1" hidden="1">#REF!</definedName>
    <definedName name="_Table2_In2" hidden="1">'[7]FEAS(INPUT)'!#REF!</definedName>
    <definedName name="_Table2_Out" localSheetId="0" hidden="1">#REF!</definedName>
    <definedName name="_Table2_Out" localSheetId="1" hidden="1">#REF!</definedName>
    <definedName name="_Table2_Out" hidden="1">'[7]FEAS(INPUT)'!#REF!</definedName>
    <definedName name="_tdp1" localSheetId="0">#REF!</definedName>
    <definedName name="_tdp1" localSheetId="1">#REF!</definedName>
    <definedName name="_tdp1" localSheetId="4">#REF!</definedName>
    <definedName name="_tdp1">#REF!</definedName>
    <definedName name="_Toc34616560" localSheetId="0">#REF!</definedName>
    <definedName name="_Toc34616560" localSheetId="1">#REF!</definedName>
    <definedName name="_Toc34616560" localSheetId="4">#REF!</definedName>
    <definedName name="_Toc34616560">#REF!</definedName>
    <definedName name="_ubr1" localSheetId="4">#REF!</definedName>
    <definedName name="_ubr1">#REF!</definedName>
    <definedName name="A" localSheetId="0">#REF!</definedName>
    <definedName name="A" localSheetId="1">#REF!</definedName>
    <definedName name="a" localSheetId="4" hidden="1">{#N/A,#N/A,TRUE,"COVER";#N/A,#N/A,TRUE,"DETAILS";#N/A,#N/A,TRUE,"SUMMARY";#N/A,#N/A,TRUE,"EXP MON";#N/A,#N/A,TRUE,"APPENDIX A";#N/A,#N/A,TRUE,"APPENDIX B";#N/A,#N/A,TRUE,"APPENDIX C";#N/A,#N/A,TRUE,"APPENDIX D";#N/A,#N/A,TRUE,"APPENDIX E";#N/A,#N/A,TRUE,"APPENDIX F";#N/A,#N/A,TRUE,"APPENDIX G"}</definedName>
    <definedName name="a" hidden="1">{#N/A,#N/A,TRUE,"COVER";#N/A,#N/A,TRUE,"DETAILS";#N/A,#N/A,TRUE,"SUMMARY";#N/A,#N/A,TRUE,"EXP MON";#N/A,#N/A,TRUE,"APPENDIX A";#N/A,#N/A,TRUE,"APPENDIX B";#N/A,#N/A,TRUE,"APPENDIX C";#N/A,#N/A,TRUE,"APPENDIX D";#N/A,#N/A,TRUE,"APPENDIX E";#N/A,#N/A,TRUE,"APPENDIX F";#N/A,#N/A,TRUE,"APPENDIX G"}</definedName>
    <definedName name="A_General_Construction" localSheetId="4">#REF!</definedName>
    <definedName name="A_General_Construction">#REF!</definedName>
    <definedName name="AA" localSheetId="0">#REF!</definedName>
    <definedName name="AA" localSheetId="1">#REF!</definedName>
    <definedName name="AA">[8]AREAS!$A$6:$I$47</definedName>
    <definedName name="aaa" localSheetId="0">#REF!</definedName>
    <definedName name="aaa" localSheetId="1">#REF!</definedName>
    <definedName name="aaa" localSheetId="4">#REF!</definedName>
    <definedName name="aaa">#REF!</definedName>
    <definedName name="aaaaa" localSheetId="4">#REF!</definedName>
    <definedName name="aaaaa">#REF!</definedName>
    <definedName name="aaaaaaaaaaaaaaaaaaaaaaaaaaaaaaaaaaaaaaaaaaaaaaaaaaaaqqqqqqqqqqqqqqqqqqqqqqqqqqqqqqqqqqqqqqqqqqqqqqqqqqqqqqqqqqq" localSheetId="4">#REF!</definedName>
    <definedName name="aaaaaaaaaaaaaaaaaaaaaaaaaaaaaaaaaaaaaaaaaaaaaaaaaaaaqqqqqqqqqqqqqqqqqqqqqqqqqqqqqqqqqqqqqqqqqqqqqqqqqqqqqqqqqqq">#REF!</definedName>
    <definedName name="ab" localSheetId="0" hidden="1">{#N/A,#N/A,TRUE,"COVER";#N/A,#N/A,TRUE,"DETAILS";#N/A,#N/A,TRUE,"SUMMARY";#N/A,#N/A,TRUE,"EXP MON";#N/A,#N/A,TRUE,"APPENDIX A";#N/A,#N/A,TRUE,"APPENDIX B";#N/A,#N/A,TRUE,"APPENDIX C";#N/A,#N/A,TRUE,"APPENDIX D";#N/A,#N/A,TRUE,"APPENDIX E";#N/A,#N/A,TRUE,"APPENDIX F";#N/A,#N/A,TRUE,"APPENDIX G"}</definedName>
    <definedName name="ab" localSheetId="1" hidden="1">{#N/A,#N/A,TRUE,"COVER";#N/A,#N/A,TRUE,"DETAILS";#N/A,#N/A,TRUE,"SUMMARY";#N/A,#N/A,TRUE,"EXP MON";#N/A,#N/A,TRUE,"APPENDIX A";#N/A,#N/A,TRUE,"APPENDIX B";#N/A,#N/A,TRUE,"APPENDIX C";#N/A,#N/A,TRUE,"APPENDIX D";#N/A,#N/A,TRUE,"APPENDIX E";#N/A,#N/A,TRUE,"APPENDIX F";#N/A,#N/A,TRUE,"APPENDIX G"}</definedName>
    <definedName name="ab" localSheetId="4" hidden="1">{#N/A,#N/A,TRUE,"COVER";#N/A,#N/A,TRUE,"DETAILS";#N/A,#N/A,TRUE,"SUMMARY";#N/A,#N/A,TRUE,"EXP MON";#N/A,#N/A,TRUE,"APPENDIX A";#N/A,#N/A,TRUE,"APPENDIX B";#N/A,#N/A,TRUE,"APPENDIX C";#N/A,#N/A,TRUE,"APPENDIX D";#N/A,#N/A,TRUE,"APPENDIX E";#N/A,#N/A,TRUE,"APPENDIX F";#N/A,#N/A,TRUE,"APPENDIX G"}</definedName>
    <definedName name="ab" hidden="1">{#N/A,#N/A,TRUE,"COVER";#N/A,#N/A,TRUE,"DETAILS";#N/A,#N/A,TRUE,"SUMMARY";#N/A,#N/A,TRUE,"EXP MON";#N/A,#N/A,TRUE,"APPENDIX A";#N/A,#N/A,TRUE,"APPENDIX B";#N/A,#N/A,TRUE,"APPENDIX C";#N/A,#N/A,TRUE,"APPENDIX D";#N/A,#N/A,TRUE,"APPENDIX E";#N/A,#N/A,TRUE,"APPENDIX F";#N/A,#N/A,TRUE,"APPENDIX G"}</definedName>
    <definedName name="aba" localSheetId="0">#REF!</definedName>
    <definedName name="aba" localSheetId="1">#REF!</definedName>
    <definedName name="aba" localSheetId="4">#REF!</definedName>
    <definedName name="aba">#REF!</definedName>
    <definedName name="abc" localSheetId="0">#REF!</definedName>
    <definedName name="abc" localSheetId="1">#REF!</definedName>
    <definedName name="ABC" localSheetId="4">#REF!</definedName>
    <definedName name="ABC">#REF!</definedName>
    <definedName name="ABCD" localSheetId="0">MAX(#REF!)</definedName>
    <definedName name="ABCD" localSheetId="1">MAX(#REF!)</definedName>
    <definedName name="ABCD" localSheetId="4">MAX('Specification Code'!Page)</definedName>
    <definedName name="ABCD">MAX(Page)</definedName>
    <definedName name="abcdef" localSheetId="0">#N/A</definedName>
    <definedName name="abcdef" localSheetId="1">#N/A</definedName>
    <definedName name="abcdef" localSheetId="4">#REF!</definedName>
    <definedName name="abcdef">#REF!</definedName>
    <definedName name="AC" localSheetId="0">#REF!</definedName>
    <definedName name="AC" localSheetId="1">#REF!</definedName>
    <definedName name="AC">'[9]SUPPLEMENTARY SHEETS'!#REF!</definedName>
    <definedName name="ace" localSheetId="0">#REF!</definedName>
    <definedName name="ace" localSheetId="1">#REF!</definedName>
    <definedName name="ace" localSheetId="4">#REF!</definedName>
    <definedName name="ace">#REF!</definedName>
    <definedName name="actcum" localSheetId="0">OFFSET(#REF!,0,0,COUNTA(#REF!),1)</definedName>
    <definedName name="actcum" localSheetId="1">OFFSET(#REF!,0,0,COUNTA(#REF!),1)</definedName>
    <definedName name="actcum">OFFSET('[10]2-Cash Flow'!$E$53,0,0,COUNTA('[10]2-Cash Flow'!$E:$E),1)</definedName>
    <definedName name="actcum1" localSheetId="0">OFFSET(#REF!,0,0,COUNTA(#REF!),1)</definedName>
    <definedName name="actcum1" localSheetId="1">OFFSET(#REF!,0,0,COUNTA(#REF!),1)</definedName>
    <definedName name="actcum1" localSheetId="4">OFFSET(#REF!,0,0,COUNTA(#REF!),1)</definedName>
    <definedName name="actcum1">OFFSET(#REF!,0,0,COUNTA(#REF!),1)</definedName>
    <definedName name="ActMap" localSheetId="0">#REF!</definedName>
    <definedName name="ActMap" localSheetId="1">#REF!</definedName>
    <definedName name="ActMap" localSheetId="4">#REF!</definedName>
    <definedName name="ActMap">#REF!</definedName>
    <definedName name="actmonth" localSheetId="0">OFFSET(#REF!,0,0,COUNTA(#REF!),1)</definedName>
    <definedName name="actmonth" localSheetId="1">OFFSET(#REF!,0,0,COUNTA(#REF!),1)</definedName>
    <definedName name="actmonth">OFFSET('[10]2-Cash Flow'!$F$53,0,0,COUNTA('[10]2-Cash Flow'!$F:$F),1)</definedName>
    <definedName name="actmonth1" localSheetId="0">OFFSET(#REF!,0,0,COUNTA(#REF!),1)</definedName>
    <definedName name="actmonth1" localSheetId="1">OFFSET(#REF!,0,0,COUNTA(#REF!),1)</definedName>
    <definedName name="actmonth1" localSheetId="4">OFFSET(#REF!,0,0,COUNTA(#REF!),1)</definedName>
    <definedName name="actmonth1">OFFSET(#REF!,0,0,COUNTA(#REF!),1)</definedName>
    <definedName name="Actual_Max_Gearing" localSheetId="0">#REF!</definedName>
    <definedName name="Actual_Max_Gearing" localSheetId="1">#REF!</definedName>
    <definedName name="Actual_Max_Gearing" localSheetId="4">#REF!</definedName>
    <definedName name="Actual_Max_Gearing">#REF!</definedName>
    <definedName name="Actual_YTD" localSheetId="0">#REF!</definedName>
    <definedName name="Actual_YTD" localSheetId="1">#REF!</definedName>
    <definedName name="Actual_YTD" localSheetId="4">#REF!</definedName>
    <definedName name="Actual_YTD">#REF!</definedName>
    <definedName name="Actuals" localSheetId="4">#REF!</definedName>
    <definedName name="Actuals">#REF!</definedName>
    <definedName name="ad" hidden="1">#N/A</definedName>
    <definedName name="ada" localSheetId="0">#REF!</definedName>
    <definedName name="ada" localSheetId="1">#REF!</definedName>
    <definedName name="ada" localSheetId="4">#REF!</definedName>
    <definedName name="ada">#REF!</definedName>
    <definedName name="add_mktg" localSheetId="0">#REF!</definedName>
    <definedName name="add_mktg" localSheetId="1">#REF!</definedName>
    <definedName name="add_mktg" localSheetId="4">#REF!</definedName>
    <definedName name="add_mktg">#REF!</definedName>
    <definedName name="Address" localSheetId="4">#REF!</definedName>
    <definedName name="Address">#REF!</definedName>
    <definedName name="AdminCont" localSheetId="0">#REF!</definedName>
    <definedName name="AdminCont" localSheetId="1">#REF!</definedName>
    <definedName name="AdminCont">[11]Admin!$C$45</definedName>
    <definedName name="ADW" localSheetId="0">#REF!</definedName>
    <definedName name="ADW" localSheetId="1">#REF!</definedName>
    <definedName name="ADW">'[9]SUPPLEMENTARY SHEETS'!#REF!</definedName>
    <definedName name="AF" localSheetId="0">#REF!</definedName>
    <definedName name="AF" localSheetId="1">#REF!</definedName>
    <definedName name="AF">'[9]SUPPLEMENTARY SHEETS'!#REF!</definedName>
    <definedName name="Afford_Perc" localSheetId="0">#REF!</definedName>
    <definedName name="Afford_Perc" localSheetId="1">#REF!</definedName>
    <definedName name="Afford_Perc" localSheetId="4">#REF!</definedName>
    <definedName name="Afford_Perc">#REF!</definedName>
    <definedName name="Afford_Rate" localSheetId="0">#REF!</definedName>
    <definedName name="Afford_Rate" localSheetId="1">#REF!</definedName>
    <definedName name="Afford_Rate" localSheetId="4">#REF!</definedName>
    <definedName name="Afford_Rate">#REF!</definedName>
    <definedName name="ag" hidden="1">#N/A</definedName>
    <definedName name="Agents_Fees" localSheetId="0">#REF!</definedName>
    <definedName name="Agents_Fees" localSheetId="1">#REF!</definedName>
    <definedName name="Agents_Fees" localSheetId="4">#REF!</definedName>
    <definedName name="Agents_Fees">#REF!</definedName>
    <definedName name="Airsdie_Site_Works" localSheetId="0">#REF!</definedName>
    <definedName name="Airsdie_Site_Works" localSheetId="1">#REF!</definedName>
    <definedName name="Airsdie_Site_Works" localSheetId="4">#REF!</definedName>
    <definedName name="Airsdie_Site_Works">#REF!</definedName>
    <definedName name="Airside_Airfield_Pavements" localSheetId="0">#REF!</definedName>
    <definedName name="Airside_Airfield_Pavements" localSheetId="1">#REF!</definedName>
    <definedName name="Airside_Airfield_Pavements" localSheetId="4">#REF!</definedName>
    <definedName name="Airside_Airfield_Pavements">#REF!</definedName>
    <definedName name="Airside_Baggage_Systems" localSheetId="4">#REF!</definedName>
    <definedName name="Airside_Baggage_Systems">#REF!</definedName>
    <definedName name="Airside_Envelope" localSheetId="4">#REF!</definedName>
    <definedName name="Airside_Envelope">#REF!</definedName>
    <definedName name="Airside_External_Services" localSheetId="4">#REF!</definedName>
    <definedName name="Airside_External_Services">#REF!</definedName>
    <definedName name="Airside_External_Structures" localSheetId="4">#REF!</definedName>
    <definedName name="Airside_External_Structures">#REF!</definedName>
    <definedName name="Airside_Fees" localSheetId="4">#REF!</definedName>
    <definedName name="Airside_Fees">#REF!</definedName>
    <definedName name="Airside_Furn_Fit" localSheetId="4">#REF!</definedName>
    <definedName name="Airside_Furn_Fit">#REF!</definedName>
    <definedName name="Airside_Interiors" localSheetId="4">#REF!</definedName>
    <definedName name="Airside_Interiors">#REF!</definedName>
    <definedName name="Airside_Landscaping" localSheetId="4">#REF!</definedName>
    <definedName name="Airside_Landscaping">#REF!</definedName>
    <definedName name="Airside_Logistics" localSheetId="4">#REF!</definedName>
    <definedName name="Airside_Logistics">#REF!</definedName>
    <definedName name="Airside_PAX_Transportation" localSheetId="4">#REF!</definedName>
    <definedName name="Airside_PAX_Transportation">#REF!</definedName>
    <definedName name="Airside_Prelim" localSheetId="4">#REF!</definedName>
    <definedName name="Airside_Prelim">#REF!</definedName>
    <definedName name="Airside_Prelims" localSheetId="4">#REF!</definedName>
    <definedName name="Airside_Prelims">#REF!</definedName>
    <definedName name="Airside_Rail" localSheetId="4">#REF!</definedName>
    <definedName name="Airside_Rail">#REF!</definedName>
    <definedName name="Airside_Services" localSheetId="4">#REF!</definedName>
    <definedName name="Airside_Services">#REF!</definedName>
    <definedName name="Airside_Site_Works" localSheetId="4">#REF!</definedName>
    <definedName name="Airside_Site_Works">#REF!</definedName>
    <definedName name="Airside_Specialist_Electrical" localSheetId="4">#REF!</definedName>
    <definedName name="Airside_Specialist_Electrical">#REF!</definedName>
    <definedName name="Airside_Substructure" localSheetId="4">#REF!</definedName>
    <definedName name="Airside_Substructure">#REF!</definedName>
    <definedName name="Airside_Superstructure" localSheetId="4">#REF!</definedName>
    <definedName name="Airside_Superstructure">#REF!</definedName>
    <definedName name="Airside_Surface_Works" localSheetId="4">#REF!</definedName>
    <definedName name="Airside_Surface_Works">#REF!</definedName>
    <definedName name="Airside_TTS" localSheetId="4">#REF!</definedName>
    <definedName name="Airside_TTS">#REF!</definedName>
    <definedName name="ALL" localSheetId="4">#REF!</definedName>
    <definedName name="ALL">#REF!</definedName>
    <definedName name="ALLDIMS" localSheetId="4">#REF!</definedName>
    <definedName name="ALLDIMS">#REF!</definedName>
    <definedName name="Ancillary_Airfiled_Pavements" localSheetId="4">#REF!</definedName>
    <definedName name="Ancillary_Airfiled_Pavements">#REF!</definedName>
    <definedName name="Ancillary_Bag_System" localSheetId="4">#REF!</definedName>
    <definedName name="Ancillary_Bag_System">#REF!</definedName>
    <definedName name="Ancillary_Envelope" localSheetId="4">#REF!</definedName>
    <definedName name="Ancillary_Envelope">#REF!</definedName>
    <definedName name="Ancillary_External_Services" localSheetId="4">#REF!</definedName>
    <definedName name="Ancillary_External_Services">#REF!</definedName>
    <definedName name="Ancillary_External_Structure" localSheetId="4">#REF!</definedName>
    <definedName name="Ancillary_External_Structure">#REF!</definedName>
    <definedName name="Ancillary_Fees" localSheetId="4">#REF!</definedName>
    <definedName name="Ancillary_Fees">#REF!</definedName>
    <definedName name="Ancillary_Furn_Fit" localSheetId="4">#REF!</definedName>
    <definedName name="Ancillary_Furn_Fit">#REF!</definedName>
    <definedName name="Ancillary_Interiors" localSheetId="4">#REF!</definedName>
    <definedName name="Ancillary_Interiors">#REF!</definedName>
    <definedName name="Ancillary_Landscaping" localSheetId="4">#REF!</definedName>
    <definedName name="Ancillary_Landscaping">#REF!</definedName>
    <definedName name="Ancillary_Logistics" localSheetId="4">#REF!</definedName>
    <definedName name="Ancillary_Logistics">#REF!</definedName>
    <definedName name="Ancillary_PAX_Transport" localSheetId="4">#REF!</definedName>
    <definedName name="Ancillary_PAX_Transport">#REF!</definedName>
    <definedName name="Ancillary_Prelims" localSheetId="4">#REF!</definedName>
    <definedName name="Ancillary_Prelims">#REF!</definedName>
    <definedName name="Ancillary_Rail" localSheetId="4">#REF!</definedName>
    <definedName name="Ancillary_Rail">#REF!</definedName>
    <definedName name="Ancillary_Services_Primary" localSheetId="4">#REF!</definedName>
    <definedName name="Ancillary_Services_Primary">#REF!</definedName>
    <definedName name="Ancillary_Site_Works" localSheetId="4">#REF!</definedName>
    <definedName name="Ancillary_Site_Works">#REF!</definedName>
    <definedName name="Ancillary_Specialist_Electrical" localSheetId="4">#REF!</definedName>
    <definedName name="Ancillary_Specialist_Electrical">#REF!</definedName>
    <definedName name="Ancillary_Substructure" localSheetId="4">#REF!</definedName>
    <definedName name="Ancillary_Substructure">#REF!</definedName>
    <definedName name="Ancillary_Superstructure" localSheetId="4">#REF!</definedName>
    <definedName name="Ancillary_Superstructure">#REF!</definedName>
    <definedName name="Ancillary_Surface_Work" localSheetId="4">#REF!</definedName>
    <definedName name="Ancillary_Surface_Work">#REF!</definedName>
    <definedName name="Ancillary_TTS" localSheetId="4">#REF!</definedName>
    <definedName name="Ancillary_TTS">#REF!</definedName>
    <definedName name="Ancilliary" localSheetId="0">#REF!</definedName>
    <definedName name="Ancilliary" localSheetId="1">#REF!</definedName>
    <definedName name="Ancilliary">[12]Variations!$E$11</definedName>
    <definedName name="ANNEX_B___C" localSheetId="0">#REF!</definedName>
    <definedName name="ANNEX_B___C" localSheetId="1">#REF!</definedName>
    <definedName name="ANNEX_B___C">[13]Assumptions!#REF!</definedName>
    <definedName name="ANNEXURE__A_" localSheetId="0">#REF!</definedName>
    <definedName name="ANNEXURE__A_" localSheetId="1">#REF!</definedName>
    <definedName name="ANNEXURE__A_">[13]Assumptions!#REF!</definedName>
    <definedName name="ANNEXURE__B_" localSheetId="0">#REF!</definedName>
    <definedName name="ANNEXURE__B_" localSheetId="1">#REF!</definedName>
    <definedName name="ANNEXURE__B_">[13]Assumptions!#REF!</definedName>
    <definedName name="anscount" hidden="1">1</definedName>
    <definedName name="antiicpated" localSheetId="0">#REF!</definedName>
    <definedName name="antiicpated" localSheetId="1">#REF!</definedName>
    <definedName name="antiicpated" localSheetId="4">#REF!</definedName>
    <definedName name="antiicpated">#REF!</definedName>
    <definedName name="app_q" localSheetId="0">#REF!</definedName>
    <definedName name="app_q" localSheetId="1">#REF!</definedName>
    <definedName name="app_q" localSheetId="4">#REF!</definedName>
    <definedName name="app_q">#REF!</definedName>
    <definedName name="appndx" localSheetId="4">#REF!</definedName>
    <definedName name="appndx">#REF!</definedName>
    <definedName name="apporx_quants" localSheetId="4">#REF!</definedName>
    <definedName name="apporx_quants">#REF!</definedName>
    <definedName name="Approved_by" localSheetId="4">#REF!</definedName>
    <definedName name="Approved_by">#REF!</definedName>
    <definedName name="aqw" localSheetId="0" hidden="1">{#N/A,#N/A,FALSE,"SUBS";#N/A,#N/A,FALSE,"SUPERS";#N/A,#N/A,FALSE,"FINISHES";#N/A,#N/A,FALSE,"FITTINGS";#N/A,#N/A,FALSE,"SERVICES";#N/A,#N/A,FALSE,"SITEWORKS"}</definedName>
    <definedName name="aqw" localSheetId="1" hidden="1">{#N/A,#N/A,FALSE,"SUBS";#N/A,#N/A,FALSE,"SUPERS";#N/A,#N/A,FALSE,"FINISHES";#N/A,#N/A,FALSE,"FITTINGS";#N/A,#N/A,FALSE,"SERVICES";#N/A,#N/A,FALSE,"SITEWORKS"}</definedName>
    <definedName name="aqw" localSheetId="4" hidden="1">{#N/A,#N/A,FALSE,"SUBS";#N/A,#N/A,FALSE,"SUPERS";#N/A,#N/A,FALSE,"FINISHES";#N/A,#N/A,FALSE,"FITTINGS";#N/A,#N/A,FALSE,"SERVICES";#N/A,#N/A,FALSE,"SITEWORKS"}</definedName>
    <definedName name="aqw" hidden="1">{#N/A,#N/A,FALSE,"SUBS";#N/A,#N/A,FALSE,"SUPERS";#N/A,#N/A,FALSE,"FINISHES";#N/A,#N/A,FALSE,"FITTINGS";#N/A,#N/A,FALSE,"SERVICES";#N/A,#N/A,FALSE,"SITEWORKS"}</definedName>
    <definedName name="ar" localSheetId="0">#REF!</definedName>
    <definedName name="ar" localSheetId="1">#REF!</definedName>
    <definedName name="ar">[14]Basis!#REF!</definedName>
    <definedName name="are" localSheetId="0">#REF!</definedName>
    <definedName name="are" localSheetId="1">#REF!</definedName>
    <definedName name="are">[15]Basis!#REF!</definedName>
    <definedName name="area" localSheetId="0">#REF!</definedName>
    <definedName name="area" localSheetId="1">#REF!</definedName>
    <definedName name="area">[15]Basis!#REF!</definedName>
    <definedName name="AREAS" localSheetId="0">#REF!</definedName>
    <definedName name="AREAS" localSheetId="1">#REF!</definedName>
    <definedName name="AREAS" localSheetId="4">#REF!</definedName>
    <definedName name="AREAS">#REF!</definedName>
    <definedName name="areas2" localSheetId="0">#REF!</definedName>
    <definedName name="areas2" localSheetId="1">#REF!</definedName>
    <definedName name="areas2">[16]Basis!#REF!</definedName>
    <definedName name="areasort" localSheetId="0">#REF!</definedName>
    <definedName name="areasort" localSheetId="1">#REF!</definedName>
    <definedName name="areasort" localSheetId="4">#REF!</definedName>
    <definedName name="areasort">#REF!</definedName>
    <definedName name="AreaStoped" localSheetId="0">#REF!</definedName>
    <definedName name="AreaStoped" localSheetId="1">#REF!</definedName>
    <definedName name="AreaStoped" localSheetId="4">#REF!</definedName>
    <definedName name="AreaStoped">#REF!</definedName>
    <definedName name="As" localSheetId="4">#REF!</definedName>
    <definedName name="As">#REF!</definedName>
    <definedName name="asa" localSheetId="0" hidden="1">{"'S Summ'!$B$2:$L$73","'S Summ'!$G$76"}</definedName>
    <definedName name="asa" localSheetId="1" hidden="1">{"'S Summ'!$B$2:$L$73","'S Summ'!$G$76"}</definedName>
    <definedName name="asa" localSheetId="4" hidden="1">{"'S Summ'!$B$2:$L$73","'S Summ'!$G$76"}</definedName>
    <definedName name="asa" hidden="1">{"'S Summ'!$B$2:$L$73","'S Summ'!$G$76"}</definedName>
    <definedName name="asasas" localSheetId="0" hidden="1">{"'S Summ'!$B$2:$L$73","'S Summ'!$G$76"}</definedName>
    <definedName name="asasas" localSheetId="1" hidden="1">{"'S Summ'!$B$2:$L$73","'S Summ'!$G$76"}</definedName>
    <definedName name="asasas" localSheetId="4" hidden="1">{"'S Summ'!$B$2:$L$73","'S Summ'!$G$76"}</definedName>
    <definedName name="asasas" hidden="1">{"'S Summ'!$B$2:$L$73","'S Summ'!$G$76"}</definedName>
    <definedName name="asd" localSheetId="0">#REF!</definedName>
    <definedName name="asd" localSheetId="1">#REF!</definedName>
    <definedName name="asd" localSheetId="4">#REF!</definedName>
    <definedName name="asd">#REF!</definedName>
    <definedName name="asdd" localSheetId="0">#REF!</definedName>
    <definedName name="asdd" localSheetId="1">#REF!</definedName>
    <definedName name="asdd" localSheetId="4">#REF!</definedName>
    <definedName name="asdd">#REF!</definedName>
    <definedName name="ASDF" localSheetId="0" hidden="1">{#N/A,#N/A,FALSE,"GERAL";#N/A,#N/A,FALSE,"012-96";#N/A,#N/A,FALSE,"018-96";#N/A,#N/A,FALSE,"027-96";#N/A,#N/A,FALSE,"059-96";#N/A,#N/A,FALSE,"076-96";#N/A,#N/A,FALSE,"019-97";#N/A,#N/A,FALSE,"021-97";#N/A,#N/A,FALSE,"022-97";#N/A,#N/A,FALSE,"028-97"}</definedName>
    <definedName name="ASDF" localSheetId="1" hidden="1">{#N/A,#N/A,FALSE,"GERAL";#N/A,#N/A,FALSE,"012-96";#N/A,#N/A,FALSE,"018-96";#N/A,#N/A,FALSE,"027-96";#N/A,#N/A,FALSE,"059-96";#N/A,#N/A,FALSE,"076-96";#N/A,#N/A,FALSE,"019-97";#N/A,#N/A,FALSE,"021-97";#N/A,#N/A,FALSE,"022-97";#N/A,#N/A,FALSE,"028-97"}</definedName>
    <definedName name="ASDF" localSheetId="4" hidden="1">{#N/A,#N/A,FALSE,"GERAL";#N/A,#N/A,FALSE,"012-96";#N/A,#N/A,FALSE,"018-96";#N/A,#N/A,FALSE,"027-96";#N/A,#N/A,FALSE,"059-96";#N/A,#N/A,FALSE,"076-96";#N/A,#N/A,FALSE,"019-97";#N/A,#N/A,FALSE,"021-97";#N/A,#N/A,FALSE,"022-97";#N/A,#N/A,FALSE,"028-97"}</definedName>
    <definedName name="ASDF" hidden="1">{#N/A,#N/A,FALSE,"GERAL";#N/A,#N/A,FALSE,"012-96";#N/A,#N/A,FALSE,"018-96";#N/A,#N/A,FALSE,"027-96";#N/A,#N/A,FALSE,"059-96";#N/A,#N/A,FALSE,"076-96";#N/A,#N/A,FALSE,"019-97";#N/A,#N/A,FALSE,"021-97";#N/A,#N/A,FALSE,"022-97";#N/A,#N/A,FALSE,"028-97"}</definedName>
    <definedName name="asesd" localSheetId="0">#REF!</definedName>
    <definedName name="asesd" localSheetId="1">#REF!</definedName>
    <definedName name="asesd" localSheetId="4">#REF!</definedName>
    <definedName name="asesd">#REF!</definedName>
    <definedName name="At_risk" localSheetId="0">#REF!</definedName>
    <definedName name="At_risk" localSheetId="1">#REF!</definedName>
    <definedName name="At_risk">[17]Assumptions!$B$1</definedName>
    <definedName name="atrisk_total_net_rent_for_cashflow" localSheetId="0">#REF!</definedName>
    <definedName name="atrisk_total_net_rent_for_cashflow" localSheetId="1">#REF!</definedName>
    <definedName name="atrisk_total_net_rent_for_cashflow">'[17]@risk rents and incentives'!$W$25:$AL$26</definedName>
    <definedName name="Audit_serv_LY" localSheetId="0">#REF!</definedName>
    <definedName name="Audit_serv_LY" localSheetId="1">#REF!</definedName>
    <definedName name="Audit_serv_LY" localSheetId="4">#REF!</definedName>
    <definedName name="Audit_serv_LY">#REF!</definedName>
    <definedName name="AUST" localSheetId="0">#REF!</definedName>
    <definedName name="AUST" localSheetId="1">#REF!</definedName>
    <definedName name="AUST">[18]AREAS!$A$6:$I$47</definedName>
    <definedName name="AUSTEN" localSheetId="0">#REF!</definedName>
    <definedName name="AUSTEN" localSheetId="1">#REF!</definedName>
    <definedName name="AUSTEN" localSheetId="4">#REF!</definedName>
    <definedName name="AUSTEN">#REF!</definedName>
    <definedName name="AUSTI" localSheetId="0">#REF!</definedName>
    <definedName name="AUSTI" localSheetId="1">#REF!</definedName>
    <definedName name="AUSTI">[18]WORKINGS!$A$1:$N$3</definedName>
    <definedName name="AUSTIN" localSheetId="0">#REF!</definedName>
    <definedName name="AUSTIN" localSheetId="1">#REF!</definedName>
    <definedName name="AUSTIN">[18]AREAS!$A$1:$I$5</definedName>
    <definedName name="axdrth" localSheetId="0" hidden="1">{#N/A,#N/A,TRUE,"COVER";#N/A,#N/A,TRUE,"DETAILS";#N/A,#N/A,TRUE,"SUMMARY";#N/A,#N/A,TRUE,"EXP MON";#N/A,#N/A,TRUE,"APPENDIX A";#N/A,#N/A,TRUE,"APPENDIX B";#N/A,#N/A,TRUE,"APPENDIX C";#N/A,#N/A,TRUE,"APPENDIX D";#N/A,#N/A,TRUE,"APPENDIX E";#N/A,#N/A,TRUE,"APPENDIX F";#N/A,#N/A,TRUE,"APPENDIX G"}</definedName>
    <definedName name="axdrth" localSheetId="1" hidden="1">{#N/A,#N/A,TRUE,"COVER";#N/A,#N/A,TRUE,"DETAILS";#N/A,#N/A,TRUE,"SUMMARY";#N/A,#N/A,TRUE,"EXP MON";#N/A,#N/A,TRUE,"APPENDIX A";#N/A,#N/A,TRUE,"APPENDIX B";#N/A,#N/A,TRUE,"APPENDIX C";#N/A,#N/A,TRUE,"APPENDIX D";#N/A,#N/A,TRUE,"APPENDIX E";#N/A,#N/A,TRUE,"APPENDIX F";#N/A,#N/A,TRUE,"APPENDIX G"}</definedName>
    <definedName name="axdrth" localSheetId="4" hidden="1">{#N/A,#N/A,TRUE,"COVER";#N/A,#N/A,TRUE,"DETAILS";#N/A,#N/A,TRUE,"SUMMARY";#N/A,#N/A,TRUE,"EXP MON";#N/A,#N/A,TRUE,"APPENDIX A";#N/A,#N/A,TRUE,"APPENDIX B";#N/A,#N/A,TRUE,"APPENDIX C";#N/A,#N/A,TRUE,"APPENDIX D";#N/A,#N/A,TRUE,"APPENDIX E";#N/A,#N/A,TRUE,"APPENDIX F";#N/A,#N/A,TRUE,"APPENDIX G"}</definedName>
    <definedName name="axdrth" hidden="1">{#N/A,#N/A,TRUE,"COVER";#N/A,#N/A,TRUE,"DETAILS";#N/A,#N/A,TRUE,"SUMMARY";#N/A,#N/A,TRUE,"EXP MON";#N/A,#N/A,TRUE,"APPENDIX A";#N/A,#N/A,TRUE,"APPENDIX B";#N/A,#N/A,TRUE,"APPENDIX C";#N/A,#N/A,TRUE,"APPENDIX D";#N/A,#N/A,TRUE,"APPENDIX E";#N/A,#N/A,TRUE,"APPENDIX F";#N/A,#N/A,TRUE,"APPENDIX G"}</definedName>
    <definedName name="B" localSheetId="0">#REF!</definedName>
    <definedName name="B" localSheetId="1">#REF!</definedName>
    <definedName name="b" localSheetId="4" hidden="1">{#N/A,#N/A,TRUE,"COVER";#N/A,#N/A,TRUE,"DETAILS";#N/A,#N/A,TRUE,"SUMMARY";#N/A,#N/A,TRUE,"EXP MON";#N/A,#N/A,TRUE,"APPENDIX A";#N/A,#N/A,TRUE,"APPENDIX B";#N/A,#N/A,TRUE,"APPENDIX C";#N/A,#N/A,TRUE,"APPENDIX D";#N/A,#N/A,TRUE,"APPENDIX E";#N/A,#N/A,TRUE,"APPENDIX F";#N/A,#N/A,TRUE,"APPENDIX G"}</definedName>
    <definedName name="b" hidden="1">{#N/A,#N/A,TRUE,"COVER";#N/A,#N/A,TRUE,"DETAILS";#N/A,#N/A,TRUE,"SUMMARY";#N/A,#N/A,TRUE,"EXP MON";#N/A,#N/A,TRUE,"APPENDIX A";#N/A,#N/A,TRUE,"APPENDIX B";#N/A,#N/A,TRUE,"APPENDIX C";#N/A,#N/A,TRUE,"APPENDIX D";#N/A,#N/A,TRUE,"APPENDIX E";#N/A,#N/A,TRUE,"APPENDIX F";#N/A,#N/A,TRUE,"APPENDIX G"}</definedName>
    <definedName name="B_1" localSheetId="0">#REF!</definedName>
    <definedName name="B_1" localSheetId="1">#REF!</definedName>
    <definedName name="B_1" localSheetId="4">#REF!</definedName>
    <definedName name="B_1">#REF!</definedName>
    <definedName name="B_10" localSheetId="4">#REF!</definedName>
    <definedName name="B_10">#REF!</definedName>
    <definedName name="B_1000" localSheetId="4">#REF!</definedName>
    <definedName name="B_1000">#REF!</definedName>
    <definedName name="B_11" localSheetId="4">#REF!</definedName>
    <definedName name="B_11">#REF!</definedName>
    <definedName name="B_12" localSheetId="4">#REF!</definedName>
    <definedName name="B_12">#REF!</definedName>
    <definedName name="B_13" localSheetId="4">#REF!</definedName>
    <definedName name="B_13">#REF!</definedName>
    <definedName name="B_14" localSheetId="4">#REF!</definedName>
    <definedName name="B_14">#REF!</definedName>
    <definedName name="B_15" localSheetId="4">#REF!</definedName>
    <definedName name="B_15">#REF!</definedName>
    <definedName name="B_16" localSheetId="4">#REF!</definedName>
    <definedName name="B_16">#REF!</definedName>
    <definedName name="B_17" localSheetId="4">#REF!</definedName>
    <definedName name="B_17">#REF!</definedName>
    <definedName name="B_17.2" localSheetId="4">#REF!</definedName>
    <definedName name="B_17.2">#REF!</definedName>
    <definedName name="B_18" localSheetId="4">#REF!</definedName>
    <definedName name="B_18">#REF!</definedName>
    <definedName name="B_19" localSheetId="4">#REF!</definedName>
    <definedName name="B_19">#REF!</definedName>
    <definedName name="B_2" localSheetId="4">#REF!</definedName>
    <definedName name="B_2">#REF!</definedName>
    <definedName name="B_20" localSheetId="4">#REF!</definedName>
    <definedName name="B_20">#REF!</definedName>
    <definedName name="B_21" localSheetId="4">#REF!</definedName>
    <definedName name="B_21">#REF!</definedName>
    <definedName name="B_22" localSheetId="4">#REF!</definedName>
    <definedName name="B_22">#REF!</definedName>
    <definedName name="B_23.1" localSheetId="4">#REF!</definedName>
    <definedName name="B_23.1">#REF!</definedName>
    <definedName name="B_23.2" localSheetId="4">#REF!</definedName>
    <definedName name="B_23.2">#REF!</definedName>
    <definedName name="B_24" localSheetId="4">#REF!</definedName>
    <definedName name="B_24">#REF!</definedName>
    <definedName name="B_25" localSheetId="4">#REF!</definedName>
    <definedName name="B_25">#REF!</definedName>
    <definedName name="B_26" localSheetId="4">#REF!</definedName>
    <definedName name="B_26">#REF!</definedName>
    <definedName name="B_27" localSheetId="4">#REF!</definedName>
    <definedName name="B_27">#REF!</definedName>
    <definedName name="B_28" localSheetId="4">#REF!</definedName>
    <definedName name="B_28">#REF!</definedName>
    <definedName name="B_29" localSheetId="4">#REF!</definedName>
    <definedName name="B_29">#REF!</definedName>
    <definedName name="B_3" localSheetId="4">#REF!</definedName>
    <definedName name="B_3">#REF!</definedName>
    <definedName name="B_30" localSheetId="4">#REF!</definedName>
    <definedName name="B_30">#REF!</definedName>
    <definedName name="B_31" localSheetId="4">#REF!</definedName>
    <definedName name="B_31">#REF!</definedName>
    <definedName name="B_32" localSheetId="4">#REF!</definedName>
    <definedName name="B_32">#REF!</definedName>
    <definedName name="B_33" localSheetId="4">#REF!</definedName>
    <definedName name="B_33">#REF!</definedName>
    <definedName name="B_34" localSheetId="4">#REF!</definedName>
    <definedName name="B_34">#REF!</definedName>
    <definedName name="B_35" localSheetId="4">#REF!</definedName>
    <definedName name="B_35">#REF!</definedName>
    <definedName name="B_36" localSheetId="4">#REF!</definedName>
    <definedName name="B_36">#REF!</definedName>
    <definedName name="B_37" localSheetId="4">#REF!</definedName>
    <definedName name="B_37">#REF!</definedName>
    <definedName name="B_38" localSheetId="4">#REF!</definedName>
    <definedName name="B_38">#REF!</definedName>
    <definedName name="B_39" localSheetId="4">#REF!</definedName>
    <definedName name="B_39">#REF!</definedName>
    <definedName name="B_4" localSheetId="4">#REF!</definedName>
    <definedName name="B_4">#REF!</definedName>
    <definedName name="B_40" localSheetId="4">#REF!</definedName>
    <definedName name="B_40">#REF!</definedName>
    <definedName name="B_41" localSheetId="4">#REF!</definedName>
    <definedName name="B_41">#REF!</definedName>
    <definedName name="B_42" localSheetId="4">#REF!</definedName>
    <definedName name="B_42">#REF!</definedName>
    <definedName name="B_43" localSheetId="4">#REF!</definedName>
    <definedName name="B_43">#REF!</definedName>
    <definedName name="B_44" localSheetId="4">#REF!</definedName>
    <definedName name="B_44">#REF!</definedName>
    <definedName name="B_45" localSheetId="4">#REF!</definedName>
    <definedName name="B_45">#REF!</definedName>
    <definedName name="B_46" localSheetId="4">#REF!</definedName>
    <definedName name="B_46">#REF!</definedName>
    <definedName name="B_47" localSheetId="4">#REF!</definedName>
    <definedName name="B_47">#REF!</definedName>
    <definedName name="B_48" localSheetId="4">#REF!</definedName>
    <definedName name="B_48">#REF!</definedName>
    <definedName name="B_5" localSheetId="4">#REF!</definedName>
    <definedName name="B_5">#REF!</definedName>
    <definedName name="B_6" localSheetId="4">#REF!</definedName>
    <definedName name="B_6">#REF!</definedName>
    <definedName name="B_7" localSheetId="4">#REF!</definedName>
    <definedName name="B_7">#REF!</definedName>
    <definedName name="B_8" localSheetId="4">#REF!</definedName>
    <definedName name="B_8">#REF!</definedName>
    <definedName name="B_9" localSheetId="4">#REF!</definedName>
    <definedName name="B_9">#REF!</definedName>
    <definedName name="B_Electrica__Mechanical" localSheetId="4">#REF!</definedName>
    <definedName name="B_Electrica__Mechanical">#REF!</definedName>
    <definedName name="BadDebt" localSheetId="0">#REF!</definedName>
    <definedName name="BadDebt" localSheetId="1">#REF!</definedName>
    <definedName name="BadDebt">[11]Admin!$C$29</definedName>
    <definedName name="BALL" localSheetId="0">#REF!</definedName>
    <definedName name="BALL" localSheetId="1">#REF!</definedName>
    <definedName name="BALL" localSheetId="4">#REF!</definedName>
    <definedName name="BALL">#REF!</definedName>
    <definedName name="Balustrading" localSheetId="0">#REF!</definedName>
    <definedName name="Balustrading" localSheetId="1">#REF!</definedName>
    <definedName name="Balustrading">[19]BOQ!$C$391</definedName>
    <definedName name="bar" localSheetId="0" hidden="1">{#N/A,#N/A,FALSE,"GERAL";#N/A,#N/A,FALSE,"012-96";#N/A,#N/A,FALSE,"018-96";#N/A,#N/A,FALSE,"027-96";#N/A,#N/A,FALSE,"059-96";#N/A,#N/A,FALSE,"076-96";#N/A,#N/A,FALSE,"019-97";#N/A,#N/A,FALSE,"021-97";#N/A,#N/A,FALSE,"022-97";#N/A,#N/A,FALSE,"028-97"}</definedName>
    <definedName name="bar" localSheetId="1" hidden="1">{#N/A,#N/A,FALSE,"GERAL";#N/A,#N/A,FALSE,"012-96";#N/A,#N/A,FALSE,"018-96";#N/A,#N/A,FALSE,"027-96";#N/A,#N/A,FALSE,"059-96";#N/A,#N/A,FALSE,"076-96";#N/A,#N/A,FALSE,"019-97";#N/A,#N/A,FALSE,"021-97";#N/A,#N/A,FALSE,"022-97";#N/A,#N/A,FALSE,"028-97"}</definedName>
    <definedName name="bar" localSheetId="4" hidden="1">{#N/A,#N/A,FALSE,"GERAL";#N/A,#N/A,FALSE,"012-96";#N/A,#N/A,FALSE,"018-96";#N/A,#N/A,FALSE,"027-96";#N/A,#N/A,FALSE,"059-96";#N/A,#N/A,FALSE,"076-96";#N/A,#N/A,FALSE,"019-97";#N/A,#N/A,FALSE,"021-97";#N/A,#N/A,FALSE,"022-97";#N/A,#N/A,FALSE,"028-97"}</definedName>
    <definedName name="bar" hidden="1">{#N/A,#N/A,FALSE,"GERAL";#N/A,#N/A,FALSE,"012-96";#N/A,#N/A,FALSE,"018-96";#N/A,#N/A,FALSE,"027-96";#N/A,#N/A,FALSE,"059-96";#N/A,#N/A,FALSE,"076-96";#N/A,#N/A,FALSE,"019-97";#N/A,#N/A,FALSE,"021-97";#N/A,#N/A,FALSE,"022-97";#N/A,#N/A,FALSE,"028-97"}</definedName>
    <definedName name="base" localSheetId="0">#REF!</definedName>
    <definedName name="base" localSheetId="1">#REF!</definedName>
    <definedName name="BASE">[2]Equip!#REF!</definedName>
    <definedName name="Base_Fee" localSheetId="0">#REF!</definedName>
    <definedName name="Base_Fee" localSheetId="1">#REF!</definedName>
    <definedName name="Base_Fee" localSheetId="4">#REF!</definedName>
    <definedName name="Base_Fee">#REF!</definedName>
    <definedName name="BASIS" localSheetId="0">#REF!</definedName>
    <definedName name="BASIS" localSheetId="1">#REF!</definedName>
    <definedName name="BASIS" localSheetId="4">#REF!</definedName>
    <definedName name="BASIS">#REF!</definedName>
    <definedName name="BASIS1" localSheetId="4">#REF!</definedName>
    <definedName name="BASIS1">#REF!</definedName>
    <definedName name="BB" localSheetId="0">#REF!</definedName>
    <definedName name="BB" localSheetId="1">#REF!</definedName>
    <definedName name="BB">[8]WORKINGS!$A$1:$N$3</definedName>
    <definedName name="bbb" localSheetId="0">#REF!</definedName>
    <definedName name="bbb" localSheetId="1">#REF!</definedName>
    <definedName name="BBB">[20]AREAS!$A$6:$I$74</definedName>
    <definedName name="BBBBBB" localSheetId="0">#REF!</definedName>
    <definedName name="BBBBBB" localSheetId="1">#REF!</definedName>
    <definedName name="BBBBBB" localSheetId="4">#REF!</definedName>
    <definedName name="BBBBBB">#REF!</definedName>
    <definedName name="bbbtty" localSheetId="4">#REF!</definedName>
    <definedName name="bbbtty">#REF!</definedName>
    <definedName name="BBGG" localSheetId="4">#REF!</definedName>
    <definedName name="BBGG">#REF!</definedName>
    <definedName name="BE" localSheetId="0">#REF!</definedName>
    <definedName name="BE" localSheetId="1">#REF!</definedName>
    <definedName name="BE">'[9]SUPPLEMENTARY SHEETS'!#REF!</definedName>
    <definedName name="BEC" localSheetId="0">#REF!</definedName>
    <definedName name="BEC" localSheetId="1">#REF!</definedName>
    <definedName name="BEC">'[9]SUPPLEMENTARY SHEETS'!#REF!</definedName>
    <definedName name="BEF" localSheetId="0">#REF!</definedName>
    <definedName name="BEF" localSheetId="1">#REF!</definedName>
    <definedName name="BEF" localSheetId="4">#REF!</definedName>
    <definedName name="BEF">#REF!</definedName>
    <definedName name="BFR" localSheetId="0">#REF!</definedName>
    <definedName name="BFR" localSheetId="1">#REF!</definedName>
    <definedName name="BFR" localSheetId="4">#REF!</definedName>
    <definedName name="BFR">#REF!</definedName>
    <definedName name="bh" localSheetId="0" hidden="1">{#N/A,#N/A,TRUE,"COVER";#N/A,#N/A,TRUE,"DETAILS";#N/A,#N/A,TRUE,"SUMMARY";#N/A,#N/A,TRUE,"EXP MON";#N/A,#N/A,TRUE,"APPENDIX A";#N/A,#N/A,TRUE,"APPENDIX B";#N/A,#N/A,TRUE,"APPENDIX C";#N/A,#N/A,TRUE,"APPENDIX D";#N/A,#N/A,TRUE,"APPENDIX E";#N/A,#N/A,TRUE,"APPENDIX F";#N/A,#N/A,TRUE,"APPENDIX G"}</definedName>
    <definedName name="bh" localSheetId="1" hidden="1">{#N/A,#N/A,TRUE,"COVER";#N/A,#N/A,TRUE,"DETAILS";#N/A,#N/A,TRUE,"SUMMARY";#N/A,#N/A,TRUE,"EXP MON";#N/A,#N/A,TRUE,"APPENDIX A";#N/A,#N/A,TRUE,"APPENDIX B";#N/A,#N/A,TRUE,"APPENDIX C";#N/A,#N/A,TRUE,"APPENDIX D";#N/A,#N/A,TRUE,"APPENDIX E";#N/A,#N/A,TRUE,"APPENDIX F";#N/A,#N/A,TRUE,"APPENDIX G"}</definedName>
    <definedName name="bh" localSheetId="4" hidden="1">{#N/A,#N/A,TRUE,"COVER";#N/A,#N/A,TRUE,"DETAILS";#N/A,#N/A,TRUE,"SUMMARY";#N/A,#N/A,TRUE,"EXP MON";#N/A,#N/A,TRUE,"APPENDIX A";#N/A,#N/A,TRUE,"APPENDIX B";#N/A,#N/A,TRUE,"APPENDIX C";#N/A,#N/A,TRUE,"APPENDIX D";#N/A,#N/A,TRUE,"APPENDIX E";#N/A,#N/A,TRUE,"APPENDIX F";#N/A,#N/A,TRUE,"APPENDIX G"}</definedName>
    <definedName name="bh" hidden="1">{#N/A,#N/A,TRUE,"COVER";#N/A,#N/A,TRUE,"DETAILS";#N/A,#N/A,TRUE,"SUMMARY";#N/A,#N/A,TRUE,"EXP MON";#N/A,#N/A,TRUE,"APPENDIX A";#N/A,#N/A,TRUE,"APPENDIX B";#N/A,#N/A,TRUE,"APPENDIX C";#N/A,#N/A,TRUE,"APPENDIX D";#N/A,#N/A,TRUE,"APPENDIX E";#N/A,#N/A,TRUE,"APPENDIX F";#N/A,#N/A,TRUE,"APPENDIX G"}</definedName>
    <definedName name="bhu" localSheetId="0">#REF!</definedName>
    <definedName name="bhu" localSheetId="1">#REF!</definedName>
    <definedName name="bhu">[21]WORKINGS!$A$1:$N$3</definedName>
    <definedName name="bkh" localSheetId="0">#REF!</definedName>
    <definedName name="bkh" localSheetId="1">#REF!</definedName>
    <definedName name="bkh">[22]INDEX!#REF!</definedName>
    <definedName name="blf" localSheetId="0">#REF!</definedName>
    <definedName name="blf" localSheetId="1">#REF!</definedName>
    <definedName name="blf" localSheetId="4">#REF!</definedName>
    <definedName name="blf">#REF!</definedName>
    <definedName name="bncgh" localSheetId="0">#REF!</definedName>
    <definedName name="bncgh" localSheetId="1">#REF!</definedName>
    <definedName name="bncgh">[23]WORKINGS!$A$1:$N$3</definedName>
    <definedName name="bncmgfhdf" localSheetId="0">#REF!</definedName>
    <definedName name="bncmgfhdf" localSheetId="1">#REF!</definedName>
    <definedName name="bncmgfhdf">[19]WORKINGS!$A$1:$N$3</definedName>
    <definedName name="bnmn" localSheetId="0">#REF!</definedName>
    <definedName name="bnmn" localSheetId="1">#REF!</definedName>
    <definedName name="bnmn" localSheetId="4">#REF!</definedName>
    <definedName name="bnmn">#REF!</definedName>
    <definedName name="bnvj" localSheetId="0">#REF!</definedName>
    <definedName name="bnvj" localSheetId="1">#REF!</definedName>
    <definedName name="bnvj" localSheetId="4">#REF!</definedName>
    <definedName name="bnvj">#REF!</definedName>
    <definedName name="bnvngtft" localSheetId="4">#REF!</definedName>
    <definedName name="bnvngtft">#REF!</definedName>
    <definedName name="BO" localSheetId="0">RiskCellHasTokens(512)</definedName>
    <definedName name="BO" localSheetId="1">RiskCellHasTokens(512)</definedName>
    <definedName name="BO" localSheetId="4">RiskCellHasTokens(512)</definedName>
    <definedName name="BO">RiskCellHasTokens(512)</definedName>
    <definedName name="bob" localSheetId="0" hidden="1">#REF!</definedName>
    <definedName name="bob" localSheetId="1" hidden="1">#REF!</definedName>
    <definedName name="bob" localSheetId="4" hidden="1">#REF!</definedName>
    <definedName name="bob" hidden="1">#REF!</definedName>
    <definedName name="BOQ" localSheetId="0">RiskCellHasTokens(512)</definedName>
    <definedName name="BOQ" localSheetId="1">RiskCellHasTokens(512)</definedName>
    <definedName name="BOQ" localSheetId="4">RiskCellHasTokens(512)</definedName>
    <definedName name="BOQ">RiskCellHasTokens(512)</definedName>
    <definedName name="boqmcc" localSheetId="0">#REF!</definedName>
    <definedName name="boqmcc" localSheetId="1">#REF!</definedName>
    <definedName name="boqmcc" localSheetId="4">#REF!</definedName>
    <definedName name="boqmcc">#REF!</definedName>
    <definedName name="boqmill" localSheetId="0">#REF!</definedName>
    <definedName name="boqmill" localSheetId="1">#REF!</definedName>
    <definedName name="boqmill" localSheetId="4">#REF!</definedName>
    <definedName name="boqmill">#REF!</definedName>
    <definedName name="Boxcut_rate" localSheetId="0">#REF!</definedName>
    <definedName name="Boxcut_rate" localSheetId="1">#REF!</definedName>
    <definedName name="Boxcut_rate">[12]Variations!$E$17</definedName>
    <definedName name="Boxcut_volume" localSheetId="0">#REF!</definedName>
    <definedName name="Boxcut_volume" localSheetId="1">#REF!</definedName>
    <definedName name="Boxcut_volume">[12]Variations!$E$18</definedName>
    <definedName name="Braamfontein" localSheetId="0">#REF!,#REF!,#REF!,#REF!,#REF!,#REF!</definedName>
    <definedName name="Braamfontein" localSheetId="1">#REF!,#REF!,#REF!,#REF!,#REF!,#REF!</definedName>
    <definedName name="Braamfontein" localSheetId="4">#REF!,#REF!,#REF!,#REF!,#REF!,#REF!</definedName>
    <definedName name="Braamfontein">#REF!,#REF!,#REF!,#REF!,#REF!,#REF!</definedName>
    <definedName name="BRITAGEM" localSheetId="0" hidden="1">{#N/A,#N/A,FALSE,"GERAL";#N/A,#N/A,FALSE,"012-96";#N/A,#N/A,FALSE,"018-96";#N/A,#N/A,FALSE,"027-96";#N/A,#N/A,FALSE,"059-96";#N/A,#N/A,FALSE,"076-96";#N/A,#N/A,FALSE,"019-97";#N/A,#N/A,FALSE,"021-97";#N/A,#N/A,FALSE,"022-97";#N/A,#N/A,FALSE,"028-97"}</definedName>
    <definedName name="BRITAGEM" localSheetId="1" hidden="1">{#N/A,#N/A,FALSE,"GERAL";#N/A,#N/A,FALSE,"012-96";#N/A,#N/A,FALSE,"018-96";#N/A,#N/A,FALSE,"027-96";#N/A,#N/A,FALSE,"059-96";#N/A,#N/A,FALSE,"076-96";#N/A,#N/A,FALSE,"019-97";#N/A,#N/A,FALSE,"021-97";#N/A,#N/A,FALSE,"022-97";#N/A,#N/A,FALSE,"028-97"}</definedName>
    <definedName name="BRITAGEM" localSheetId="4" hidden="1">{#N/A,#N/A,FALSE,"GERAL";#N/A,#N/A,FALSE,"012-96";#N/A,#N/A,FALSE,"018-96";#N/A,#N/A,FALSE,"027-96";#N/A,#N/A,FALSE,"059-96";#N/A,#N/A,FALSE,"076-96";#N/A,#N/A,FALSE,"019-97";#N/A,#N/A,FALSE,"021-97";#N/A,#N/A,FALSE,"022-97";#N/A,#N/A,FALSE,"028-97"}</definedName>
    <definedName name="BRITAGEM" hidden="1">{#N/A,#N/A,FALSE,"GERAL";#N/A,#N/A,FALSE,"012-96";#N/A,#N/A,FALSE,"018-96";#N/A,#N/A,FALSE,"027-96";#N/A,#N/A,FALSE,"059-96";#N/A,#N/A,FALSE,"076-96";#N/A,#N/A,FALSE,"019-97";#N/A,#N/A,FALSE,"021-97";#N/A,#N/A,FALSE,"022-97";#N/A,#N/A,FALSE,"028-97"}</definedName>
    <definedName name="BrokenOreGrade" localSheetId="0">#REF!</definedName>
    <definedName name="BrokenOreGrade" localSheetId="1">#REF!</definedName>
    <definedName name="BrokenOreGrade" localSheetId="4">#REF!</definedName>
    <definedName name="BrokenOreGrade">#REF!</definedName>
    <definedName name="BTR" localSheetId="0">#REF!</definedName>
    <definedName name="BTR" localSheetId="1">#REF!</definedName>
    <definedName name="BTR">[24]WORKINGS!$A$1:$N$3</definedName>
    <definedName name="Budget_01" localSheetId="0">#REF!</definedName>
    <definedName name="Budget_01" localSheetId="1">#REF!</definedName>
    <definedName name="Budget_01" localSheetId="4">#REF!</definedName>
    <definedName name="Budget_01">#REF!</definedName>
    <definedName name="Build" localSheetId="0">#REF!</definedName>
    <definedName name="Build" localSheetId="1">#REF!</definedName>
    <definedName name="Build" localSheetId="4">#REF!</definedName>
    <definedName name="Build">#REF!</definedName>
    <definedName name="build_sens" localSheetId="0">#REF!</definedName>
    <definedName name="build_sens" localSheetId="1">#REF!</definedName>
    <definedName name="build_sens">'[24]Devco Cashflow'!#REF!</definedName>
    <definedName name="BuildersWork" localSheetId="0">#REF!</definedName>
    <definedName name="BuildersWork" localSheetId="1">#REF!</definedName>
    <definedName name="BuildersWork">[19]BOQ!$C$461</definedName>
    <definedName name="Building" localSheetId="0">RiskCellHasTokens(512)</definedName>
    <definedName name="Building" localSheetId="1">RiskCellHasTokens(512)</definedName>
    <definedName name="Building" localSheetId="4">RiskCellHasTokens(512)</definedName>
    <definedName name="Building">RiskCellHasTokens(512)</definedName>
    <definedName name="Buildings___Structures___Contents" localSheetId="0">#REF!</definedName>
    <definedName name="Buildings___Structures___Contents" localSheetId="1">#REF!</definedName>
    <definedName name="Buildings___Structures___Contents">[12]Variations!$E$19</definedName>
    <definedName name="Bulk" localSheetId="0" hidden="1">#REF!</definedName>
    <definedName name="Bulk" localSheetId="1" hidden="1">#REF!</definedName>
    <definedName name="Bulk" localSheetId="4" hidden="1">#REF!</definedName>
    <definedName name="Bulk" hidden="1">#REF!</definedName>
    <definedName name="bulk_rd" localSheetId="0">#REF!</definedName>
    <definedName name="bulk_rd" localSheetId="1">#REF!</definedName>
    <definedName name="bulk_rd" localSheetId="4">#REF!</definedName>
    <definedName name="bulk_rd">#REF!</definedName>
    <definedName name="bv" localSheetId="0">#REF!</definedName>
    <definedName name="bv" localSheetId="1">#REF!</definedName>
    <definedName name="bv" localSheetId="4">#REF!</definedName>
    <definedName name="bv">#REF!</definedName>
    <definedName name="bvbv" localSheetId="4">#REF!</definedName>
    <definedName name="bvbv">#REF!</definedName>
    <definedName name="bvf" localSheetId="4">#REF!</definedName>
    <definedName name="bvf">#REF!</definedName>
    <definedName name="C_flooring" localSheetId="4">#REF!</definedName>
    <definedName name="C_flooring">#REF!</definedName>
    <definedName name="Ca" localSheetId="4">#REF!</definedName>
    <definedName name="Ca">#REF!</definedName>
    <definedName name="Calculation" localSheetId="4">#REF!</definedName>
    <definedName name="Calculation">#REF!</definedName>
    <definedName name="Cap_rate" localSheetId="4">#REF!</definedName>
    <definedName name="Cap_rate">#REF!</definedName>
    <definedName name="capcost1" localSheetId="4">#REF!</definedName>
    <definedName name="capcost1">#REF!</definedName>
    <definedName name="CapRate" localSheetId="4">#REF!</definedName>
    <definedName name="CapRate">#REF!</definedName>
    <definedName name="CapRate_Cinema" localSheetId="4">#REF!</definedName>
    <definedName name="CapRate_Cinema">#REF!</definedName>
    <definedName name="CapRate_Hotel" localSheetId="4">#REF!</definedName>
    <definedName name="CapRate_Hotel">#REF!</definedName>
    <definedName name="CapRate_Office" localSheetId="4">#REF!</definedName>
    <definedName name="CapRate_Office">#REF!</definedName>
    <definedName name="CapRate2" localSheetId="4">#REF!</definedName>
    <definedName name="CapRate2">#REF!</definedName>
    <definedName name="CapRatePRE" localSheetId="4">#REF!</definedName>
    <definedName name="CapRatePRE">#REF!</definedName>
    <definedName name="car_park_cash_flow" localSheetId="0">#REF!</definedName>
    <definedName name="car_park_cash_flow" localSheetId="1">#REF!</definedName>
    <definedName name="car_park_cash_flow">'[17]Car park lease'!$A$21:$G$161</definedName>
    <definedName name="Carai" hidden="1">#N/A</definedName>
    <definedName name="CarPark_Income" localSheetId="0">#REF!</definedName>
    <definedName name="CarPark_Income" localSheetId="1">#REF!</definedName>
    <definedName name="CarPark_Income" localSheetId="4">#REF!</definedName>
    <definedName name="CarPark_Income">#REF!</definedName>
    <definedName name="Carpentry" localSheetId="0">#REF!</definedName>
    <definedName name="Carpentry" localSheetId="1">#REF!</definedName>
    <definedName name="Carpentry">[19]BOQ!$C$343</definedName>
    <definedName name="cash" localSheetId="0">#REF!</definedName>
    <definedName name="cash" localSheetId="1">#REF!</definedName>
    <definedName name="cash" localSheetId="4">#REF!</definedName>
    <definedName name="cash">#REF!</definedName>
    <definedName name="Cash_Flow_cap_for_perform_fee" localSheetId="0">#REF!</definedName>
    <definedName name="Cash_Flow_cap_for_perform_fee" localSheetId="1">#REF!</definedName>
    <definedName name="Cash_Flow_cap_for_perform_fee" localSheetId="4">#REF!</definedName>
    <definedName name="Cash_Flow_cap_for_perform_fee">#REF!</definedName>
    <definedName name="cashfl" localSheetId="0" hidden="1">{#N/A,#N/A,TRUE,"Cover";#N/A,#N/A,TRUE,"Conts";#N/A,#N/A,TRUE,"VOS";#N/A,#N/A,TRUE,"Warrington";#N/A,#N/A,TRUE,"Widnes"}</definedName>
    <definedName name="cashfl" localSheetId="1" hidden="1">{#N/A,#N/A,TRUE,"Cover";#N/A,#N/A,TRUE,"Conts";#N/A,#N/A,TRUE,"VOS";#N/A,#N/A,TRUE,"Warrington";#N/A,#N/A,TRUE,"Widnes"}</definedName>
    <definedName name="cashfl" localSheetId="4" hidden="1">{#N/A,#N/A,TRUE,"Cover";#N/A,#N/A,TRUE,"Conts";#N/A,#N/A,TRUE,"VOS";#N/A,#N/A,TRUE,"Warrington";#N/A,#N/A,TRUE,"Widnes"}</definedName>
    <definedName name="cashfl" hidden="1">{#N/A,#N/A,TRUE,"Cover";#N/A,#N/A,TRUE,"Conts";#N/A,#N/A,TRUE,"VOS";#N/A,#N/A,TRUE,"Warrington";#N/A,#N/A,TRUE,"Widnes"}</definedName>
    <definedName name="cashflow1" localSheetId="0">#REF!</definedName>
    <definedName name="cashflow1" localSheetId="1">#REF!</definedName>
    <definedName name="cashflow1" localSheetId="4">#REF!</definedName>
    <definedName name="cashflow1">#REF!</definedName>
    <definedName name="CAT" localSheetId="0">#REF!</definedName>
    <definedName name="CAT" localSheetId="1">#REF!</definedName>
    <definedName name="CAT">[2]Equip!#REF!</definedName>
    <definedName name="cbe_areas" localSheetId="0">#REF!</definedName>
    <definedName name="cbe_areas" localSheetId="1">#REF!</definedName>
    <definedName name="cbe_areas" localSheetId="4">#REF!</definedName>
    <definedName name="cbe_areas">#REF!</definedName>
    <definedName name="CC" localSheetId="0">#REF!</definedName>
    <definedName name="CC" localSheetId="1">#REF!</definedName>
    <definedName name="CC" localSheetId="4">#REF!</definedName>
    <definedName name="CC">#REF!</definedName>
    <definedName name="CCC" localSheetId="0">#REF!</definedName>
    <definedName name="CCC" localSheetId="1">#REF!</definedName>
    <definedName name="CCC">[20]WORKINGS!$A$1:$N$3</definedName>
    <definedName name="CCCCCC" localSheetId="0">#REF!</definedName>
    <definedName name="CCCCCC" localSheetId="1">#REF!</definedName>
    <definedName name="CCCCCC">[18]AREAS!$A$1:$I$5</definedName>
    <definedName name="CCL" localSheetId="0" hidden="1">{#N/A,#N/A,TRUE,"COVER";#N/A,#N/A,TRUE,"DETAILS";#N/A,#N/A,TRUE,"SUMMARY";#N/A,#N/A,TRUE,"EXP MON";#N/A,#N/A,TRUE,"APPENDIX A";#N/A,#N/A,TRUE,"APPENDIX B";#N/A,#N/A,TRUE,"APPENDIX C";#N/A,#N/A,TRUE,"APPENDIX D";#N/A,#N/A,TRUE,"APPENDIX E";#N/A,#N/A,TRUE,"APPENDIX F";#N/A,#N/A,TRUE,"APPENDIX G"}</definedName>
    <definedName name="CCL" localSheetId="1" hidden="1">{#N/A,#N/A,TRUE,"COVER";#N/A,#N/A,TRUE,"DETAILS";#N/A,#N/A,TRUE,"SUMMARY";#N/A,#N/A,TRUE,"EXP MON";#N/A,#N/A,TRUE,"APPENDIX A";#N/A,#N/A,TRUE,"APPENDIX B";#N/A,#N/A,TRUE,"APPENDIX C";#N/A,#N/A,TRUE,"APPENDIX D";#N/A,#N/A,TRUE,"APPENDIX E";#N/A,#N/A,TRUE,"APPENDIX F";#N/A,#N/A,TRUE,"APPENDIX G"}</definedName>
    <definedName name="CCL" localSheetId="4" hidden="1">{#N/A,#N/A,TRUE,"COVER";#N/A,#N/A,TRUE,"DETAILS";#N/A,#N/A,TRUE,"SUMMARY";#N/A,#N/A,TRUE,"EXP MON";#N/A,#N/A,TRUE,"APPENDIX A";#N/A,#N/A,TRUE,"APPENDIX B";#N/A,#N/A,TRUE,"APPENDIX C";#N/A,#N/A,TRUE,"APPENDIX D";#N/A,#N/A,TRUE,"APPENDIX E";#N/A,#N/A,TRUE,"APPENDIX F";#N/A,#N/A,TRUE,"APPENDIX G"}</definedName>
    <definedName name="CCL" hidden="1">{#N/A,#N/A,TRUE,"COVER";#N/A,#N/A,TRUE,"DETAILS";#N/A,#N/A,TRUE,"SUMMARY";#N/A,#N/A,TRUE,"EXP MON";#N/A,#N/A,TRUE,"APPENDIX A";#N/A,#N/A,TRUE,"APPENDIX B";#N/A,#N/A,TRUE,"APPENDIX C";#N/A,#N/A,TRUE,"APPENDIX D";#N/A,#N/A,TRUE,"APPENDIX E";#N/A,#N/A,TRUE,"APPENDIX F";#N/A,#N/A,TRUE,"APPENDIX G"}</definedName>
    <definedName name="ccla" localSheetId="0" hidden="1">{#N/A,#N/A,TRUE,"COVER";#N/A,#N/A,TRUE,"DETAILS";#N/A,#N/A,TRUE,"SUMMARY";#N/A,#N/A,TRUE,"EXP MON";#N/A,#N/A,TRUE,"APPENDIX A";#N/A,#N/A,TRUE,"APPENDIX B";#N/A,#N/A,TRUE,"APPENDIX C";#N/A,#N/A,TRUE,"APPENDIX D";#N/A,#N/A,TRUE,"APPENDIX E";#N/A,#N/A,TRUE,"APPENDIX F";#N/A,#N/A,TRUE,"APPENDIX G"}</definedName>
    <definedName name="ccla" localSheetId="1" hidden="1">{#N/A,#N/A,TRUE,"COVER";#N/A,#N/A,TRUE,"DETAILS";#N/A,#N/A,TRUE,"SUMMARY";#N/A,#N/A,TRUE,"EXP MON";#N/A,#N/A,TRUE,"APPENDIX A";#N/A,#N/A,TRUE,"APPENDIX B";#N/A,#N/A,TRUE,"APPENDIX C";#N/A,#N/A,TRUE,"APPENDIX D";#N/A,#N/A,TRUE,"APPENDIX E";#N/A,#N/A,TRUE,"APPENDIX F";#N/A,#N/A,TRUE,"APPENDIX G"}</definedName>
    <definedName name="ccla" localSheetId="4" hidden="1">{#N/A,#N/A,TRUE,"COVER";#N/A,#N/A,TRUE,"DETAILS";#N/A,#N/A,TRUE,"SUMMARY";#N/A,#N/A,TRUE,"EXP MON";#N/A,#N/A,TRUE,"APPENDIX A";#N/A,#N/A,TRUE,"APPENDIX B";#N/A,#N/A,TRUE,"APPENDIX C";#N/A,#N/A,TRUE,"APPENDIX D";#N/A,#N/A,TRUE,"APPENDIX E";#N/A,#N/A,TRUE,"APPENDIX F";#N/A,#N/A,TRUE,"APPENDIX G"}</definedName>
    <definedName name="ccla" hidden="1">{#N/A,#N/A,TRUE,"COVER";#N/A,#N/A,TRUE,"DETAILS";#N/A,#N/A,TRUE,"SUMMARY";#N/A,#N/A,TRUE,"EXP MON";#N/A,#N/A,TRUE,"APPENDIX A";#N/A,#N/A,TRUE,"APPENDIX B";#N/A,#N/A,TRUE,"APPENDIX C";#N/A,#N/A,TRUE,"APPENDIX D";#N/A,#N/A,TRUE,"APPENDIX E";#N/A,#N/A,TRUE,"APPENDIX F";#N/A,#N/A,TRUE,"APPENDIX G"}</definedName>
    <definedName name="CCMap" localSheetId="0">#REF!</definedName>
    <definedName name="CCMap" localSheetId="1">#REF!</definedName>
    <definedName name="CCMap" localSheetId="4">#REF!</definedName>
    <definedName name="CCMap">#REF!</definedName>
    <definedName name="CCR" localSheetId="0" hidden="1">{#N/A,#N/A,TRUE,"Cover";#N/A,#N/A,TRUE,"Conts";#N/A,#N/A,TRUE,"VOS";#N/A,#N/A,TRUE,"Warrington";#N/A,#N/A,TRUE,"Widnes"}</definedName>
    <definedName name="CCR" localSheetId="1" hidden="1">{#N/A,#N/A,TRUE,"Cover";#N/A,#N/A,TRUE,"Conts";#N/A,#N/A,TRUE,"VOS";#N/A,#N/A,TRUE,"Warrington";#N/A,#N/A,TRUE,"Widnes"}</definedName>
    <definedName name="CCR" localSheetId="4" hidden="1">{#N/A,#N/A,TRUE,"Cover";#N/A,#N/A,TRUE,"Conts";#N/A,#N/A,TRUE,"VOS";#N/A,#N/A,TRUE,"Warrington";#N/A,#N/A,TRUE,"Widnes"}</definedName>
    <definedName name="CCR" hidden="1">{#N/A,#N/A,TRUE,"Cover";#N/A,#N/A,TRUE,"Conts";#N/A,#N/A,TRUE,"VOS";#N/A,#N/A,TRUE,"Warrington";#N/A,#N/A,TRUE,"Widnes"}</definedName>
    <definedName name="Ccurry" localSheetId="0">#REF!</definedName>
    <definedName name="Ccurry" localSheetId="1">#REF!</definedName>
    <definedName name="Ccurry" localSheetId="4">#REF!</definedName>
    <definedName name="Ccurry">#REF!</definedName>
    <definedName name="Ceilings" localSheetId="0">#REF!</definedName>
    <definedName name="Ceilings" localSheetId="1">#REF!</definedName>
    <definedName name="Ceilings">[19]BOQ!$C$377</definedName>
    <definedName name="cf" localSheetId="0" hidden="1">{#N/A,#N/A,TRUE,"COVER";#N/A,#N/A,TRUE,"DETAILS";#N/A,#N/A,TRUE,"SUMMARY";#N/A,#N/A,TRUE,"EXP MON";#N/A,#N/A,TRUE,"APPENDIX A";#N/A,#N/A,TRUE,"APPENDIX B";#N/A,#N/A,TRUE,"APPENDIX C";#N/A,#N/A,TRUE,"APPENDIX D";#N/A,#N/A,TRUE,"APPENDIX E";#N/A,#N/A,TRUE,"APPENDIX F";#N/A,#N/A,TRUE,"APPENDIX G"}</definedName>
    <definedName name="cf" localSheetId="1" hidden="1">{#N/A,#N/A,TRUE,"COVER";#N/A,#N/A,TRUE,"DETAILS";#N/A,#N/A,TRUE,"SUMMARY";#N/A,#N/A,TRUE,"EXP MON";#N/A,#N/A,TRUE,"APPENDIX A";#N/A,#N/A,TRUE,"APPENDIX B";#N/A,#N/A,TRUE,"APPENDIX C";#N/A,#N/A,TRUE,"APPENDIX D";#N/A,#N/A,TRUE,"APPENDIX E";#N/A,#N/A,TRUE,"APPENDIX F";#N/A,#N/A,TRUE,"APPENDIX G"}</definedName>
    <definedName name="cf" localSheetId="4" hidden="1">{#N/A,#N/A,TRUE,"COVER";#N/A,#N/A,TRUE,"DETAILS";#N/A,#N/A,TRUE,"SUMMARY";#N/A,#N/A,TRUE,"EXP MON";#N/A,#N/A,TRUE,"APPENDIX A";#N/A,#N/A,TRUE,"APPENDIX B";#N/A,#N/A,TRUE,"APPENDIX C";#N/A,#N/A,TRUE,"APPENDIX D";#N/A,#N/A,TRUE,"APPENDIX E";#N/A,#N/A,TRUE,"APPENDIX F";#N/A,#N/A,TRUE,"APPENDIX G"}</definedName>
    <definedName name="cf" hidden="1">{#N/A,#N/A,TRUE,"COVER";#N/A,#N/A,TRUE,"DETAILS";#N/A,#N/A,TRUE,"SUMMARY";#N/A,#N/A,TRUE,"EXP MON";#N/A,#N/A,TRUE,"APPENDIX A";#N/A,#N/A,TRUE,"APPENDIX B";#N/A,#N/A,TRUE,"APPENDIX C";#N/A,#N/A,TRUE,"APPENDIX D";#N/A,#N/A,TRUE,"APPENDIX E";#N/A,#N/A,TRUE,"APPENDIX F";#N/A,#N/A,TRUE,"APPENDIX G"}</definedName>
    <definedName name="CFR" localSheetId="0">#REF!</definedName>
    <definedName name="CFR" localSheetId="1">#REF!</definedName>
    <definedName name="CFR">'[9]SUPPLEMENTARY SHEETS'!#REF!</definedName>
    <definedName name="CGT_payable" localSheetId="0">#REF!</definedName>
    <definedName name="CGT_payable" localSheetId="1">#REF!</definedName>
    <definedName name="CGT_payable" localSheetId="4">#REF!</definedName>
    <definedName name="CGT_payable">#REF!</definedName>
    <definedName name="CGT_Rate" localSheetId="0">#REF!</definedName>
    <definedName name="CGT_Rate" localSheetId="1">#REF!</definedName>
    <definedName name="CGT_Rate" localSheetId="4">#REF!</definedName>
    <definedName name="CGT_Rate">#REF!</definedName>
    <definedName name="change" localSheetId="4">#REF!</definedName>
    <definedName name="change">#REF!</definedName>
    <definedName name="chart" localSheetId="4">#REF!</definedName>
    <definedName name="chart">#REF!</definedName>
    <definedName name="CHF" localSheetId="4">#REF!</definedName>
    <definedName name="CHF">#REF!</definedName>
    <definedName name="Cinema_Rate" localSheetId="4">#REF!</definedName>
    <definedName name="Cinema_Rate">#REF!</definedName>
    <definedName name="City" localSheetId="4">#REF!</definedName>
    <definedName name="City">#REF!</definedName>
    <definedName name="Civil" localSheetId="4">#REF!</definedName>
    <definedName name="Civil">#REF!</definedName>
    <definedName name="CJ" localSheetId="0">#REF!</definedName>
    <definedName name="CJ" localSheetId="1">#REF!</definedName>
    <definedName name="CJ">'[9]SUPPLEMENTARY SHEETS'!#REF!</definedName>
    <definedName name="ckey" localSheetId="0">#REF!</definedName>
    <definedName name="ckey" localSheetId="1">#REF!</definedName>
    <definedName name="ckey" localSheetId="4">#REF!</definedName>
    <definedName name="ckey">#REF!</definedName>
    <definedName name="claim" localSheetId="0">#REF!</definedName>
    <definedName name="claim" localSheetId="1">#REF!</definedName>
    <definedName name="claim" localSheetId="4">#REF!</definedName>
    <definedName name="claim">#REF!</definedName>
    <definedName name="claims" localSheetId="4">#REF!</definedName>
    <definedName name="claims">#REF!</definedName>
    <definedName name="client" localSheetId="0">#REF!</definedName>
    <definedName name="client" localSheetId="1">#REF!</definedName>
    <definedName name="client">[25]Notes!$E$32</definedName>
    <definedName name="Cliente" localSheetId="0" hidden="1">{#N/A,#N/A,FALSE,"GERAL";#N/A,#N/A,FALSE,"012-96";#N/A,#N/A,FALSE,"018-96";#N/A,#N/A,FALSE,"027-96";#N/A,#N/A,FALSE,"059-96";#N/A,#N/A,FALSE,"076-96";#N/A,#N/A,FALSE,"019-97";#N/A,#N/A,FALSE,"021-97";#N/A,#N/A,FALSE,"022-97";#N/A,#N/A,FALSE,"028-97"}</definedName>
    <definedName name="Cliente" localSheetId="1" hidden="1">{#N/A,#N/A,FALSE,"GERAL";#N/A,#N/A,FALSE,"012-96";#N/A,#N/A,FALSE,"018-96";#N/A,#N/A,FALSE,"027-96";#N/A,#N/A,FALSE,"059-96";#N/A,#N/A,FALSE,"076-96";#N/A,#N/A,FALSE,"019-97";#N/A,#N/A,FALSE,"021-97";#N/A,#N/A,FALSE,"022-97";#N/A,#N/A,FALSE,"028-97"}</definedName>
    <definedName name="Cliente" localSheetId="4" hidden="1">{#N/A,#N/A,FALSE,"GERAL";#N/A,#N/A,FALSE,"012-96";#N/A,#N/A,FALSE,"018-96";#N/A,#N/A,FALSE,"027-96";#N/A,#N/A,FALSE,"059-96";#N/A,#N/A,FALSE,"076-96";#N/A,#N/A,FALSE,"019-97";#N/A,#N/A,FALSE,"021-97";#N/A,#N/A,FALSE,"022-97";#N/A,#N/A,FALSE,"028-97"}</definedName>
    <definedName name="Cliente" hidden="1">{#N/A,#N/A,FALSE,"GERAL";#N/A,#N/A,FALSE,"012-96";#N/A,#N/A,FALSE,"018-96";#N/A,#N/A,FALSE,"027-96";#N/A,#N/A,FALSE,"059-96";#N/A,#N/A,FALSE,"076-96";#N/A,#N/A,FALSE,"019-97";#N/A,#N/A,FALSE,"021-97";#N/A,#N/A,FALSE,"022-97";#N/A,#N/A,FALSE,"028-97"}</definedName>
    <definedName name="clienthuts" localSheetId="0">#REF!</definedName>
    <definedName name="clienthuts" localSheetId="1">#REF!</definedName>
    <definedName name="clienthuts">[26]offices!#REF!</definedName>
    <definedName name="CoCSpreadCategories" localSheetId="0">#REF!</definedName>
    <definedName name="CoCSpreadCategories" localSheetId="1">#REF!</definedName>
    <definedName name="CoCSpreadCategories">[27]Data!$G$62:$G$64</definedName>
    <definedName name="Code" localSheetId="0" hidden="1">#REF!</definedName>
    <definedName name="Code" localSheetId="1" hidden="1">#REF!</definedName>
    <definedName name="CODE">[27]Uniliever!#REF!</definedName>
    <definedName name="CODE1" localSheetId="0">#REF!</definedName>
    <definedName name="CODE1" localSheetId="1">#REF!</definedName>
    <definedName name="CODE1">[27]Uniliever!#REF!</definedName>
    <definedName name="cola" localSheetId="0">OFFSET(#REF!,0,0,COUNTA(#REF!),1)</definedName>
    <definedName name="cola" localSheetId="1">OFFSET(#REF!,0,0,COUNTA(#REF!),1)</definedName>
    <definedName name="cola">OFFSET('[28]Chart data'!$A$7,0,0,COUNTA('[28]Chart data'!$A$7:$A$75),1)</definedName>
    <definedName name="colaa" localSheetId="0">OFFSET(#REF!,0,0,COUNT(#REF!),1)</definedName>
    <definedName name="colaa" localSheetId="1">OFFSET(#REF!,0,0,COUNT(#REF!),1)</definedName>
    <definedName name="colaa">OFFSET('[28]Chart data'!$AA$7,0,0,COUNT('[28]Chart data'!$AA$7:$AA$75),1)</definedName>
    <definedName name="colab" localSheetId="0">OFFSET(#REF!,0,0,COUNT(#REF!),1)</definedName>
    <definedName name="colab" localSheetId="1">OFFSET(#REF!,0,0,COUNT(#REF!),1)</definedName>
    <definedName name="colab">OFFSET('[28]Chart data'!$AB$7,0,0,COUNT('[28]Chart data'!$AB$7:$AB$75),1)</definedName>
    <definedName name="colac" localSheetId="0">OFFSET(#REF!,0,0,COUNTA(#REF!),1)</definedName>
    <definedName name="colac" localSheetId="1">OFFSET(#REF!,0,0,COUNTA(#REF!),1)</definedName>
    <definedName name="colac">OFFSET('[28]Chart data'!$AC$7,0,0,COUNTA('[28]Chart data'!$AC$7:$AC$75),1)</definedName>
    <definedName name="colad" localSheetId="0">OFFSET(#REF!,0,0,COUNT(#REF!),1)</definedName>
    <definedName name="colad" localSheetId="1">OFFSET(#REF!,0,0,COUNT(#REF!),1)</definedName>
    <definedName name="colad">OFFSET('[28]Chart data'!$AD$7,0,0,COUNT('[28]Chart data'!$AD$7:$AD$75),1)</definedName>
    <definedName name="colae" localSheetId="0">OFFSET(#REF!,0,0,COUNTA(#REF!),1)</definedName>
    <definedName name="colae" localSheetId="1">OFFSET(#REF!,0,0,COUNTA(#REF!),1)</definedName>
    <definedName name="colae">OFFSET('[28]Chart data'!$AE$7,0,0,COUNTA('[28]Chart data'!$AE$7:$AE$75),1)</definedName>
    <definedName name="colaf" localSheetId="0">OFFSET(#REF!,0,0,COUNTA(#REF!),1)</definedName>
    <definedName name="colaf" localSheetId="1">OFFSET(#REF!,0,0,COUNTA(#REF!),1)</definedName>
    <definedName name="colaf">OFFSET('[28]Chart data'!$AF$7,0,0,COUNTA('[28]Chart data'!$AF$7:$AF$75),1)</definedName>
    <definedName name="colag" localSheetId="0">OFFSET(#REF!,0,0,COUNTA(#REF!),1)</definedName>
    <definedName name="colag" localSheetId="1">OFFSET(#REF!,0,0,COUNTA(#REF!),1)</definedName>
    <definedName name="colag">OFFSET('[28]Chart data'!$AG$7,0,0,COUNTA('[28]Chart data'!$AG$7:$AG$75),1)</definedName>
    <definedName name="colah" localSheetId="0">OFFSET(#REF!,0,0,COUNTA(#REF!),1)</definedName>
    <definedName name="colah" localSheetId="1">OFFSET(#REF!,0,0,COUNTA(#REF!),1)</definedName>
    <definedName name="colah">OFFSET('[28]Chart data'!$AH$7,0,0,COUNTA('[28]Chart data'!$AH$7:$AH$75),1)</definedName>
    <definedName name="colai" localSheetId="0">OFFSET(#REF!,0,0,COUNTA(#REF!),1)</definedName>
    <definedName name="colai" localSheetId="1">OFFSET(#REF!,0,0,COUNTA(#REF!),1)</definedName>
    <definedName name="colai">OFFSET('[28]Chart data'!$AI$7,0,0,COUNTA('[28]Chart data'!$AI$7:$AI$75),1)</definedName>
    <definedName name="colaj" localSheetId="0">OFFSET(#REF!,0,0,COUNTA(#REF!),1)</definedName>
    <definedName name="colaj" localSheetId="1">OFFSET(#REF!,0,0,COUNTA(#REF!),1)</definedName>
    <definedName name="colaj">OFFSET('[28]Chart data'!$AJ$7,0,0,COUNTA('[28]Chart data'!$AJ$7:$AJ$75),1)</definedName>
    <definedName name="colak" localSheetId="0">OFFSET(#REF!,0,0,COUNTA(#REF!),1)</definedName>
    <definedName name="colak" localSheetId="1">OFFSET(#REF!,0,0,COUNTA(#REF!),1)</definedName>
    <definedName name="colak">OFFSET('[28]Chart data'!$AK$7,0,0,COUNTA('[28]Chart data'!$AK$7:$AK$75),1)</definedName>
    <definedName name="colal" localSheetId="0">OFFSET(#REF!,0,0,COUNTA(#REF!),1)</definedName>
    <definedName name="colal" localSheetId="1">OFFSET(#REF!,0,0,COUNTA(#REF!),1)</definedName>
    <definedName name="colal">OFFSET('[28]Chart data'!$AL$7,0,0,COUNTA('[28]Chart data'!$AL$7:$AL$75),1)</definedName>
    <definedName name="colam" localSheetId="0">OFFSET(#REF!,0,0,COUNTA(#REF!),1)</definedName>
    <definedName name="colam" localSheetId="1">OFFSET(#REF!,0,0,COUNTA(#REF!),1)</definedName>
    <definedName name="colam">OFFSET('[28]Chart data'!$AM$7,0,0,COUNTA('[28]Chart data'!$AM$7:$AM$75),1)</definedName>
    <definedName name="colan" localSheetId="0">OFFSET(#REF!,0,0,COUNTA(#REF!),1)</definedName>
    <definedName name="colan" localSheetId="1">OFFSET(#REF!,0,0,COUNTA(#REF!),1)</definedName>
    <definedName name="colan">OFFSET('[28]Chart data'!$AN$7,0,0,COUNTA('[28]Chart data'!$AN$7:$AN$75),1)</definedName>
    <definedName name="colao" localSheetId="0">OFFSET(#REF!,0,0,COUNTA(#REF!),1)</definedName>
    <definedName name="colao" localSheetId="1">OFFSET(#REF!,0,0,COUNTA(#REF!),1)</definedName>
    <definedName name="colao">OFFSET('[28]Chart data'!$AO$7,0,0,COUNTA('[28]Chart data'!$AO$7:$AO$75),1)</definedName>
    <definedName name="colap" localSheetId="0">OFFSET(#REF!,0,0,COUNTA(#REF!),1)</definedName>
    <definedName name="colap" localSheetId="1">OFFSET(#REF!,0,0,COUNTA(#REF!),1)</definedName>
    <definedName name="colap">OFFSET('[28]Chart data'!$AP$7,0,0,COUNTA('[28]Chart data'!$AP$7:$AP$75),1)</definedName>
    <definedName name="colaq" localSheetId="0">OFFSET(#REF!,0,0,COUNTA(#REF!),1)</definedName>
    <definedName name="colaq" localSheetId="1">OFFSET(#REF!,0,0,COUNTA(#REF!),1)</definedName>
    <definedName name="colaq">OFFSET('[28]Chart data'!$AQ$7,0,0,COUNTA('[28]Chart data'!$AQ$7:$AQ$75),1)</definedName>
    <definedName name="colar" localSheetId="0">OFFSET(#REF!,0,0,COUNTA(#REF!),1)</definedName>
    <definedName name="colar" localSheetId="1">OFFSET(#REF!,0,0,COUNTA(#REF!),1)</definedName>
    <definedName name="colar">OFFSET('[28]Chart data'!$AR$7,0,0,COUNTA('[28]Chart data'!$AR$7:$AR$75),1)</definedName>
    <definedName name="colas" localSheetId="0">OFFSET(#REF!,0,0,COUNTA(#REF!),1)</definedName>
    <definedName name="colas" localSheetId="1">OFFSET(#REF!,0,0,COUNTA(#REF!),1)</definedName>
    <definedName name="colas">OFFSET('[28]Chart data'!$AS$7,0,0,COUNTA('[28]Chart data'!$AS$7:$AS$75),1)</definedName>
    <definedName name="colb" localSheetId="0">OFFSET(#REF!,0,0,COUNTA(#REF!),1)</definedName>
    <definedName name="colb" localSheetId="1">OFFSET(#REF!,0,0,COUNTA(#REF!),1)</definedName>
    <definedName name="colb">OFFSET('[28]Chart data'!$B$7,0,0,COUNTA('[28]Chart data'!$B$7:$B$75),1)</definedName>
    <definedName name="colc" localSheetId="0">OFFSET(#REF!,0,0,COUNTA(#REF!),1)</definedName>
    <definedName name="colc" localSheetId="1">OFFSET(#REF!,0,0,COUNTA(#REF!),1)</definedName>
    <definedName name="colc">OFFSET('[28]Chart data'!$C$7,0,0,COUNTA('[28]Chart data'!$C$7:$C$75),1)</definedName>
    <definedName name="cold" localSheetId="0">OFFSET(#REF!,0,0,COUNTA(#REF!),1)</definedName>
    <definedName name="cold" localSheetId="1">OFFSET(#REF!,0,0,COUNTA(#REF!),1)</definedName>
    <definedName name="cold">OFFSET('[28]Chart data'!$D$7,0,0,COUNTA('[28]Chart data'!$D$7:$D$75),1)</definedName>
    <definedName name="cole" localSheetId="0">OFFSET(#REF!,0,0,COUNT(#REF!),1)</definedName>
    <definedName name="cole" localSheetId="1">OFFSET(#REF!,0,0,COUNT(#REF!),1)</definedName>
    <definedName name="cole">OFFSET('[28]Chart data'!$E$7,0,0,COUNT('[28]Chart data'!$E$7:$E$75),1)</definedName>
    <definedName name="colf" localSheetId="0">OFFSET(#REF!,0,0,COUNT(#REF!),1)</definedName>
    <definedName name="colf" localSheetId="1">OFFSET(#REF!,0,0,COUNT(#REF!),1)</definedName>
    <definedName name="colf">OFFSET('[28]Chart data'!$F$7,0,0,COUNT('[28]Chart data'!$F$7:$F$75),1)</definedName>
    <definedName name="colg" localSheetId="0">OFFSET(#REF!,0,0,COUNT(#REF!),1)</definedName>
    <definedName name="colg" localSheetId="1">OFFSET(#REF!,0,0,COUNT(#REF!),1)</definedName>
    <definedName name="colg">OFFSET('[28]Chart data'!$G$7,0,0,COUNT('[28]Chart data'!$G$7:$G$75),1)</definedName>
    <definedName name="colh" localSheetId="0">OFFSET(#REF!,0,0,COUNT(#REF!),1)</definedName>
    <definedName name="colh" localSheetId="1">OFFSET(#REF!,0,0,COUNT(#REF!),1)</definedName>
    <definedName name="colh">OFFSET('[28]Chart data'!$H$7,0,0,COUNT('[28]Chart data'!$H$7:$H$75),1)</definedName>
    <definedName name="coli" localSheetId="0">OFFSET(#REF!,0,0,COUNT(#REF!),1)</definedName>
    <definedName name="coli" localSheetId="1">OFFSET(#REF!,0,0,COUNT(#REF!),1)</definedName>
    <definedName name="coli">OFFSET('[28]Chart data'!$I$7,0,0,COUNT('[28]Chart data'!$I$7:$I$75),1)</definedName>
    <definedName name="colj" localSheetId="0">OFFSET(#REF!,0,0,COUNT(#REF!),1)</definedName>
    <definedName name="colj" localSheetId="1">OFFSET(#REF!,0,0,COUNT(#REF!),1)</definedName>
    <definedName name="colj">OFFSET('[28]Chart data'!$J$7,0,0,COUNT('[28]Chart data'!$J$7:$J$75),1)</definedName>
    <definedName name="colk" localSheetId="0">OFFSET(#REF!,0,0,COUNTA(#REF!),1)</definedName>
    <definedName name="colk" localSheetId="1">OFFSET(#REF!,0,0,COUNTA(#REF!),1)</definedName>
    <definedName name="colk">OFFSET('[28]Chart data'!$K$7,0,0,COUNTA('[28]Chart data'!$K$7:$K$75),1)</definedName>
    <definedName name="coll" localSheetId="0">OFFSET(#REF!,0,0,COUNTA(#REF!),1)</definedName>
    <definedName name="coll" localSheetId="1">OFFSET(#REF!,0,0,COUNTA(#REF!),1)</definedName>
    <definedName name="coll">OFFSET('[28]Chart data'!$L$7,0,0,COUNTA('[28]Chart data'!$L$7:$L$75),1)</definedName>
    <definedName name="colm" localSheetId="0">OFFSET(#REF!,0,0,COUNT(#REF!),1)</definedName>
    <definedName name="colm" localSheetId="1">OFFSET(#REF!,0,0,COUNT(#REF!),1)</definedName>
    <definedName name="colm">OFFSET('[28]Chart data'!$M$7,0,0,COUNT('[28]Chart data'!$M$7:$M$75),1)</definedName>
    <definedName name="coln" localSheetId="0">OFFSET(#REF!,0,0,COUNT(#REF!),1)</definedName>
    <definedName name="coln" localSheetId="1">OFFSET(#REF!,0,0,COUNT(#REF!),1)</definedName>
    <definedName name="coln">OFFSET('[28]Chart data'!$N$7,0,0,COUNT('[28]Chart data'!$N$7:$N$75),1)</definedName>
    <definedName name="colo" localSheetId="0">OFFSET(#REF!,0,0,COUNT(#REF!),1)</definedName>
    <definedName name="colo" localSheetId="1">OFFSET(#REF!,0,0,COUNT(#REF!),1)</definedName>
    <definedName name="colo">OFFSET('[28]Chart data'!$O$7,0,0,COUNT('[28]Chart data'!$O$7:$O$75),1)</definedName>
    <definedName name="colp" localSheetId="0">OFFSET(#REF!,0,0,COUNT(#REF!),1)</definedName>
    <definedName name="colp" localSheetId="1">OFFSET(#REF!,0,0,COUNT(#REF!),1)</definedName>
    <definedName name="colp">OFFSET('[28]Chart data'!$P$7,0,0,COUNT('[28]Chart data'!$P$7:$P$75),1)</definedName>
    <definedName name="colq" localSheetId="0">OFFSET(#REF!,0,0,COUNT(#REF!),1)</definedName>
    <definedName name="colq" localSheetId="1">OFFSET(#REF!,0,0,COUNT(#REF!),1)</definedName>
    <definedName name="colq">OFFSET('[28]Chart data'!$Q$7,0,0,COUNT('[28]Chart data'!$Q$7:$Q$75),1)</definedName>
    <definedName name="colr" localSheetId="0">OFFSET(#REF!,0,0,COUNT(#REF!),1)</definedName>
    <definedName name="colr" localSheetId="1">OFFSET(#REF!,0,0,COUNT(#REF!),1)</definedName>
    <definedName name="colr">OFFSET('[28]Chart data'!$R$7,0,0,COUNT('[28]Chart data'!$R$7:$R$75),1)</definedName>
    <definedName name="cols" localSheetId="0">OFFSET(#REF!,0,0,COUNT(#REF!),1)</definedName>
    <definedName name="cols" localSheetId="1">OFFSET(#REF!,0,0,COUNT(#REF!),1)</definedName>
    <definedName name="cols">OFFSET('[28]Chart data'!$S$7,0,0,COUNT('[28]Chart data'!$S$7:$S$75),1)</definedName>
    <definedName name="colt" localSheetId="0">OFFSET(#REF!,0,0,COUNT(#REF!),1)</definedName>
    <definedName name="colt" localSheetId="1">OFFSET(#REF!,0,0,COUNT(#REF!),1)</definedName>
    <definedName name="colt">OFFSET('[28]Chart data'!$T$7,0,0,COUNT('[28]Chart data'!$T$7:$T$75),1)</definedName>
    <definedName name="colu" localSheetId="0">OFFSET(#REF!,0,0,COUNT(#REF!),1)</definedName>
    <definedName name="colu" localSheetId="1">OFFSET(#REF!,0,0,COUNT(#REF!),1)</definedName>
    <definedName name="colu">OFFSET('[28]Chart data'!$U$7,0,0,COUNT('[28]Chart data'!$U$7:$U$75),1)</definedName>
    <definedName name="colv" localSheetId="0">OFFSET(#REF!,0,0,COUNT(#REF!),1)</definedName>
    <definedName name="colv" localSheetId="1">OFFSET(#REF!,0,0,COUNT(#REF!),1)</definedName>
    <definedName name="colv">OFFSET('[28]Chart data'!$V$7,0,0,COUNT('[28]Chart data'!$V$7:$V$75),1)</definedName>
    <definedName name="colw" localSheetId="0">OFFSET(#REF!,0,0,COUNT(#REF!),1)</definedName>
    <definedName name="colw" localSheetId="1">OFFSET(#REF!,0,0,COUNT(#REF!),1)</definedName>
    <definedName name="colw">OFFSET('[28]Chart data'!$W$7,0,0,COUNT('[28]Chart data'!$W$7:$W$75),1)</definedName>
    <definedName name="colx" localSheetId="0">OFFSET(#REF!,0,0,COUNT(#REF!),1)</definedName>
    <definedName name="colx" localSheetId="1">OFFSET(#REF!,0,0,COUNT(#REF!),1)</definedName>
    <definedName name="colx">OFFSET('[28]Chart data'!$X$7,0,0,COUNT('[28]Chart data'!$X$7:$X$75),1)</definedName>
    <definedName name="coly" localSheetId="0">OFFSET(#REF!,0,0,COUNT(#REF!),1)</definedName>
    <definedName name="coly" localSheetId="1">OFFSET(#REF!,0,0,COUNT(#REF!),1)</definedName>
    <definedName name="coly">OFFSET('[28]Chart data'!$Y$7,0,0,COUNT('[28]Chart data'!$Y$7:$Y$75),1)</definedName>
    <definedName name="colz" localSheetId="0">OFFSET(#REF!,0,0,COUNT(#REF!),1)</definedName>
    <definedName name="colz" localSheetId="1">OFFSET(#REF!,0,0,COUNT(#REF!),1)</definedName>
    <definedName name="colz">OFFSET('[28]Chart data'!$Z$7,0,0,COUNT('[28]Chart data'!$Z$7:$Z$75),1)</definedName>
    <definedName name="ComboBox" localSheetId="0">#REF!</definedName>
    <definedName name="ComboBox" localSheetId="1">#REF!</definedName>
    <definedName name="ComboBox" localSheetId="4">#REF!</definedName>
    <definedName name="ComboBox">#REF!</definedName>
    <definedName name="ComboLookup" localSheetId="0">#REF!</definedName>
    <definedName name="ComboLookup" localSheetId="1">#REF!</definedName>
    <definedName name="ComboLookup" localSheetId="4">#REF!</definedName>
    <definedName name="ComboLookup">#REF!</definedName>
    <definedName name="ComboResult" localSheetId="4">#REF!</definedName>
    <definedName name="ComboResult">#REF!</definedName>
    <definedName name="cominput" localSheetId="4">#REF!</definedName>
    <definedName name="cominput">#REF!</definedName>
    <definedName name="Comm_CarParkIncome" localSheetId="4">#REF!</definedName>
    <definedName name="Comm_CarParkIncome">#REF!</definedName>
    <definedName name="Comm_Costs" localSheetId="4">#REF!</definedName>
    <definedName name="Comm_Costs">#REF!</definedName>
    <definedName name="Comm_Income1" localSheetId="4">#REF!</definedName>
    <definedName name="Comm_Income1">#REF!</definedName>
    <definedName name="Comm_Income2" localSheetId="4">#REF!</definedName>
    <definedName name="Comm_Income2">#REF!</definedName>
    <definedName name="Comm_Income3" localSheetId="4">#REF!</definedName>
    <definedName name="Comm_Income3">#REF!</definedName>
    <definedName name="Comm_IncomeG" localSheetId="4">#REF!</definedName>
    <definedName name="Comm_IncomeG">#REF!</definedName>
    <definedName name="Commercialisation" localSheetId="4">#REF!</definedName>
    <definedName name="Commercialisation">#REF!</definedName>
    <definedName name="CommGrwth" localSheetId="4">#REF!</definedName>
    <definedName name="CommGrwth">#REF!</definedName>
    <definedName name="Commitment_Data" localSheetId="0">#REF!</definedName>
    <definedName name="Commitment_Data" localSheetId="1">#REF!</definedName>
    <definedName name="Commitment_Data">[29]Commitments!$B$3:$U$91</definedName>
    <definedName name="COMP" localSheetId="0">#REF!</definedName>
    <definedName name="COMP" localSheetId="1">#REF!</definedName>
    <definedName name="COMP" localSheetId="4">#REF!</definedName>
    <definedName name="COMP">#REF!</definedName>
    <definedName name="Company" localSheetId="0">#REF!</definedName>
    <definedName name="Company" localSheetId="1">#REF!</definedName>
    <definedName name="Company" localSheetId="4">#REF!</definedName>
    <definedName name="Company">#REF!</definedName>
    <definedName name="completion_date" localSheetId="0">#REF!</definedName>
    <definedName name="completion_date" localSheetId="1">#REF!</definedName>
    <definedName name="completion_date">[17]Assumptions!$C$46</definedName>
    <definedName name="computers" localSheetId="0">#REF!</definedName>
    <definedName name="computers" localSheetId="1">#REF!</definedName>
    <definedName name="computers">[26]insurances!#REF!</definedName>
    <definedName name="CONCRETEDIMS" localSheetId="0">#REF!</definedName>
    <definedName name="CONCRETEDIMS" localSheetId="1">#REF!</definedName>
    <definedName name="CONCRETEDIMS" localSheetId="4">#REF!</definedName>
    <definedName name="CONCRETEDIMS">#REF!</definedName>
    <definedName name="ConMgt" localSheetId="0">#REF!</definedName>
    <definedName name="ConMgt" localSheetId="1">#REF!</definedName>
    <definedName name="ConMgt" localSheetId="4">#REF!</definedName>
    <definedName name="ConMgt">#REF!</definedName>
    <definedName name="Const_hide_flag" localSheetId="0">#REF!,#REF!,#REF!,#REF!,#REF!,#REF!,#REF!,#REF!</definedName>
    <definedName name="Const_hide_flag" localSheetId="1">#REF!,#REF!,#REF!,#REF!,#REF!,#REF!,#REF!,#REF!</definedName>
    <definedName name="Const_hide_flag">[30]Construction!$A$15:$A$22,[30]Construction!$A$25:$A$32,[30]Construction!$A$35:$A$42,[30]Construction!$A$45:$A$49,[30]Construction!$A$54:$A$61,[30]Construction!$A$64:$A$71,[30]Construction!$A$74:$A$81,[30]Construction!$A$84:$A$88</definedName>
    <definedName name="const1" localSheetId="0">#REF!</definedName>
    <definedName name="const1" localSheetId="1">#REF!</definedName>
    <definedName name="const1" localSheetId="4">#REF!</definedName>
    <definedName name="const1">#REF!</definedName>
    <definedName name="Cont" localSheetId="0">#REF!</definedName>
    <definedName name="Cont" localSheetId="1">#REF!</definedName>
    <definedName name="Cont" localSheetId="4">#REF!</definedName>
    <definedName name="Cont">#REF!</definedName>
    <definedName name="CONTENTS" localSheetId="0">#REF!</definedName>
    <definedName name="CONTENTS" localSheetId="1">#REF!</definedName>
    <definedName name="CONTENTS">[31]Cover!#REF!</definedName>
    <definedName name="ContextHelpID" localSheetId="0" hidden="1">#REF!</definedName>
    <definedName name="ContextHelpID" localSheetId="1" hidden="1">#REF!</definedName>
    <definedName name="ContextHelpID" localSheetId="4" hidden="1">#REF!</definedName>
    <definedName name="ContextHelpID" hidden="1">#REF!</definedName>
    <definedName name="Contingency" localSheetId="0">#REF!</definedName>
    <definedName name="Contingency" localSheetId="1">#REF!</definedName>
    <definedName name="Contingency" localSheetId="4">#REF!</definedName>
    <definedName name="Contingency">#REF!</definedName>
    <definedName name="Contract_sum" localSheetId="0">#REF!</definedName>
    <definedName name="Contract_sum" localSheetId="1">#REF!</definedName>
    <definedName name="Contract_sum">[32]Cashflow!$E$11</definedName>
    <definedName name="Contract_sum1" localSheetId="0">#REF!</definedName>
    <definedName name="Contract_sum1" localSheetId="1">#REF!</definedName>
    <definedName name="Contract_sum1" localSheetId="4">#REF!</definedName>
    <definedName name="Contract_sum1">#REF!</definedName>
    <definedName name="ConvergenceCell" localSheetId="0">#REF!</definedName>
    <definedName name="ConvergenceCell" localSheetId="1">#REF!</definedName>
    <definedName name="ConvergenceCell" localSheetId="4">#REF!</definedName>
    <definedName name="ConvergenceCell">#REF!</definedName>
    <definedName name="ConvergenceFactor" localSheetId="4">#REF!</definedName>
    <definedName name="ConvergenceFactor">#REF!</definedName>
    <definedName name="ConvergenceLimit" localSheetId="4">#REF!</definedName>
    <definedName name="ConvergenceLimit">#REF!</definedName>
    <definedName name="Conveyors_rate" localSheetId="0">#REF!</definedName>
    <definedName name="Conveyors_rate" localSheetId="1">#REF!</definedName>
    <definedName name="Conveyors_rate">[12]Variations!$E$10</definedName>
    <definedName name="Copyright" hidden="1">"© 1995 Worley Limited"</definedName>
    <definedName name="Correlation" localSheetId="0">#REF!</definedName>
    <definedName name="Correlation" localSheetId="1">#REF!</definedName>
    <definedName name="Correlation">[33]Parameters!$B$5</definedName>
    <definedName name="COST_RANGE" localSheetId="0">#REF!</definedName>
    <definedName name="COST_RANGE" localSheetId="1">#REF!</definedName>
    <definedName name="COST_RANGE" localSheetId="4">#REF!</definedName>
    <definedName name="COST_RANGE">#REF!</definedName>
    <definedName name="costcentre" localSheetId="0">#REF!</definedName>
    <definedName name="costcentre" localSheetId="1">#REF!</definedName>
    <definedName name="costcentre" localSheetId="4">#REF!</definedName>
    <definedName name="costcentre">#REF!</definedName>
    <definedName name="CostCentres" localSheetId="0">#REF!</definedName>
    <definedName name="CostCentres" localSheetId="1">#REF!</definedName>
    <definedName name="CostCentres" localSheetId="4">#REF!</definedName>
    <definedName name="CostCentres">#REF!</definedName>
    <definedName name="CountCode" localSheetId="0">#REF!</definedName>
    <definedName name="CountCode" localSheetId="1">#REF!</definedName>
    <definedName name="CountCode" localSheetId="4">#REF!</definedName>
    <definedName name="CountCode">#REF!</definedName>
    <definedName name="Country" localSheetId="4">#REF!</definedName>
    <definedName name="Country">#REF!</definedName>
    <definedName name="Country_Energy" localSheetId="0">#REF!</definedName>
    <definedName name="Country_Energy" localSheetId="1">#REF!</definedName>
    <definedName name="Country_Energy">[12]Variations!$E$21</definedName>
    <definedName name="COVER" localSheetId="0">#REF!</definedName>
    <definedName name="COVER" localSheetId="1">#REF!</definedName>
    <definedName name="COVER">[34]Cover!#REF!</definedName>
    <definedName name="CP" localSheetId="0">#REF!</definedName>
    <definedName name="CP" localSheetId="1">#REF!</definedName>
    <definedName name="CP">'[9]SUPPLEMENTARY SHEETS'!#REF!</definedName>
    <definedName name="CPI_adjustment" localSheetId="0">#REF!</definedName>
    <definedName name="CPI_adjustment" localSheetId="1">#REF!</definedName>
    <definedName name="CPI_adjustment">'[35]Annual escalation'!$M$1</definedName>
    <definedName name="cprop" localSheetId="0">#REF!</definedName>
    <definedName name="cprop" localSheetId="1">#REF!</definedName>
    <definedName name="cprop" localSheetId="4">#REF!</definedName>
    <definedName name="cprop">#REF!</definedName>
    <definedName name="cranes" localSheetId="0">#REF!</definedName>
    <definedName name="cranes" localSheetId="1">#REF!</definedName>
    <definedName name="cranes">[26]plant!#REF!</definedName>
    <definedName name="CRESH" localSheetId="0">#REF!</definedName>
    <definedName name="CRESH" localSheetId="1">#REF!</definedName>
    <definedName name="CRESH" localSheetId="4">#REF!</definedName>
    <definedName name="CRESH">#REF!</definedName>
    <definedName name="_xlnm.Criteria" localSheetId="4">#REF!</definedName>
    <definedName name="_xlnm.Criteria">#REF!</definedName>
    <definedName name="Criteria_MI" localSheetId="4">#REF!</definedName>
    <definedName name="Criteria_MI">#REF!</definedName>
    <definedName name="Criterion_Basis" localSheetId="4">#REF!</definedName>
    <definedName name="Criterion_Basis">#REF!</definedName>
    <definedName name="CSR" localSheetId="4">#REF!</definedName>
    <definedName name="CSR">#REF!</definedName>
    <definedName name="Curr" localSheetId="4">#REF!</definedName>
    <definedName name="Curr">#REF!</definedName>
    <definedName name="Curr_Unit" localSheetId="4">#REF!</definedName>
    <definedName name="Curr_Unit">#REF!</definedName>
    <definedName name="CurrCode" localSheetId="4">#REF!</definedName>
    <definedName name="CurrCode">#REF!</definedName>
    <definedName name="Currency" localSheetId="4">#REF!</definedName>
    <definedName name="Currency">#REF!</definedName>
    <definedName name="Currency1" localSheetId="4">#REF!</definedName>
    <definedName name="Currency1">#REF!</definedName>
    <definedName name="Currency2" localSheetId="4">#REF!</definedName>
    <definedName name="Currency2">#REF!</definedName>
    <definedName name="Currencynew2" localSheetId="4">#REF!</definedName>
    <definedName name="Currencynew2">#REF!</definedName>
    <definedName name="CurrentMonth" localSheetId="4">#REF!</definedName>
    <definedName name="CurrentMonth">#REF!</definedName>
    <definedName name="Curry" localSheetId="0">#REF!</definedName>
    <definedName name="Curry" localSheetId="1">#REF!</definedName>
    <definedName name="Curry">[2]Equip!#REF!</definedName>
    <definedName name="cursordown" localSheetId="0">#REF!</definedName>
    <definedName name="cursordown" localSheetId="1">#REF!</definedName>
    <definedName name="cursordown" localSheetId="4">#REF!</definedName>
    <definedName name="cursordown">#REF!</definedName>
    <definedName name="cursorright" localSheetId="0">#REF!</definedName>
    <definedName name="cursorright" localSheetId="1">#REF!</definedName>
    <definedName name="cursorright" localSheetId="4">#REF!</definedName>
    <definedName name="cursorright">#REF!</definedName>
    <definedName name="Customer" localSheetId="0">#REF!</definedName>
    <definedName name="Customer" localSheetId="1">#REF!</definedName>
    <definedName name="Customer" localSheetId="4">#REF!</definedName>
    <definedName name="Customer">#REF!</definedName>
    <definedName name="CV002_rate" localSheetId="0">#REF!</definedName>
    <definedName name="CV002_rate" localSheetId="1">#REF!</definedName>
    <definedName name="CV002_rate">[12]Variations!$E$26</definedName>
    <definedName name="d" localSheetId="0">#REF!</definedName>
    <definedName name="d" localSheetId="1">#REF!</definedName>
    <definedName name="d" localSheetId="4">#REF!</definedName>
    <definedName name="d">#REF!</definedName>
    <definedName name="D_FURNITURE_FIXTURE" localSheetId="0">#REF!</definedName>
    <definedName name="D_FURNITURE_FIXTURE" localSheetId="1">#REF!</definedName>
    <definedName name="D_FURNITURE_FIXTURE" localSheetId="4">#REF!</definedName>
    <definedName name="D_FURNITURE_FIXTURE">#REF!</definedName>
    <definedName name="data" localSheetId="4">#REF!</definedName>
    <definedName name="data">#REF!</definedName>
    <definedName name="DATA_MANAGEMENT" localSheetId="4">#REF!</definedName>
    <definedName name="DATA_MANAGEMENT">#REF!</definedName>
    <definedName name="data1" localSheetId="4" hidden="1">#REF!</definedName>
    <definedName name="data1" hidden="1">#REF!</definedName>
    <definedName name="data2" localSheetId="4" hidden="1">#REF!</definedName>
    <definedName name="data2" hidden="1">#REF!</definedName>
    <definedName name="data3" localSheetId="4" hidden="1">#REF!</definedName>
    <definedName name="data3" hidden="1">#REF!</definedName>
    <definedName name="_xlnm.Database" localSheetId="4">#REF!</definedName>
    <definedName name="_xlnm.Database">#REF!</definedName>
    <definedName name="Database_MI" localSheetId="4">#REF!</definedName>
    <definedName name="Database_MI">#REF!</definedName>
    <definedName name="date" localSheetId="4">#REF!</definedName>
    <definedName name="date">#REF!</definedName>
    <definedName name="date1" localSheetId="0">#REF!</definedName>
    <definedName name="date1" localSheetId="1">#REF!</definedName>
    <definedName name="date1">[36]Notes!$E$36</definedName>
    <definedName name="dates" localSheetId="0">#REF!</definedName>
    <definedName name="dates" localSheetId="1">#REF!</definedName>
    <definedName name="dates" localSheetId="4">#REF!</definedName>
    <definedName name="dates">#REF!</definedName>
    <definedName name="dates2" localSheetId="0">#REF!</definedName>
    <definedName name="dates2" localSheetId="1">#REF!</definedName>
    <definedName name="dates2" localSheetId="4">#REF!</definedName>
    <definedName name="dates2">#REF!</definedName>
    <definedName name="DAVID" localSheetId="0">#REF!</definedName>
    <definedName name="DAVID" localSheetId="1">#REF!</definedName>
    <definedName name="DAVID">[37]VIABILITY!#REF!</definedName>
    <definedName name="DC_Profile" localSheetId="0">#REF!</definedName>
    <definedName name="DC_Profile" localSheetId="1">#REF!</definedName>
    <definedName name="DC_Profile" localSheetId="4">#REF!</definedName>
    <definedName name="DC_Profile">#REF!</definedName>
    <definedName name="DC_Summary" localSheetId="0">#REF!</definedName>
    <definedName name="DC_Summary" localSheetId="1">#REF!</definedName>
    <definedName name="DC_Summary" localSheetId="4">#REF!</definedName>
    <definedName name="DC_Summary">#REF!</definedName>
    <definedName name="DCCont" localSheetId="4">#REF!</definedName>
    <definedName name="DCCont">#REF!</definedName>
    <definedName name="dComponents" localSheetId="4">#REF!</definedName>
    <definedName name="dComponents">#REF!</definedName>
    <definedName name="DD" localSheetId="0">#REF!</definedName>
    <definedName name="DD" localSheetId="1">#REF!</definedName>
    <definedName name="DD">[8]AREAS!$A$1:$I$5</definedName>
    <definedName name="DDC" localSheetId="0">#REF!</definedName>
    <definedName name="DDC" localSheetId="1">#REF!</definedName>
    <definedName name="DDC">[8]AREAS!$A$6:$I$47</definedName>
    <definedName name="ddd" localSheetId="0">#REF!</definedName>
    <definedName name="ddd" localSheetId="1">#REF!</definedName>
    <definedName name="ddd" localSheetId="4">#REF!</definedName>
    <definedName name="ddd">#REF!</definedName>
    <definedName name="dddd" localSheetId="0">#REF!</definedName>
    <definedName name="dddd" localSheetId="1">#REF!</definedName>
    <definedName name="dddd">[22]INDEX!#REF!</definedName>
    <definedName name="DDDDD" localSheetId="0">#REF!</definedName>
    <definedName name="DDDDD" localSheetId="1">#REF!</definedName>
    <definedName name="DDDDD">[18]AREAS!$A$6:$I$47</definedName>
    <definedName name="DDDE" localSheetId="0">#REF!</definedName>
    <definedName name="DDDE" localSheetId="1">#REF!</definedName>
    <definedName name="DDDE" localSheetId="4">#REF!</definedName>
    <definedName name="DDDE">#REF!</definedName>
    <definedName name="ddeee" localSheetId="0">#REF!</definedName>
    <definedName name="ddeee" localSheetId="1">#REF!</definedName>
    <definedName name="ddeee">[38]AREAS!$A$1:$I$5</definedName>
    <definedName name="DealData" localSheetId="0">#REF!</definedName>
    <definedName name="DealData" localSheetId="1">#REF!</definedName>
    <definedName name="DealData" localSheetId="4">#REF!</definedName>
    <definedName name="DealData">#REF!</definedName>
    <definedName name="Debt_finance" localSheetId="0">#REF!</definedName>
    <definedName name="Debt_finance" localSheetId="1">#REF!</definedName>
    <definedName name="Debt_finance" localSheetId="4">#REF!</definedName>
    <definedName name="Debt_finance">#REF!</definedName>
    <definedName name="DEL_FR_PRELIMS_DETAIL" localSheetId="0">#REF!,#REF!,#REF!</definedName>
    <definedName name="DEL_FR_PRELIMS_DETAIL" localSheetId="1">#REF!,#REF!,#REF!</definedName>
    <definedName name="DEL_FR_PRELIMS_DETAIL">'[39]FR-PRLIMS-DETAIL'!$G$8,'[39]FR-PRLIMS-DETAIL'!$B$7:$I$71,'[39]FR-PRLIMS-DETAIL'!$M$7:$M$71</definedName>
    <definedName name="DEL_FR_SUMMERY" localSheetId="0">#REF!,#REF!,#REF!,#REF!,#REF!,#REF!,#REF!,#REF!</definedName>
    <definedName name="DEL_FR_SUMMERY" localSheetId="1">#REF!,#REF!,#REF!,#REF!,#REF!,#REF!,#REF!,#REF!</definedName>
    <definedName name="DEL_FR_SUMMERY">'[39]FR-SUMMERY'!$D$20,'[39]FR-SUMMERY'!$B$8:$H$8,'[39]FR-SUMMERY'!$L$8,'[39]FR-SUMMERY'!$B$21:$H$45,'[39]FR-SUMMERY'!$G$18:$H$21,'[39]FR-SUMMERY'!$L$18:$L$45,'[39]FR-SUMMERY'!$C$55:$H$70,'[39]FR-SUMMERY'!$L$54:$L$70</definedName>
    <definedName name="Deliv" localSheetId="0">#REF!</definedName>
    <definedName name="Deliv" localSheetId="1">#REF!</definedName>
    <definedName name="Deliv" localSheetId="4">#REF!</definedName>
    <definedName name="Deliv">#REF!</definedName>
    <definedName name="Delivbasis" localSheetId="0">#REF!</definedName>
    <definedName name="Delivbasis" localSheetId="1">#REF!</definedName>
    <definedName name="Delivbasis">[2]Equip!#REF!</definedName>
    <definedName name="delivcode" localSheetId="0">#REF!</definedName>
    <definedName name="delivcode" localSheetId="1">#REF!</definedName>
    <definedName name="delivcode" localSheetId="4">#REF!</definedName>
    <definedName name="delivcode">#REF!</definedName>
    <definedName name="delivtype" localSheetId="0">#REF!</definedName>
    <definedName name="delivtype" localSheetId="1">#REF!</definedName>
    <definedName name="delivtype" localSheetId="4">#REF!</definedName>
    <definedName name="delivtype">#REF!</definedName>
    <definedName name="DEM" localSheetId="4">#REF!</definedName>
    <definedName name="DEM">#REF!</definedName>
    <definedName name="der" localSheetId="4">#REF!</definedName>
    <definedName name="der">#REF!</definedName>
    <definedName name="Description" localSheetId="4">#REF!</definedName>
    <definedName name="Description">#REF!</definedName>
    <definedName name="Design_and_Tender" localSheetId="0">#REF!</definedName>
    <definedName name="Design_and_Tender" localSheetId="1">#REF!</definedName>
    <definedName name="Design_and_Tender">[12]Variations!$E$5</definedName>
    <definedName name="DESIGNS" localSheetId="0">#REF!</definedName>
    <definedName name="DESIGNS" localSheetId="1">#REF!</definedName>
    <definedName name="DESIGNS">[2]Equip!#REF!</definedName>
    <definedName name="DESIGNS07" localSheetId="0">#REF!</definedName>
    <definedName name="DESIGNS07" localSheetId="1">#REF!</definedName>
    <definedName name="DESIGNS07">[2]Equip!#REF!</definedName>
    <definedName name="DESIGNS12" localSheetId="0">#REF!</definedName>
    <definedName name="DESIGNS12" localSheetId="1">#REF!</definedName>
    <definedName name="DESIGNS12">[2]Equip!#REF!</definedName>
    <definedName name="DESIGNS21" localSheetId="0">#REF!</definedName>
    <definedName name="DESIGNS21" localSheetId="1">#REF!</definedName>
    <definedName name="DESIGNS21">[2]Equip!#REF!</definedName>
    <definedName name="DESIGNS22" localSheetId="0">#REF!</definedName>
    <definedName name="DESIGNS22" localSheetId="1">#REF!</definedName>
    <definedName name="DESIGNS22">[2]Equip!#REF!</definedName>
    <definedName name="DESIGNS31" localSheetId="0">#REF!</definedName>
    <definedName name="DESIGNS31" localSheetId="1">#REF!</definedName>
    <definedName name="DESIGNS31">[2]Equip!#REF!</definedName>
    <definedName name="DESIGNS33" localSheetId="0">#REF!</definedName>
    <definedName name="DESIGNS33" localSheetId="1">#REF!</definedName>
    <definedName name="DESIGNS33">[2]Equip!#REF!</definedName>
    <definedName name="DESIGNS34" localSheetId="0">#REF!</definedName>
    <definedName name="DESIGNS34" localSheetId="1">#REF!</definedName>
    <definedName name="DESIGNS34">[2]Equip!#REF!</definedName>
    <definedName name="DESIGNS35" localSheetId="0">#REF!</definedName>
    <definedName name="DESIGNS35" localSheetId="1">#REF!</definedName>
    <definedName name="DESIGNS35">[2]Equip!#REF!</definedName>
    <definedName name="DESIGNS36" localSheetId="0">#REF!</definedName>
    <definedName name="DESIGNS36" localSheetId="1">#REF!</definedName>
    <definedName name="DESIGNS36">[2]Equip!#REF!</definedName>
    <definedName name="DESIGNS39" localSheetId="0">#REF!</definedName>
    <definedName name="DESIGNS39" localSheetId="1">#REF!</definedName>
    <definedName name="DESIGNS39">[2]Equip!#REF!</definedName>
    <definedName name="DESIGNS42" localSheetId="0">#REF!</definedName>
    <definedName name="DESIGNS42" localSheetId="1">#REF!</definedName>
    <definedName name="DESIGNS42">[2]Equip!#REF!</definedName>
    <definedName name="DESIGNS43" localSheetId="0">#REF!</definedName>
    <definedName name="DESIGNS43" localSheetId="1">#REF!</definedName>
    <definedName name="DESIGNS43">[2]Equip!#REF!</definedName>
    <definedName name="DESIGNS45" localSheetId="0">#REF!</definedName>
    <definedName name="DESIGNS45" localSheetId="1">#REF!</definedName>
    <definedName name="DESIGNS45">[2]Equip!#REF!</definedName>
    <definedName name="DESIGNS46" localSheetId="0">#REF!</definedName>
    <definedName name="DESIGNS46" localSheetId="1">#REF!</definedName>
    <definedName name="DESIGNS46">[2]Equip!#REF!</definedName>
    <definedName name="DESIGNS48" localSheetId="0">#REF!</definedName>
    <definedName name="DESIGNS48" localSheetId="1">#REF!</definedName>
    <definedName name="DESIGNS48">[2]Equip!#REF!</definedName>
    <definedName name="DESIGNS49" localSheetId="0">#REF!</definedName>
    <definedName name="DESIGNS49" localSheetId="1">#REF!</definedName>
    <definedName name="DESIGNS49">[2]Equip!#REF!</definedName>
    <definedName name="DESIGNS52" localSheetId="0">#REF!</definedName>
    <definedName name="DESIGNS52" localSheetId="1">#REF!</definedName>
    <definedName name="DESIGNS52">[2]Equip!#REF!</definedName>
    <definedName name="DESIGNS53" localSheetId="0">#REF!</definedName>
    <definedName name="DESIGNS53" localSheetId="1">#REF!</definedName>
    <definedName name="DESIGNS53">[2]Equip!#REF!</definedName>
    <definedName name="DESIGNS54" localSheetId="0">#REF!</definedName>
    <definedName name="DESIGNS54" localSheetId="1">#REF!</definedName>
    <definedName name="DESIGNS54">[2]Equip!#REF!</definedName>
    <definedName name="DESIGNS55" localSheetId="0">#REF!</definedName>
    <definedName name="DESIGNS55" localSheetId="1">#REF!</definedName>
    <definedName name="DESIGNS55">[2]Equip!#REF!</definedName>
    <definedName name="DESIGNS82" localSheetId="0">#REF!</definedName>
    <definedName name="DESIGNS82" localSheetId="1">#REF!</definedName>
    <definedName name="DESIGNS82">[2]Equip!#REF!</definedName>
    <definedName name="DESIGNS84" localSheetId="0">#REF!</definedName>
    <definedName name="DESIGNS84" localSheetId="1">#REF!</definedName>
    <definedName name="DESIGNS84">[2]Equip!#REF!</definedName>
    <definedName name="Dev_Costs" localSheetId="0">#REF!</definedName>
    <definedName name="Dev_Costs" localSheetId="1">#REF!</definedName>
    <definedName name="Dev_Costs" localSheetId="4">#REF!</definedName>
    <definedName name="Dev_Costs">#REF!</definedName>
    <definedName name="Dev_Fee_Yes_No" localSheetId="0">#REF!</definedName>
    <definedName name="Dev_Fee_Yes_No" localSheetId="1">#REF!</definedName>
    <definedName name="Dev_Fee_Yes_No" localSheetId="4">#REF!</definedName>
    <definedName name="Dev_Fee_Yes_No">#REF!</definedName>
    <definedName name="Development" localSheetId="0">#REF!</definedName>
    <definedName name="Development" localSheetId="1">#REF!</definedName>
    <definedName name="Development">[12]Parameters!$B$11</definedName>
    <definedName name="Development_equipment" localSheetId="0">#REF!</definedName>
    <definedName name="Development_equipment" localSheetId="1">#REF!</definedName>
    <definedName name="Development_equipment">[12]Variations!$E$34</definedName>
    <definedName name="Development_progress" localSheetId="0">#REF!</definedName>
    <definedName name="Development_progress" localSheetId="1">#REF!</definedName>
    <definedName name="Development_progress">[12]Variations!$E$33</definedName>
    <definedName name="DevFee" localSheetId="0">#REF!</definedName>
    <definedName name="DevFee" localSheetId="1">#REF!</definedName>
    <definedName name="DevFee" localSheetId="4">#REF!</definedName>
    <definedName name="DevFee">#REF!</definedName>
    <definedName name="DevMgt" localSheetId="0">#REF!</definedName>
    <definedName name="DevMgt" localSheetId="1">#REF!</definedName>
    <definedName name="DevMgt" localSheetId="4">#REF!</definedName>
    <definedName name="DevMgt">#REF!</definedName>
    <definedName name="dfadfd" localSheetId="4">#REF!</definedName>
    <definedName name="dfadfd">#REF!</definedName>
    <definedName name="dfgh" localSheetId="0" hidden="1">{#N/A,#N/A,TRUE,"COVER";#N/A,#N/A,TRUE,"DETAILS";#N/A,#N/A,TRUE,"SUMMARY";#N/A,#N/A,TRUE,"EXP MON";#N/A,#N/A,TRUE,"APPENDIX A";#N/A,#N/A,TRUE,"APPENDIX B";#N/A,#N/A,TRUE,"APPENDIX C";#N/A,#N/A,TRUE,"APPENDIX D";#N/A,#N/A,TRUE,"APPENDIX E";#N/A,#N/A,TRUE,"APPENDIX F";#N/A,#N/A,TRUE,"APPENDIX G"}</definedName>
    <definedName name="dfgh" localSheetId="1" hidden="1">{#N/A,#N/A,TRUE,"COVER";#N/A,#N/A,TRUE,"DETAILS";#N/A,#N/A,TRUE,"SUMMARY";#N/A,#N/A,TRUE,"EXP MON";#N/A,#N/A,TRUE,"APPENDIX A";#N/A,#N/A,TRUE,"APPENDIX B";#N/A,#N/A,TRUE,"APPENDIX C";#N/A,#N/A,TRUE,"APPENDIX D";#N/A,#N/A,TRUE,"APPENDIX E";#N/A,#N/A,TRUE,"APPENDIX F";#N/A,#N/A,TRUE,"APPENDIX G"}</definedName>
    <definedName name="dfgh" localSheetId="4" hidden="1">{#N/A,#N/A,TRUE,"COVER";#N/A,#N/A,TRUE,"DETAILS";#N/A,#N/A,TRUE,"SUMMARY";#N/A,#N/A,TRUE,"EXP MON";#N/A,#N/A,TRUE,"APPENDIX A";#N/A,#N/A,TRUE,"APPENDIX B";#N/A,#N/A,TRUE,"APPENDIX C";#N/A,#N/A,TRUE,"APPENDIX D";#N/A,#N/A,TRUE,"APPENDIX E";#N/A,#N/A,TRUE,"APPENDIX F";#N/A,#N/A,TRUE,"APPENDIX G"}</definedName>
    <definedName name="dfgh" hidden="1">{#N/A,#N/A,TRUE,"COVER";#N/A,#N/A,TRUE,"DETAILS";#N/A,#N/A,TRUE,"SUMMARY";#N/A,#N/A,TRUE,"EXP MON";#N/A,#N/A,TRUE,"APPENDIX A";#N/A,#N/A,TRUE,"APPENDIX B";#N/A,#N/A,TRUE,"APPENDIX C";#N/A,#N/A,TRUE,"APPENDIX D";#N/A,#N/A,TRUE,"APPENDIX E";#N/A,#N/A,TRUE,"APPENDIX F";#N/A,#N/A,TRUE,"APPENDIX G"}</definedName>
    <definedName name="dfkjgjksdf" localSheetId="0">#REF!</definedName>
    <definedName name="dfkjgjksdf" localSheetId="1">#REF!</definedName>
    <definedName name="dfkjgjksdf" localSheetId="4">#REF!</definedName>
    <definedName name="dfkjgjksdf">#REF!</definedName>
    <definedName name="DFL" localSheetId="0">#REF!</definedName>
    <definedName name="DFL" localSheetId="1">#REF!</definedName>
    <definedName name="DFL" localSheetId="4">#REF!</definedName>
    <definedName name="DFL">#REF!</definedName>
    <definedName name="DilutionPC" localSheetId="0">#REF!</definedName>
    <definedName name="DilutionPC" localSheetId="1">#REF!</definedName>
    <definedName name="DilutionPC" localSheetId="4">#REF!</definedName>
    <definedName name="DilutionPC">#REF!</definedName>
    <definedName name="DilutionT" localSheetId="4">#REF!</definedName>
    <definedName name="DilutionT">#REF!</definedName>
    <definedName name="Dir_ERV" localSheetId="4">#REF!</definedName>
    <definedName name="Dir_ERV">#REF!</definedName>
    <definedName name="dis" localSheetId="4">#REF!</definedName>
    <definedName name="dis">#REF!</definedName>
    <definedName name="Discount" localSheetId="4" hidden="1">#REF!</definedName>
    <definedName name="Discount" hidden="1">#REF!</definedName>
    <definedName name="DiscRate" localSheetId="4">#REF!</definedName>
    <definedName name="DiscRate">#REF!</definedName>
    <definedName name="Disp_Val_Part" localSheetId="4">#REF!</definedName>
    <definedName name="Disp_Val_Part">#REF!</definedName>
    <definedName name="Disp_Val_PC" localSheetId="4">#REF!</definedName>
    <definedName name="Disp_Val_PC">#REF!</definedName>
    <definedName name="display_area_2" localSheetId="4" hidden="1">#REF!</definedName>
    <definedName name="display_area_2" hidden="1">#REF!</definedName>
    <definedName name="Disposal" localSheetId="4">#REF!</definedName>
    <definedName name="Disposal">#REF!</definedName>
    <definedName name="Distribution" localSheetId="0">#REF!</definedName>
    <definedName name="Distribution" localSheetId="1">#REF!</definedName>
    <definedName name="Distribution">[12]Parameters!$B$14</definedName>
    <definedName name="DKK" localSheetId="0">#REF!</definedName>
    <definedName name="DKK" localSheetId="1">#REF!</definedName>
    <definedName name="DKK" localSheetId="4">#REF!</definedName>
    <definedName name="DKK">#REF!</definedName>
    <definedName name="DMK" localSheetId="0">#REF!</definedName>
    <definedName name="DMK" localSheetId="1">#REF!</definedName>
    <definedName name="DMK" localSheetId="4">#REF!</definedName>
    <definedName name="DMK">#REF!</definedName>
    <definedName name="DRAW" localSheetId="0">#REF!</definedName>
    <definedName name="DRAW" localSheetId="1">#REF!</definedName>
    <definedName name="DRAW">[31]Cover!#REF!</definedName>
    <definedName name="Drop_Down_Disc_ID" localSheetId="0">#REF!</definedName>
    <definedName name="Drop_Down_Disc_ID" localSheetId="1">#REF!</definedName>
    <definedName name="Drop_Down_Disc_ID" localSheetId="4">#REF!</definedName>
    <definedName name="Drop_Down_Disc_ID">#REF!</definedName>
    <definedName name="Drop_Down_Dwg_ID_List" localSheetId="0">#REF!</definedName>
    <definedName name="Drop_Down_Dwg_ID_List" localSheetId="1">#REF!</definedName>
    <definedName name="Drop_Down_Dwg_ID_List" localSheetId="4">#REF!</definedName>
    <definedName name="Drop_Down_Dwg_ID_List">#REF!</definedName>
    <definedName name="Drop_down_Project_Number" localSheetId="0">#REF!</definedName>
    <definedName name="Drop_down_Project_Number" localSheetId="1">#REF!</definedName>
    <definedName name="Drop_down_Project_Number" localSheetId="4">#REF!</definedName>
    <definedName name="Drop_down_Project_Number">#REF!</definedName>
    <definedName name="Drop_Down_WBS_List" localSheetId="0">#REF!</definedName>
    <definedName name="Drop_Down_WBS_List" localSheetId="1">#REF!</definedName>
    <definedName name="Drop_Down_WBS_List" localSheetId="4">#REF!</definedName>
    <definedName name="Drop_Down_WBS_List">#REF!</definedName>
    <definedName name="dsfs" localSheetId="0" hidden="1">{#N/A,#N/A,FALSE,"GERAL";#N/A,#N/A,FALSE,"012-96";#N/A,#N/A,FALSE,"018-96";#N/A,#N/A,FALSE,"027-96";#N/A,#N/A,FALSE,"059-96";#N/A,#N/A,FALSE,"076-96";#N/A,#N/A,FALSE,"019-97";#N/A,#N/A,FALSE,"021-97";#N/A,#N/A,FALSE,"022-97";#N/A,#N/A,FALSE,"028-97"}</definedName>
    <definedName name="dsfs" localSheetId="1" hidden="1">{#N/A,#N/A,FALSE,"GERAL";#N/A,#N/A,FALSE,"012-96";#N/A,#N/A,FALSE,"018-96";#N/A,#N/A,FALSE,"027-96";#N/A,#N/A,FALSE,"059-96";#N/A,#N/A,FALSE,"076-96";#N/A,#N/A,FALSE,"019-97";#N/A,#N/A,FALSE,"021-97";#N/A,#N/A,FALSE,"022-97";#N/A,#N/A,FALSE,"028-97"}</definedName>
    <definedName name="dsfs" localSheetId="4" hidden="1">{#N/A,#N/A,FALSE,"GERAL";#N/A,#N/A,FALSE,"012-96";#N/A,#N/A,FALSE,"018-96";#N/A,#N/A,FALSE,"027-96";#N/A,#N/A,FALSE,"059-96";#N/A,#N/A,FALSE,"076-96";#N/A,#N/A,FALSE,"019-97";#N/A,#N/A,FALSE,"021-97";#N/A,#N/A,FALSE,"022-97";#N/A,#N/A,FALSE,"028-97"}</definedName>
    <definedName name="dsfs" hidden="1">{#N/A,#N/A,FALSE,"GERAL";#N/A,#N/A,FALSE,"012-96";#N/A,#N/A,FALSE,"018-96";#N/A,#N/A,FALSE,"027-96";#N/A,#N/A,FALSE,"059-96";#N/A,#N/A,FALSE,"076-96";#N/A,#N/A,FALSE,"019-97";#N/A,#N/A,FALSE,"021-97";#N/A,#N/A,FALSE,"022-97";#N/A,#N/A,FALSE,"028-97"}</definedName>
    <definedName name="dump1" localSheetId="0">#REF!</definedName>
    <definedName name="dump1" localSheetId="1">#REF!</definedName>
    <definedName name="dump1" localSheetId="4">#REF!</definedName>
    <definedName name="dump1">#REF!</definedName>
    <definedName name="dump10" localSheetId="0">#REF!</definedName>
    <definedName name="dump10" localSheetId="1">#REF!</definedName>
    <definedName name="dump10" localSheetId="4">#REF!</definedName>
    <definedName name="dump10">#REF!</definedName>
    <definedName name="dump2" localSheetId="4">#REF!</definedName>
    <definedName name="dump2">#REF!</definedName>
    <definedName name="dump3" localSheetId="4">#REF!</definedName>
    <definedName name="dump3">#REF!</definedName>
    <definedName name="dump5" localSheetId="4">#REF!</definedName>
    <definedName name="dump5">#REF!</definedName>
    <definedName name="dump7" localSheetId="4">#REF!</definedName>
    <definedName name="dump7">#REF!</definedName>
    <definedName name="Duplex_area" localSheetId="4">#REF!</definedName>
    <definedName name="Duplex_area">#REF!</definedName>
    <definedName name="Duplex_Rate" localSheetId="4">#REF!</definedName>
    <definedName name="Duplex_Rate">#REF!</definedName>
    <definedName name="Duration" localSheetId="0">#REF!</definedName>
    <definedName name="Duration" localSheetId="1">#REF!</definedName>
    <definedName name="Duration">[32]Cashflow!$E$12</definedName>
    <definedName name="Duration_extension" localSheetId="0">#REF!</definedName>
    <definedName name="Duration_extension" localSheetId="1">#REF!</definedName>
    <definedName name="Duration_extension">[35]Schedule!$B$16</definedName>
    <definedName name="Duration1" localSheetId="0">#REF!</definedName>
    <definedName name="Duration1" localSheetId="1">#REF!</definedName>
    <definedName name="Duration1" localSheetId="4">#REF!</definedName>
    <definedName name="Duration1">#REF!</definedName>
    <definedName name="e" localSheetId="0">#REF!</definedName>
    <definedName name="e" localSheetId="1">#REF!</definedName>
    <definedName name="e" localSheetId="4">#REF!</definedName>
    <definedName name="e">#REF!</definedName>
    <definedName name="E_SIGNAGE" localSheetId="4">#REF!</definedName>
    <definedName name="E_SIGNAGE">#REF!</definedName>
    <definedName name="e366\" localSheetId="0">#REF!</definedName>
    <definedName name="e366\" localSheetId="1">#REF!</definedName>
    <definedName name="e366\" localSheetId="4">#REF!</definedName>
    <definedName name="e366\">#REF!</definedName>
    <definedName name="Earthworks" localSheetId="0">#REF!</definedName>
    <definedName name="Earthworks" localSheetId="1">#REF!</definedName>
    <definedName name="Earthworks">[19]BOQ!$C$14</definedName>
    <definedName name="Earthworks_rate" localSheetId="0">#REF!</definedName>
    <definedName name="Earthworks_rate" localSheetId="1">#REF!</definedName>
    <definedName name="Earthworks_rate">[12]Variations!$E$15</definedName>
    <definedName name="Earthworks_volume" localSheetId="0">#REF!</definedName>
    <definedName name="Earthworks_volume" localSheetId="1">#REF!</definedName>
    <definedName name="Earthworks_volume">[12]Variations!$E$16</definedName>
    <definedName name="EC" localSheetId="0">#REF!</definedName>
    <definedName name="EC" localSheetId="1">#REF!</definedName>
    <definedName name="EC">'[9]SUPPLEMENTARY SHEETS'!#REF!</definedName>
    <definedName name="Ecurry" localSheetId="0">#REF!</definedName>
    <definedName name="Ecurry" localSheetId="1">#REF!</definedName>
    <definedName name="Ecurry" localSheetId="4">#REF!</definedName>
    <definedName name="Ecurry">#REF!</definedName>
    <definedName name="edinamakuakofi" localSheetId="0">#REF!</definedName>
    <definedName name="edinamakuakofi" localSheetId="1">#REF!</definedName>
    <definedName name="edinamakuakofi" localSheetId="4">#REF!</definedName>
    <definedName name="edinamakuakofi">#REF!</definedName>
    <definedName name="ee" localSheetId="0">#REF!</definedName>
    <definedName name="ee" localSheetId="1">#REF!</definedName>
    <definedName name="ee">[22]COVER!#REF!</definedName>
    <definedName name="EEE" localSheetId="0">#REF!</definedName>
    <definedName name="EEE" localSheetId="1">#REF!</definedName>
    <definedName name="EEE">[22]COVER!#REF!</definedName>
    <definedName name="eeeee" localSheetId="0" hidden="1">{#N/A,#N/A,TRUE,"COVER";#N/A,#N/A,TRUE,"DETAILS";#N/A,#N/A,TRUE,"SUMMARY";#N/A,#N/A,TRUE,"EXP MON";#N/A,#N/A,TRUE,"APPENDIX A";#N/A,#N/A,TRUE,"APPENDIX B";#N/A,#N/A,TRUE,"APPENDIX C";#N/A,#N/A,TRUE,"APPENDIX D";#N/A,#N/A,TRUE,"APPENDIX E";#N/A,#N/A,TRUE,"APPENDIX F";#N/A,#N/A,TRUE,"APPENDIX G"}</definedName>
    <definedName name="eeeee" localSheetId="1" hidden="1">{#N/A,#N/A,TRUE,"COVER";#N/A,#N/A,TRUE,"DETAILS";#N/A,#N/A,TRUE,"SUMMARY";#N/A,#N/A,TRUE,"EXP MON";#N/A,#N/A,TRUE,"APPENDIX A";#N/A,#N/A,TRUE,"APPENDIX B";#N/A,#N/A,TRUE,"APPENDIX C";#N/A,#N/A,TRUE,"APPENDIX D";#N/A,#N/A,TRUE,"APPENDIX E";#N/A,#N/A,TRUE,"APPENDIX F";#N/A,#N/A,TRUE,"APPENDIX G"}</definedName>
    <definedName name="eeeee" localSheetId="4" hidden="1">{#N/A,#N/A,TRUE,"COVER";#N/A,#N/A,TRUE,"DETAILS";#N/A,#N/A,TRUE,"SUMMARY";#N/A,#N/A,TRUE,"EXP MON";#N/A,#N/A,TRUE,"APPENDIX A";#N/A,#N/A,TRUE,"APPENDIX B";#N/A,#N/A,TRUE,"APPENDIX C";#N/A,#N/A,TRUE,"APPENDIX D";#N/A,#N/A,TRUE,"APPENDIX E";#N/A,#N/A,TRUE,"APPENDIX F";#N/A,#N/A,TRUE,"APPENDIX G"}</definedName>
    <definedName name="eeeee" hidden="1">{#N/A,#N/A,TRUE,"COVER";#N/A,#N/A,TRUE,"DETAILS";#N/A,#N/A,TRUE,"SUMMARY";#N/A,#N/A,TRUE,"EXP MON";#N/A,#N/A,TRUE,"APPENDIX A";#N/A,#N/A,TRUE,"APPENDIX B";#N/A,#N/A,TRUE,"APPENDIX C";#N/A,#N/A,TRUE,"APPENDIX D";#N/A,#N/A,TRUE,"APPENDIX E";#N/A,#N/A,TRUE,"APPENDIX F";#N/A,#N/A,TRUE,"APPENDIX G"}</definedName>
    <definedName name="EEEEEE" localSheetId="0">#REF!</definedName>
    <definedName name="EEEEEE" localSheetId="1">#REF!</definedName>
    <definedName name="EEEEEE">[18]WORKINGS!$A$1:$N$3</definedName>
    <definedName name="EEEEEEE" localSheetId="0">#REF!</definedName>
    <definedName name="EEEEEEE" localSheetId="1">#REF!</definedName>
    <definedName name="EEEEEEE">[22]INDEX!#REF!</definedName>
    <definedName name="ef" localSheetId="0" hidden="1">{#N/A,#N/A,FALSE,"SUBS";#N/A,#N/A,FALSE,"SUPERS";#N/A,#N/A,FALSE,"FINISHES";#N/A,#N/A,FALSE,"FITTINGS";#N/A,#N/A,FALSE,"SERVICES";#N/A,#N/A,FALSE,"SITEWORKS"}</definedName>
    <definedName name="ef" localSheetId="1" hidden="1">{#N/A,#N/A,FALSE,"SUBS";#N/A,#N/A,FALSE,"SUPERS";#N/A,#N/A,FALSE,"FINISHES";#N/A,#N/A,FALSE,"FITTINGS";#N/A,#N/A,FALSE,"SERVICES";#N/A,#N/A,FALSE,"SITEWORKS"}</definedName>
    <definedName name="ef" localSheetId="4" hidden="1">{#N/A,#N/A,FALSE,"SUBS";#N/A,#N/A,FALSE,"SUPERS";#N/A,#N/A,FALSE,"FINISHES";#N/A,#N/A,FALSE,"FITTINGS";#N/A,#N/A,FALSE,"SERVICES";#N/A,#N/A,FALSE,"SITEWORKS"}</definedName>
    <definedName name="ef" hidden="1">{#N/A,#N/A,FALSE,"SUBS";#N/A,#N/A,FALSE,"SUPERS";#N/A,#N/A,FALSE,"FINISHES";#N/A,#N/A,FALSE,"FITTINGS";#N/A,#N/A,FALSE,"SERVICES";#N/A,#N/A,FALSE,"SITEWORKS"}</definedName>
    <definedName name="eff" localSheetId="4">#REF!</definedName>
    <definedName name="eff">#REF!</definedName>
    <definedName name="eg" localSheetId="0">#REF!</definedName>
    <definedName name="eg" localSheetId="1">#REF!</definedName>
    <definedName name="eg">[40]Summary!#REF!</definedName>
    <definedName name="EH2ehs" localSheetId="0">#REF!</definedName>
    <definedName name="EH2ehs" localSheetId="1">#REF!</definedName>
    <definedName name="EH2ehs" localSheetId="4">#REF!</definedName>
    <definedName name="EH2ehs">#REF!</definedName>
    <definedName name="ekey" localSheetId="0">#REF!</definedName>
    <definedName name="ekey" localSheetId="1">#REF!</definedName>
    <definedName name="ekey" localSheetId="4">#REF!</definedName>
    <definedName name="ekey">#REF!</definedName>
    <definedName name="EL" localSheetId="0">#REF!</definedName>
    <definedName name="EL" localSheetId="1">#REF!</definedName>
    <definedName name="EL">'[9]SUPPLEMENTARY SHEETS'!#REF!</definedName>
    <definedName name="Elect" localSheetId="0">#REF!</definedName>
    <definedName name="Elect" localSheetId="1">#REF!</definedName>
    <definedName name="Elect" localSheetId="4">#REF!</definedName>
    <definedName name="Elect">#REF!</definedName>
    <definedName name="Electrical" localSheetId="0">#REF!</definedName>
    <definedName name="Electrical" localSheetId="1">#REF!</definedName>
    <definedName name="Electrical">[19]BOQ!$C$423</definedName>
    <definedName name="Electrical_eqpt" localSheetId="0">#REF!</definedName>
    <definedName name="Electrical_eqpt" localSheetId="1">#REF!</definedName>
    <definedName name="Electrical_eqpt">'[35]@RISK Correlations'!$C$5:$F$8</definedName>
    <definedName name="Electrical_Equipment" localSheetId="0">#REF!</definedName>
    <definedName name="Electrical_Equipment" localSheetId="1">#REF!</definedName>
    <definedName name="Electrical_Equipment">[12]Variations!$E$13</definedName>
    <definedName name="Electrical_Items_Supply___Installation" localSheetId="0">#REF!</definedName>
    <definedName name="Electrical_Items_Supply___Installation" localSheetId="1">#REF!</definedName>
    <definedName name="Electrical_Items_Supply___Installation">[12]Variations!$E$25</definedName>
    <definedName name="Electrical_Services" localSheetId="0">#REF!</definedName>
    <definedName name="Electrical_Services" localSheetId="1">#REF!</definedName>
    <definedName name="Electrical_Services">[12]Variations!$E$22</definedName>
    <definedName name="Electronic" localSheetId="0">#REF!</definedName>
    <definedName name="Electronic" localSheetId="1">#REF!</definedName>
    <definedName name="Electronic">[19]BOQ!$C$425</definedName>
    <definedName name="Email" localSheetId="0">#REF!</definedName>
    <definedName name="Email" localSheetId="1">#REF!</definedName>
    <definedName name="Email" localSheetId="4">#REF!</definedName>
    <definedName name="Email">#REF!</definedName>
    <definedName name="EMhrs" localSheetId="0">#REF!</definedName>
    <definedName name="EMhrs" localSheetId="1">#REF!</definedName>
    <definedName name="EMhrs">[2]Equip!#REF!</definedName>
    <definedName name="EqCode" localSheetId="0">#REF!</definedName>
    <definedName name="EqCode" localSheetId="1">#REF!</definedName>
    <definedName name="EqCode" localSheetId="4">#REF!</definedName>
    <definedName name="EqCode">#REF!</definedName>
    <definedName name="equip_list" localSheetId="0">#REF!</definedName>
    <definedName name="equip_list" localSheetId="1">#REF!</definedName>
    <definedName name="equip_list" localSheetId="4">#REF!</definedName>
    <definedName name="equip_list">#REF!</definedName>
    <definedName name="Equity_Available" localSheetId="0">#REF!</definedName>
    <definedName name="Equity_Available" localSheetId="1">#REF!</definedName>
    <definedName name="Equity_Available" localSheetId="4">#REF!</definedName>
    <definedName name="Equity_Available">#REF!</definedName>
    <definedName name="eric" localSheetId="0">#REF!</definedName>
    <definedName name="eric" localSheetId="1">#REF!</definedName>
    <definedName name="eric" localSheetId="4">#REF!</definedName>
    <definedName name="eric">#REF!</definedName>
    <definedName name="ESC" localSheetId="0">#REF!</definedName>
    <definedName name="ESC" localSheetId="1">#REF!</definedName>
    <definedName name="ESC">'[9]SUPPLEMENTARY SHEETS'!#REF!</definedName>
    <definedName name="ESCAL" localSheetId="0">#REF!</definedName>
    <definedName name="ESCAL" localSheetId="1">#REF!</definedName>
    <definedName name="ESCAL" localSheetId="4">#REF!</definedName>
    <definedName name="ESCAL">#REF!</definedName>
    <definedName name="Escalation_rates" localSheetId="0">#REF!</definedName>
    <definedName name="Escalation_rates" localSheetId="1">#REF!</definedName>
    <definedName name="Escalation_rates">'[35]Annual escalation'!$A$5:$Y$49</definedName>
    <definedName name="esccat" localSheetId="0">#REF!</definedName>
    <definedName name="esccat" localSheetId="1">#REF!</definedName>
    <definedName name="esccat" localSheetId="4">#REF!</definedName>
    <definedName name="esccat">#REF!</definedName>
    <definedName name="ESP" localSheetId="0">#REF!</definedName>
    <definedName name="ESP" localSheetId="1">#REF!</definedName>
    <definedName name="ESP" localSheetId="4">#REF!</definedName>
    <definedName name="ESP">#REF!</definedName>
    <definedName name="ESPESSAMENTO" localSheetId="0" hidden="1">{#N/A,#N/A,FALSE,"GERAL";#N/A,#N/A,FALSE,"012-96";#N/A,#N/A,FALSE,"018-96";#N/A,#N/A,FALSE,"027-96";#N/A,#N/A,FALSE,"059-96";#N/A,#N/A,FALSE,"076-96";#N/A,#N/A,FALSE,"019-97";#N/A,#N/A,FALSE,"021-97";#N/A,#N/A,FALSE,"022-97";#N/A,#N/A,FALSE,"028-97"}</definedName>
    <definedName name="ESPESSAMENTO" localSheetId="1" hidden="1">{#N/A,#N/A,FALSE,"GERAL";#N/A,#N/A,FALSE,"012-96";#N/A,#N/A,FALSE,"018-96";#N/A,#N/A,FALSE,"027-96";#N/A,#N/A,FALSE,"059-96";#N/A,#N/A,FALSE,"076-96";#N/A,#N/A,FALSE,"019-97";#N/A,#N/A,FALSE,"021-97";#N/A,#N/A,FALSE,"022-97";#N/A,#N/A,FALSE,"028-97"}</definedName>
    <definedName name="ESPESSAMENTO" localSheetId="4" hidden="1">{#N/A,#N/A,FALSE,"GERAL";#N/A,#N/A,FALSE,"012-96";#N/A,#N/A,FALSE,"018-96";#N/A,#N/A,FALSE,"027-96";#N/A,#N/A,FALSE,"059-96";#N/A,#N/A,FALSE,"076-96";#N/A,#N/A,FALSE,"019-97";#N/A,#N/A,FALSE,"021-97";#N/A,#N/A,FALSE,"022-97";#N/A,#N/A,FALSE,"028-97"}</definedName>
    <definedName name="ESPESSAMENTO" hidden="1">{#N/A,#N/A,FALSE,"GERAL";#N/A,#N/A,FALSE,"012-96";#N/A,#N/A,FALSE,"018-96";#N/A,#N/A,FALSE,"027-96";#N/A,#N/A,FALSE,"059-96";#N/A,#N/A,FALSE,"076-96";#N/A,#N/A,FALSE,"019-97";#N/A,#N/A,FALSE,"021-97";#N/A,#N/A,FALSE,"022-97";#N/A,#N/A,FALSE,"028-97"}</definedName>
    <definedName name="Est" localSheetId="0">#REF!</definedName>
    <definedName name="Est" localSheetId="1">#REF!</definedName>
    <definedName name="Est" localSheetId="4">#REF!</definedName>
    <definedName name="Est">#REF!</definedName>
    <definedName name="EstCategory" localSheetId="0">#REF!</definedName>
    <definedName name="EstCategory" localSheetId="1">#REF!</definedName>
    <definedName name="EstCategory" localSheetId="4">#REF!</definedName>
    <definedName name="EstCategory">#REF!</definedName>
    <definedName name="estimateb" localSheetId="0" hidden="1">{#N/A,#N/A,TRUE,"Cover";#N/A,#N/A,TRUE,"Conts";#N/A,#N/A,TRUE,"VOS";#N/A,#N/A,TRUE,"Warrington";#N/A,#N/A,TRUE,"Widnes"}</definedName>
    <definedName name="estimateb" localSheetId="1" hidden="1">{#N/A,#N/A,TRUE,"Cover";#N/A,#N/A,TRUE,"Conts";#N/A,#N/A,TRUE,"VOS";#N/A,#N/A,TRUE,"Warrington";#N/A,#N/A,TRUE,"Widnes"}</definedName>
    <definedName name="estimateb" localSheetId="4" hidden="1">{#N/A,#N/A,TRUE,"Cover";#N/A,#N/A,TRUE,"Conts";#N/A,#N/A,TRUE,"VOS";#N/A,#N/A,TRUE,"Warrington";#N/A,#N/A,TRUE,"Widnes"}</definedName>
    <definedName name="estimateb" hidden="1">{#N/A,#N/A,TRUE,"Cover";#N/A,#N/A,TRUE,"Conts";#N/A,#N/A,TRUE,"VOS";#N/A,#N/A,TRUE,"Warrington";#N/A,#N/A,TRUE,"Widnes"}</definedName>
    <definedName name="Estimator" localSheetId="0">#REF!</definedName>
    <definedName name="Estimator" localSheetId="1">#REF!</definedName>
    <definedName name="Estimator">[2]Equip!#REF!</definedName>
    <definedName name="EUR" localSheetId="0">#REF!</definedName>
    <definedName name="EUR" localSheetId="1">#REF!</definedName>
    <definedName name="EUR" localSheetId="4">#REF!</definedName>
    <definedName name="EUR">#REF!</definedName>
    <definedName name="EW" localSheetId="0">#REF!</definedName>
    <definedName name="EW" localSheetId="1">#REF!</definedName>
    <definedName name="EW">'[9]SUPPLEMENTARY SHEETS'!#REF!</definedName>
    <definedName name="EWeight" localSheetId="0">#REF!</definedName>
    <definedName name="EWeight" localSheetId="1">#REF!</definedName>
    <definedName name="EWeight">[2]Equip!#REF!</definedName>
    <definedName name="EWS" localSheetId="0">#REF!</definedName>
    <definedName name="EWS" localSheetId="1">#REF!</definedName>
    <definedName name="EWS">'[9]SUPPLEMENTARY SHEETS'!#REF!</definedName>
    <definedName name="EX" localSheetId="0">#REF!</definedName>
    <definedName name="EX" localSheetId="1">#REF!</definedName>
    <definedName name="EX" localSheetId="4">#REF!</definedName>
    <definedName name="EX">#REF!</definedName>
    <definedName name="ex10a" localSheetId="0">#REF!</definedName>
    <definedName name="ex10a" localSheetId="1">#REF!</definedName>
    <definedName name="ex10a" localSheetId="4">#REF!</definedName>
    <definedName name="ex10a">#REF!</definedName>
    <definedName name="ex10b" localSheetId="4">#REF!</definedName>
    <definedName name="ex10b">#REF!</definedName>
    <definedName name="ex10c" localSheetId="4">#REF!</definedName>
    <definedName name="ex10c">#REF!</definedName>
    <definedName name="ex10d" localSheetId="4">#REF!</definedName>
    <definedName name="ex10d">#REF!</definedName>
    <definedName name="ex10e" localSheetId="4">#REF!</definedName>
    <definedName name="ex10e">#REF!</definedName>
    <definedName name="ex1a" localSheetId="4">#REF!</definedName>
    <definedName name="ex1a">#REF!</definedName>
    <definedName name="ex1b" localSheetId="4">#REF!</definedName>
    <definedName name="ex1b">#REF!</definedName>
    <definedName name="ex1c" localSheetId="4">#REF!</definedName>
    <definedName name="ex1c">#REF!</definedName>
    <definedName name="ex1d" localSheetId="4">#REF!</definedName>
    <definedName name="ex1d">#REF!</definedName>
    <definedName name="ex1e" localSheetId="4">#REF!</definedName>
    <definedName name="ex1e">#REF!</definedName>
    <definedName name="ex2a" localSheetId="4">#REF!</definedName>
    <definedName name="ex2a">#REF!</definedName>
    <definedName name="ex2b" localSheetId="4">#REF!</definedName>
    <definedName name="ex2b">#REF!</definedName>
    <definedName name="ex2c" localSheetId="4">#REF!</definedName>
    <definedName name="ex2c">#REF!</definedName>
    <definedName name="ex2d" localSheetId="4">#REF!</definedName>
    <definedName name="ex2d">#REF!</definedName>
    <definedName name="ex2e" localSheetId="4">#REF!</definedName>
    <definedName name="ex2e">#REF!</definedName>
    <definedName name="ex3a" localSheetId="4">#REF!</definedName>
    <definedName name="ex3a">#REF!</definedName>
    <definedName name="ex3b" localSheetId="4">#REF!</definedName>
    <definedName name="ex3b">#REF!</definedName>
    <definedName name="ex3c" localSheetId="4">#REF!</definedName>
    <definedName name="ex3c">#REF!</definedName>
    <definedName name="ex3d" localSheetId="4">#REF!</definedName>
    <definedName name="ex3d">#REF!</definedName>
    <definedName name="ex3e" localSheetId="4">#REF!</definedName>
    <definedName name="ex3e">#REF!</definedName>
    <definedName name="ex5a" localSheetId="4">#REF!</definedName>
    <definedName name="ex5a">#REF!</definedName>
    <definedName name="ex5b" localSheetId="4">#REF!</definedName>
    <definedName name="ex5b">#REF!</definedName>
    <definedName name="ex5c" localSheetId="4">#REF!</definedName>
    <definedName name="ex5c">#REF!</definedName>
    <definedName name="ex5d" localSheetId="4">#REF!</definedName>
    <definedName name="ex5d">#REF!</definedName>
    <definedName name="ex5e" localSheetId="4">#REF!</definedName>
    <definedName name="ex5e">#REF!</definedName>
    <definedName name="exal15" localSheetId="4">#REF!</definedName>
    <definedName name="exal15">#REF!</definedName>
    <definedName name="exall" localSheetId="4">#REF!</definedName>
    <definedName name="exall">#REF!</definedName>
    <definedName name="exall1" localSheetId="4">#REF!</definedName>
    <definedName name="exall1">#REF!</definedName>
    <definedName name="exall11" localSheetId="4">#REF!</definedName>
    <definedName name="exall11">#REF!</definedName>
    <definedName name="exall12" localSheetId="4">#REF!</definedName>
    <definedName name="exall12">#REF!</definedName>
    <definedName name="exall13" localSheetId="4">#REF!</definedName>
    <definedName name="exall13">#REF!</definedName>
    <definedName name="exall15" localSheetId="4">#REF!</definedName>
    <definedName name="exall15">#REF!</definedName>
    <definedName name="exall1a" localSheetId="4">#REF!</definedName>
    <definedName name="exall1a">#REF!</definedName>
    <definedName name="exall2" localSheetId="4">#REF!</definedName>
    <definedName name="exall2">#REF!</definedName>
    <definedName name="exall3" localSheetId="4">#REF!</definedName>
    <definedName name="exall3">#REF!</definedName>
    <definedName name="exall5" localSheetId="4">#REF!</definedName>
    <definedName name="exall5">#REF!</definedName>
    <definedName name="Excel_BuiltIn__FilterDatabase_15">"$'ESTIMATE SUMMARY'.$#REF!$#REF!:$#REF!$#REF!"</definedName>
    <definedName name="Excel_BuiltIn_Print_Area_4_1" localSheetId="0">#REF!</definedName>
    <definedName name="Excel_BuiltIn_Print_Area_4_1" localSheetId="1">#REF!</definedName>
    <definedName name="Excel_BuiltIn_Print_Area_4_1" localSheetId="4">#REF!</definedName>
    <definedName name="Excel_BuiltIn_Print_Area_4_1">#REF!</definedName>
    <definedName name="EXCLUSIONS" localSheetId="0">#REF!</definedName>
    <definedName name="EXCLUSIONS" localSheetId="1">#REF!</definedName>
    <definedName name="EXCLUSIONS">[31]Cover!#REF!</definedName>
    <definedName name="exec" localSheetId="0">#REF!</definedName>
    <definedName name="exec" localSheetId="1">#REF!</definedName>
    <definedName name="exec" localSheetId="4">#REF!</definedName>
    <definedName name="exec">#REF!</definedName>
    <definedName name="exit1" localSheetId="0">#REF!</definedName>
    <definedName name="exit1" localSheetId="1">#REF!</definedName>
    <definedName name="exit1" localSheetId="4">#REF!</definedName>
    <definedName name="exit1">#REF!</definedName>
    <definedName name="exit10" localSheetId="4">#REF!</definedName>
    <definedName name="exit10">#REF!</definedName>
    <definedName name="exit2" localSheetId="4">#REF!</definedName>
    <definedName name="exit2">#REF!</definedName>
    <definedName name="exit3" localSheetId="4">#REF!</definedName>
    <definedName name="exit3">#REF!</definedName>
    <definedName name="exit5" localSheetId="4">#REF!</definedName>
    <definedName name="exit5">#REF!</definedName>
    <definedName name="exit7" localSheetId="4">#REF!</definedName>
    <definedName name="exit7">#REF!</definedName>
    <definedName name="ExitStatus" localSheetId="4" hidden="1">#REF!</definedName>
    <definedName name="ExitStatus" hidden="1">#REF!</definedName>
    <definedName name="Expd_TO_Yr1" localSheetId="4">#REF!</definedName>
    <definedName name="Expd_TO_Yr1">#REF!</definedName>
    <definedName name="External" localSheetId="0">#REF!</definedName>
    <definedName name="External" localSheetId="1">#REF!</definedName>
    <definedName name="External">[19]BOQ!$C$443</definedName>
    <definedName name="_xlnm.Extract" localSheetId="0">#REF!</definedName>
    <definedName name="_xlnm.Extract" localSheetId="1">#REF!</definedName>
    <definedName name="_xlnm.Extract" localSheetId="4">#REF!</definedName>
    <definedName name="_xlnm.Extract">#REF!</definedName>
    <definedName name="Extract_MI" localSheetId="0">#REF!</definedName>
    <definedName name="Extract_MI" localSheetId="1">#REF!</definedName>
    <definedName name="Extract_MI" localSheetId="4">#REF!</definedName>
    <definedName name="Extract_MI">#REF!</definedName>
    <definedName name="f" localSheetId="0">#REF!</definedName>
    <definedName name="f" localSheetId="1">#REF!</definedName>
    <definedName name="F">[31]Cover!#REF!</definedName>
    <definedName name="FA" localSheetId="4">#REF!</definedName>
    <definedName name="FA">#REF!</definedName>
    <definedName name="FaceAdvance" localSheetId="4">#REF!</definedName>
    <definedName name="FaceAdvance">#REF!</definedName>
    <definedName name="FaceAdvance_" localSheetId="4">#REF!</definedName>
    <definedName name="FaceAdvance_">#REF!</definedName>
    <definedName name="FaceAvailable" localSheetId="4">#REF!</definedName>
    <definedName name="FaceAvailable">#REF!</definedName>
    <definedName name="FaceUtilPC" localSheetId="4">#REF!</definedName>
    <definedName name="FaceUtilPC">#REF!</definedName>
    <definedName name="FaceWorked" localSheetId="4">#REF!</definedName>
    <definedName name="FaceWorked">#REF!</definedName>
    <definedName name="factor1">0</definedName>
    <definedName name="factot" localSheetId="4">#REF!</definedName>
    <definedName name="factot">#REF!</definedName>
    <definedName name="Fax" localSheetId="4">#REF!</definedName>
    <definedName name="Fax">#REF!</definedName>
    <definedName name="fc" localSheetId="4">#REF!</definedName>
    <definedName name="fc">#REF!</definedName>
    <definedName name="FCode" localSheetId="4" hidden="1">#REF!</definedName>
    <definedName name="FCode" hidden="1">#REF!</definedName>
    <definedName name="FDER" localSheetId="4">#REF!</definedName>
    <definedName name="FDER">#REF!</definedName>
    <definedName name="fdgs" localSheetId="0">#REF!</definedName>
    <definedName name="fdgs" localSheetId="1">#REF!</definedName>
    <definedName name="fdgs">[41]AREAS!$A$1:$I$5</definedName>
    <definedName name="fdtrt" localSheetId="0">#REF!</definedName>
    <definedName name="fdtrt" localSheetId="1">#REF!</definedName>
    <definedName name="fdtrt">[22]INDEX!#REF!</definedName>
    <definedName name="Fe" localSheetId="0">#REF!</definedName>
    <definedName name="Fe" localSheetId="1">#REF!</definedName>
    <definedName name="Fe" localSheetId="4">#REF!</definedName>
    <definedName name="Fe">#REF!</definedName>
    <definedName name="ff" localSheetId="0">#REF!</definedName>
    <definedName name="ff" localSheetId="1">#REF!</definedName>
    <definedName name="ff" localSheetId="4">#REF!</definedName>
    <definedName name="ff">#REF!</definedName>
    <definedName name="FFF" localSheetId="0">#REF!</definedName>
    <definedName name="FFF" localSheetId="1">#REF!</definedName>
    <definedName name="FFF">[22]INDEX!#REF!</definedName>
    <definedName name="FFFFFF" hidden="1">#N/A</definedName>
    <definedName name="FFFFFFF" localSheetId="0">#REF!</definedName>
    <definedName name="FFFFFFF" localSheetId="1">#REF!</definedName>
    <definedName name="FFFFFFF" localSheetId="4">#REF!</definedName>
    <definedName name="FFFFFFF">#REF!</definedName>
    <definedName name="ffkf" localSheetId="0">#REF!</definedName>
    <definedName name="ffkf" localSheetId="1">#REF!</definedName>
    <definedName name="ffkf" localSheetId="4">#REF!</definedName>
    <definedName name="ffkf">#REF!</definedName>
    <definedName name="FFR" localSheetId="4">#REF!</definedName>
    <definedName name="FFR">#REF!</definedName>
    <definedName name="ffrf6r6r" localSheetId="0">#REF!</definedName>
    <definedName name="ffrf6r6r" localSheetId="1">#REF!</definedName>
    <definedName name="ffrf6r6r">[22]COVER!#REF!</definedName>
    <definedName name="fg" localSheetId="0" hidden="1">{#N/A,#N/A,TRUE,"Cover";#N/A,#N/A,TRUE,"Conts";#N/A,#N/A,TRUE,"VOS";#N/A,#N/A,TRUE,"Warrington";#N/A,#N/A,TRUE,"Widnes"}</definedName>
    <definedName name="fg" localSheetId="1" hidden="1">{#N/A,#N/A,TRUE,"Cover";#N/A,#N/A,TRUE,"Conts";#N/A,#N/A,TRUE,"VOS";#N/A,#N/A,TRUE,"Warrington";#N/A,#N/A,TRUE,"Widnes"}</definedName>
    <definedName name="fg" localSheetId="4" hidden="1">{#N/A,#N/A,TRUE,"Cover";#N/A,#N/A,TRUE,"Conts";#N/A,#N/A,TRUE,"VOS";#N/A,#N/A,TRUE,"Warrington";#N/A,#N/A,TRUE,"Widnes"}</definedName>
    <definedName name="fg" hidden="1">{#N/A,#N/A,TRUE,"Cover";#N/A,#N/A,TRUE,"Conts";#N/A,#N/A,TRUE,"VOS";#N/A,#N/A,TRUE,"Warrington";#N/A,#N/A,TRUE,"Widnes"}</definedName>
    <definedName name="Filename" localSheetId="0">#REF!</definedName>
    <definedName name="Filename" localSheetId="1">#REF!</definedName>
    <definedName name="Filename">[2]Equip!#REF!</definedName>
    <definedName name="filtragem" localSheetId="0" hidden="1">{#N/A,#N/A,FALSE,"GERAL";#N/A,#N/A,FALSE,"012-96";#N/A,#N/A,FALSE,"018-96";#N/A,#N/A,FALSE,"027-96";#N/A,#N/A,FALSE,"059-96";#N/A,#N/A,FALSE,"076-96";#N/A,#N/A,FALSE,"019-97";#N/A,#N/A,FALSE,"021-97";#N/A,#N/A,FALSE,"022-97";#N/A,#N/A,FALSE,"028-97"}</definedName>
    <definedName name="filtragem" localSheetId="1" hidden="1">{#N/A,#N/A,FALSE,"GERAL";#N/A,#N/A,FALSE,"012-96";#N/A,#N/A,FALSE,"018-96";#N/A,#N/A,FALSE,"027-96";#N/A,#N/A,FALSE,"059-96";#N/A,#N/A,FALSE,"076-96";#N/A,#N/A,FALSE,"019-97";#N/A,#N/A,FALSE,"021-97";#N/A,#N/A,FALSE,"022-97";#N/A,#N/A,FALSE,"028-97"}</definedName>
    <definedName name="filtragem" localSheetId="4" hidden="1">{#N/A,#N/A,FALSE,"GERAL";#N/A,#N/A,FALSE,"012-96";#N/A,#N/A,FALSE,"018-96";#N/A,#N/A,FALSE,"027-96";#N/A,#N/A,FALSE,"059-96";#N/A,#N/A,FALSE,"076-96";#N/A,#N/A,FALSE,"019-97";#N/A,#N/A,FALSE,"021-97";#N/A,#N/A,FALSE,"022-97";#N/A,#N/A,FALSE,"028-97"}</definedName>
    <definedName name="filtragem" hidden="1">{#N/A,#N/A,FALSE,"GERAL";#N/A,#N/A,FALSE,"012-96";#N/A,#N/A,FALSE,"018-96";#N/A,#N/A,FALSE,"027-96";#N/A,#N/A,FALSE,"059-96";#N/A,#N/A,FALSE,"076-96";#N/A,#N/A,FALSE,"019-97";#N/A,#N/A,FALSE,"021-97";#N/A,#N/A,FALSE,"022-97";#N/A,#N/A,FALSE,"028-97"}</definedName>
    <definedName name="Finance_Fee" localSheetId="0">#REF!</definedName>
    <definedName name="Finance_Fee" localSheetId="1">#REF!</definedName>
    <definedName name="Finance_Fee" localSheetId="4">#REF!</definedName>
    <definedName name="Finance_Fee">#REF!</definedName>
    <definedName name="fins1" localSheetId="0">#REF!</definedName>
    <definedName name="fins1" localSheetId="1">#REF!</definedName>
    <definedName name="fins1" localSheetId="4">#REF!</definedName>
    <definedName name="fins1">#REF!</definedName>
    <definedName name="fins2" localSheetId="4">#REF!</definedName>
    <definedName name="fins2">#REF!</definedName>
    <definedName name="Fire" localSheetId="0">#REF!</definedName>
    <definedName name="Fire" localSheetId="1">#REF!</definedName>
    <definedName name="Fire">[19]BOQ!$C$435</definedName>
    <definedName name="first_sales_income" localSheetId="0">#REF!</definedName>
    <definedName name="first_sales_income" localSheetId="1">#REF!</definedName>
    <definedName name="first_sales_income">'[24]Devco Cashflow'!#REF!</definedName>
    <definedName name="Fish_Lookup" localSheetId="0">#REF!</definedName>
    <definedName name="Fish_Lookup" localSheetId="1">#REF!</definedName>
    <definedName name="Fish_Lookup" localSheetId="4">#REF!</definedName>
    <definedName name="Fish_Lookup">#REF!</definedName>
    <definedName name="fiveycf" localSheetId="0">#REF!</definedName>
    <definedName name="fiveycf" localSheetId="1">#REF!</definedName>
    <definedName name="fiveycf" localSheetId="4">#REF!</definedName>
    <definedName name="fiveycf">#REF!</definedName>
    <definedName name="FiveYr_Occ" localSheetId="4">#REF!</definedName>
    <definedName name="FiveYr_Occ">#REF!</definedName>
    <definedName name="Fixed" localSheetId="0">#REF!</definedName>
    <definedName name="Fixed" localSheetId="1">#REF!</definedName>
    <definedName name="Fixed">[27]Uniliever!#REF!</definedName>
    <definedName name="fixedwords" localSheetId="0">#REF!</definedName>
    <definedName name="fixedwords" localSheetId="1">#REF!</definedName>
    <definedName name="fixedwords">[27]Uniliever!#REF!</definedName>
    <definedName name="fl" localSheetId="0">RiskCellHasTokens(512)</definedName>
    <definedName name="fl" localSheetId="1">RiskCellHasTokens(512)</definedName>
    <definedName name="fl" localSheetId="4">RiskCellHasTokens(512)</definedName>
    <definedName name="fl">RiskCellHasTokens(512)</definedName>
    <definedName name="FLAT" localSheetId="0">#REF!</definedName>
    <definedName name="FLAT" localSheetId="1">#REF!</definedName>
    <definedName name="FLAT">'[9]SUPPLEMENTARY SHEETS'!#REF!</definedName>
    <definedName name="flavia" hidden="1">#N/A</definedName>
    <definedName name="Flex1" localSheetId="0">#REF!,#REF!,#REF!,#REF!,#REF!,#REF!</definedName>
    <definedName name="Flex1" localSheetId="1">#REF!,#REF!,#REF!,#REF!,#REF!,#REF!</definedName>
    <definedName name="Flex1" localSheetId="4">#REF!,#REF!,#REF!,#REF!,#REF!,#REF!</definedName>
    <definedName name="Flex1">#REF!,#REF!,#REF!,#REF!,#REF!,#REF!</definedName>
    <definedName name="floor" localSheetId="0">RiskCellHasTokens(512)</definedName>
    <definedName name="floor" localSheetId="1">RiskCellHasTokens(512)</definedName>
    <definedName name="floor" localSheetId="4">RiskCellHasTokens(512)</definedName>
    <definedName name="floor">RiskCellHasTokens(512)</definedName>
    <definedName name="FLoorCov" localSheetId="0">#REF!</definedName>
    <definedName name="FLoorCov" localSheetId="1">#REF!</definedName>
    <definedName name="FLoorCov">[19]BOQ!$C$379</definedName>
    <definedName name="FLOT" localSheetId="0" hidden="1">{#N/A,#N/A,FALSE,"GERAL";#N/A,#N/A,FALSE,"012-96";#N/A,#N/A,FALSE,"018-96";#N/A,#N/A,FALSE,"027-96";#N/A,#N/A,FALSE,"059-96";#N/A,#N/A,FALSE,"076-96";#N/A,#N/A,FALSE,"019-97";#N/A,#N/A,FALSE,"021-97";#N/A,#N/A,FALSE,"022-97";#N/A,#N/A,FALSE,"028-97"}</definedName>
    <definedName name="FLOT" localSheetId="1" hidden="1">{#N/A,#N/A,FALSE,"GERAL";#N/A,#N/A,FALSE,"012-96";#N/A,#N/A,FALSE,"018-96";#N/A,#N/A,FALSE,"027-96";#N/A,#N/A,FALSE,"059-96";#N/A,#N/A,FALSE,"076-96";#N/A,#N/A,FALSE,"019-97";#N/A,#N/A,FALSE,"021-97";#N/A,#N/A,FALSE,"022-97";#N/A,#N/A,FALSE,"028-97"}</definedName>
    <definedName name="FLOT" localSheetId="4" hidden="1">{#N/A,#N/A,FALSE,"GERAL";#N/A,#N/A,FALSE,"012-96";#N/A,#N/A,FALSE,"018-96";#N/A,#N/A,FALSE,"027-96";#N/A,#N/A,FALSE,"059-96";#N/A,#N/A,FALSE,"076-96";#N/A,#N/A,FALSE,"019-97";#N/A,#N/A,FALSE,"021-97";#N/A,#N/A,FALSE,"022-97";#N/A,#N/A,FALSE,"028-97"}</definedName>
    <definedName name="FLOT" hidden="1">{#N/A,#N/A,FALSE,"GERAL";#N/A,#N/A,FALSE,"012-96";#N/A,#N/A,FALSE,"018-96";#N/A,#N/A,FALSE,"027-96";#N/A,#N/A,FALSE,"059-96";#N/A,#N/A,FALSE,"076-96";#N/A,#N/A,FALSE,"019-97";#N/A,#N/A,FALSE,"021-97";#N/A,#N/A,FALSE,"022-97";#N/A,#N/A,FALSE,"028-97"}</definedName>
    <definedName name="FLUTUANTE2" localSheetId="0" hidden="1">{#N/A,#N/A,FALSE,"GERAL";#N/A,#N/A,FALSE,"012-96";#N/A,#N/A,FALSE,"018-96";#N/A,#N/A,FALSE,"027-96";#N/A,#N/A,FALSE,"059-96";#N/A,#N/A,FALSE,"076-96";#N/A,#N/A,FALSE,"019-97";#N/A,#N/A,FALSE,"021-97";#N/A,#N/A,FALSE,"022-97";#N/A,#N/A,FALSE,"028-97"}</definedName>
    <definedName name="FLUTUANTE2" localSheetId="1" hidden="1">{#N/A,#N/A,FALSE,"GERAL";#N/A,#N/A,FALSE,"012-96";#N/A,#N/A,FALSE,"018-96";#N/A,#N/A,FALSE,"027-96";#N/A,#N/A,FALSE,"059-96";#N/A,#N/A,FALSE,"076-96";#N/A,#N/A,FALSE,"019-97";#N/A,#N/A,FALSE,"021-97";#N/A,#N/A,FALSE,"022-97";#N/A,#N/A,FALSE,"028-97"}</definedName>
    <definedName name="FLUTUANTE2" localSheetId="4" hidden="1">{#N/A,#N/A,FALSE,"GERAL";#N/A,#N/A,FALSE,"012-96";#N/A,#N/A,FALSE,"018-96";#N/A,#N/A,FALSE,"027-96";#N/A,#N/A,FALSE,"059-96";#N/A,#N/A,FALSE,"076-96";#N/A,#N/A,FALSE,"019-97";#N/A,#N/A,FALSE,"021-97";#N/A,#N/A,FALSE,"022-97";#N/A,#N/A,FALSE,"028-97"}</definedName>
    <definedName name="FLUTUANTE2" hidden="1">{#N/A,#N/A,FALSE,"GERAL";#N/A,#N/A,FALSE,"012-96";#N/A,#N/A,FALSE,"018-96";#N/A,#N/A,FALSE,"027-96";#N/A,#N/A,FALSE,"059-96";#N/A,#N/A,FALSE,"076-96";#N/A,#N/A,FALSE,"019-97";#N/A,#N/A,FALSE,"021-97";#N/A,#N/A,FALSE,"022-97";#N/A,#N/A,FALSE,"028-97"}</definedName>
    <definedName name="FLY" localSheetId="0">#REF!</definedName>
    <definedName name="FLY" localSheetId="1">#REF!</definedName>
    <definedName name="FLY">[31]Cover!#REF!</definedName>
    <definedName name="FLYSHEET1" localSheetId="0">#REF!</definedName>
    <definedName name="FLYSHEET1" localSheetId="1">#REF!</definedName>
    <definedName name="FLYSHEET1">[34]Cover!#REF!</definedName>
    <definedName name="FLYSHEET2" localSheetId="0">#REF!</definedName>
    <definedName name="FLYSHEET2" localSheetId="1">#REF!</definedName>
    <definedName name="FLYSHEET2">[34]Cover!#REF!</definedName>
    <definedName name="FLYSHEET3" localSheetId="0">#REF!</definedName>
    <definedName name="FLYSHEET3" localSheetId="1">#REF!</definedName>
    <definedName name="FLYSHEET3">[34]Cover!#REF!</definedName>
    <definedName name="Forecast_01" localSheetId="0">#REF!</definedName>
    <definedName name="Forecast_01" localSheetId="1">#REF!</definedName>
    <definedName name="Forecast_01" localSheetId="4">#REF!</definedName>
    <definedName name="Forecast_01">#REF!</definedName>
    <definedName name="form" localSheetId="0">#REF!</definedName>
    <definedName name="form" localSheetId="1">#REF!</definedName>
    <definedName name="form" localSheetId="4">#REF!</definedName>
    <definedName name="form">#REF!</definedName>
    <definedName name="FR" localSheetId="0">#REF!</definedName>
    <definedName name="FR" localSheetId="1">#REF!</definedName>
    <definedName name="FR">'[9]SUPPLEMENTARY SHEETS'!#REF!</definedName>
    <definedName name="FRF" localSheetId="0">#REF!</definedName>
    <definedName name="FRF" localSheetId="1">#REF!</definedName>
    <definedName name="FRF" localSheetId="4">#REF!</definedName>
    <definedName name="FRF">#REF!</definedName>
    <definedName name="FS" localSheetId="0">#REF!</definedName>
    <definedName name="FS" localSheetId="1">#REF!</definedName>
    <definedName name="FS">'[9]SUPPLEMENTARY SHEETS'!#REF!</definedName>
    <definedName name="Function" localSheetId="0">#REF!</definedName>
    <definedName name="Function" localSheetId="1">#REF!</definedName>
    <definedName name="Function" localSheetId="4">#REF!</definedName>
    <definedName name="Function">#REF!</definedName>
    <definedName name="Fund_Caprate" localSheetId="0">#REF!</definedName>
    <definedName name="Fund_Caprate" localSheetId="1">#REF!</definedName>
    <definedName name="Fund_Caprate" localSheetId="4">#REF!</definedName>
    <definedName name="Fund_Caprate">#REF!</definedName>
    <definedName name="futr" localSheetId="0">#REF!</definedName>
    <definedName name="futr" localSheetId="1">#REF!</definedName>
    <definedName name="futr">[22]COVER!#REF!</definedName>
    <definedName name="g" localSheetId="0">#REF!</definedName>
    <definedName name="g" localSheetId="1">#REF!</definedName>
    <definedName name="g">[22]COVER!#REF!</definedName>
    <definedName name="ga10a" localSheetId="0">#REF!</definedName>
    <definedName name="ga10a" localSheetId="1">#REF!</definedName>
    <definedName name="ga10a" localSheetId="4">#REF!</definedName>
    <definedName name="ga10a">#REF!</definedName>
    <definedName name="ga10b" localSheetId="0">#REF!</definedName>
    <definedName name="ga10b" localSheetId="1">#REF!</definedName>
    <definedName name="ga10b" localSheetId="4">#REF!</definedName>
    <definedName name="ga10b">#REF!</definedName>
    <definedName name="ga10c" localSheetId="4">#REF!</definedName>
    <definedName name="ga10c">#REF!</definedName>
    <definedName name="ga10d" localSheetId="4">#REF!</definedName>
    <definedName name="ga10d">#REF!</definedName>
    <definedName name="ga10e" localSheetId="4">#REF!</definedName>
    <definedName name="ga10e">#REF!</definedName>
    <definedName name="ga1a" localSheetId="4">#REF!</definedName>
    <definedName name="ga1a">#REF!</definedName>
    <definedName name="ga1b" localSheetId="4">#REF!</definedName>
    <definedName name="ga1b">#REF!</definedName>
    <definedName name="ga1c" localSheetId="4">#REF!</definedName>
    <definedName name="ga1c">#REF!</definedName>
    <definedName name="ga1d" localSheetId="4">#REF!</definedName>
    <definedName name="ga1d">#REF!</definedName>
    <definedName name="ga1e" localSheetId="4">#REF!</definedName>
    <definedName name="ga1e">#REF!</definedName>
    <definedName name="ga2a" localSheetId="4">#REF!</definedName>
    <definedName name="ga2a">#REF!</definedName>
    <definedName name="ga2b" localSheetId="4">#REF!</definedName>
    <definedName name="ga2b">#REF!</definedName>
    <definedName name="ga2c" localSheetId="4">#REF!</definedName>
    <definedName name="ga2c">#REF!</definedName>
    <definedName name="ga2d" localSheetId="4">#REF!</definedName>
    <definedName name="ga2d">#REF!</definedName>
    <definedName name="ga2e" localSheetId="4">#REF!</definedName>
    <definedName name="ga2e">#REF!</definedName>
    <definedName name="ga3a" localSheetId="4">#REF!</definedName>
    <definedName name="ga3a">#REF!</definedName>
    <definedName name="ga3b" localSheetId="4">#REF!</definedName>
    <definedName name="ga3b">#REF!</definedName>
    <definedName name="ga3c" localSheetId="4">#REF!</definedName>
    <definedName name="ga3c">#REF!</definedName>
    <definedName name="ga3d" localSheetId="4">#REF!</definedName>
    <definedName name="ga3d">#REF!</definedName>
    <definedName name="ga3e" localSheetId="4">#REF!</definedName>
    <definedName name="ga3e">#REF!</definedName>
    <definedName name="ga5a" localSheetId="4">#REF!</definedName>
    <definedName name="ga5a">#REF!</definedName>
    <definedName name="ga5b" localSheetId="4">#REF!</definedName>
    <definedName name="ga5b">#REF!</definedName>
    <definedName name="ga5c" localSheetId="4">#REF!</definedName>
    <definedName name="ga5c">#REF!</definedName>
    <definedName name="ga5d" localSheetId="4">#REF!</definedName>
    <definedName name="ga5d">#REF!</definedName>
    <definedName name="ga5e" localSheetId="4">#REF!</definedName>
    <definedName name="ga5e">#REF!</definedName>
    <definedName name="gaf" localSheetId="4">#REF!</definedName>
    <definedName name="gaf">#REF!</definedName>
    <definedName name="Gar" localSheetId="0" hidden="1">#REF!</definedName>
    <definedName name="Gar" localSheetId="1" hidden="1">#REF!</definedName>
    <definedName name="Gar" hidden="1">[5]PRELIMIN!#REF!</definedName>
    <definedName name="GarageDoors" localSheetId="0">#REF!</definedName>
    <definedName name="GarageDoors" localSheetId="1">#REF!</definedName>
    <definedName name="GarageDoors">[19]BOQ!$C$393</definedName>
    <definedName name="gard" localSheetId="0" hidden="1">#REF!</definedName>
    <definedName name="gard" localSheetId="1" hidden="1">#REF!</definedName>
    <definedName name="gard" hidden="1">[5]PRELIMIN!#REF!</definedName>
    <definedName name="garde" localSheetId="0">#REF!</definedName>
    <definedName name="garde" localSheetId="1">#REF!</definedName>
    <definedName name="garde" localSheetId="4">#REF!</definedName>
    <definedName name="garde">#REF!</definedName>
    <definedName name="GBP" localSheetId="0">#REF!</definedName>
    <definedName name="GBP" localSheetId="1">#REF!</definedName>
    <definedName name="GBP" localSheetId="4">#REF!</definedName>
    <definedName name="GBP">#REF!</definedName>
    <definedName name="GBW" localSheetId="0">#REF!</definedName>
    <definedName name="GBW" localSheetId="1">#REF!</definedName>
    <definedName name="GBW">'[9]SUPPLEMENTARY SHEETS'!#REF!</definedName>
    <definedName name="Gearing" localSheetId="0">#REF!</definedName>
    <definedName name="Gearing" localSheetId="1">#REF!</definedName>
    <definedName name="Gearing" localSheetId="4">#REF!</definedName>
    <definedName name="Gearing">#REF!</definedName>
    <definedName name="Generic1Hdr" localSheetId="0">#REF!</definedName>
    <definedName name="Generic1Hdr" localSheetId="1">#REF!</definedName>
    <definedName name="Generic1Hdr" localSheetId="4">#REF!</definedName>
    <definedName name="Generic1Hdr">#REF!</definedName>
    <definedName name="Generic1Lbl" localSheetId="4">#REF!</definedName>
    <definedName name="Generic1Lbl">#REF!</definedName>
    <definedName name="Generic2Hdr" localSheetId="4">#REF!</definedName>
    <definedName name="Generic2Hdr">#REF!</definedName>
    <definedName name="Generic2Lbl" localSheetId="4">#REF!</definedName>
    <definedName name="Generic2Lbl">#REF!</definedName>
    <definedName name="gerv" localSheetId="4">#REF!</definedName>
    <definedName name="gerv">#REF!</definedName>
    <definedName name="gfgf" localSheetId="4">#REF!</definedName>
    <definedName name="gfgf">#REF!</definedName>
    <definedName name="gfre" localSheetId="0">#REF!</definedName>
    <definedName name="gfre" localSheetId="1">#REF!</definedName>
    <definedName name="gfre">[42]ESTIMATE!$M$7:$IV$7623</definedName>
    <definedName name="gg" localSheetId="0" hidden="1">{#N/A,#N/A,TRUE,"COVER";#N/A,#N/A,TRUE,"DETAILS";#N/A,#N/A,TRUE,"SUMMARY";#N/A,#N/A,TRUE,"EXP MON";#N/A,#N/A,TRUE,"APPENDIX A";#N/A,#N/A,TRUE,"APPENDIX B";#N/A,#N/A,TRUE,"APPENDIX C";#N/A,#N/A,TRUE,"APPENDIX D";#N/A,#N/A,TRUE,"APPENDIX E";#N/A,#N/A,TRUE,"APPENDIX F";#N/A,#N/A,TRUE,"APPENDIX G"}</definedName>
    <definedName name="gg" localSheetId="1" hidden="1">{#N/A,#N/A,TRUE,"COVER";#N/A,#N/A,TRUE,"DETAILS";#N/A,#N/A,TRUE,"SUMMARY";#N/A,#N/A,TRUE,"EXP MON";#N/A,#N/A,TRUE,"APPENDIX A";#N/A,#N/A,TRUE,"APPENDIX B";#N/A,#N/A,TRUE,"APPENDIX C";#N/A,#N/A,TRUE,"APPENDIX D";#N/A,#N/A,TRUE,"APPENDIX E";#N/A,#N/A,TRUE,"APPENDIX F";#N/A,#N/A,TRUE,"APPENDIX G"}</definedName>
    <definedName name="gg" localSheetId="4" hidden="1">{#N/A,#N/A,TRUE,"COVER";#N/A,#N/A,TRUE,"DETAILS";#N/A,#N/A,TRUE,"SUMMARY";#N/A,#N/A,TRUE,"EXP MON";#N/A,#N/A,TRUE,"APPENDIX A";#N/A,#N/A,TRUE,"APPENDIX B";#N/A,#N/A,TRUE,"APPENDIX C";#N/A,#N/A,TRUE,"APPENDIX D";#N/A,#N/A,TRUE,"APPENDIX E";#N/A,#N/A,TRUE,"APPENDIX F";#N/A,#N/A,TRUE,"APPENDIX G"}</definedName>
    <definedName name="gg" hidden="1">{#N/A,#N/A,TRUE,"COVER";#N/A,#N/A,TRUE,"DETAILS";#N/A,#N/A,TRUE,"SUMMARY";#N/A,#N/A,TRUE,"EXP MON";#N/A,#N/A,TRUE,"APPENDIX A";#N/A,#N/A,TRUE,"APPENDIX B";#N/A,#N/A,TRUE,"APPENDIX C";#N/A,#N/A,TRUE,"APPENDIX D";#N/A,#N/A,TRUE,"APPENDIX E";#N/A,#N/A,TRUE,"APPENDIX F";#N/A,#N/A,TRUE,"APPENDIX G"}</definedName>
    <definedName name="ggg" localSheetId="0">#REF!</definedName>
    <definedName name="ggg" localSheetId="1">#REF!</definedName>
    <definedName name="ggg" localSheetId="4">#REF!</definedName>
    <definedName name="ggg">#REF!</definedName>
    <definedName name="GGGG" hidden="1">#N/A</definedName>
    <definedName name="gggggg" localSheetId="0">#REF!</definedName>
    <definedName name="gggggg" localSheetId="1">#REF!</definedName>
    <definedName name="gggggg" localSheetId="4">#REF!</definedName>
    <definedName name="gggggg">#REF!</definedName>
    <definedName name="ggssrs" localSheetId="0">#REF!</definedName>
    <definedName name="ggssrs" localSheetId="1">#REF!</definedName>
    <definedName name="ggssrs">[38]AREAS!$A$1:$I$5</definedName>
    <definedName name="GGTTRR" localSheetId="0">#REF!</definedName>
    <definedName name="GGTTRR" localSheetId="1">#REF!</definedName>
    <definedName name="GGTTRR">[19]AREAS!$A$6:$I$47</definedName>
    <definedName name="ggyuyuu" localSheetId="0">#REF!</definedName>
    <definedName name="ggyuyuu" localSheetId="1">#REF!</definedName>
    <definedName name="ggyuyuu">[19]WORKINGS!$A$1:$N$3</definedName>
    <definedName name="gh" localSheetId="0" hidden="1">{#N/A,#N/A,TRUE,"COVER";#N/A,#N/A,TRUE,"DETAILS";#N/A,#N/A,TRUE,"SUMMARY";#N/A,#N/A,TRUE,"EXP MON";#N/A,#N/A,TRUE,"APPENDIX A";#N/A,#N/A,TRUE,"APPENDIX B";#N/A,#N/A,TRUE,"APPENDIX C";#N/A,#N/A,TRUE,"APPENDIX D";#N/A,#N/A,TRUE,"APPENDIX E";#N/A,#N/A,TRUE,"APPENDIX F";#N/A,#N/A,TRUE,"APPENDIX G"}</definedName>
    <definedName name="gh" localSheetId="1" hidden="1">{#N/A,#N/A,TRUE,"COVER";#N/A,#N/A,TRUE,"DETAILS";#N/A,#N/A,TRUE,"SUMMARY";#N/A,#N/A,TRUE,"EXP MON";#N/A,#N/A,TRUE,"APPENDIX A";#N/A,#N/A,TRUE,"APPENDIX B";#N/A,#N/A,TRUE,"APPENDIX C";#N/A,#N/A,TRUE,"APPENDIX D";#N/A,#N/A,TRUE,"APPENDIX E";#N/A,#N/A,TRUE,"APPENDIX F";#N/A,#N/A,TRUE,"APPENDIX G"}</definedName>
    <definedName name="gh" localSheetId="4" hidden="1">{#N/A,#N/A,TRUE,"COVER";#N/A,#N/A,TRUE,"DETAILS";#N/A,#N/A,TRUE,"SUMMARY";#N/A,#N/A,TRUE,"EXP MON";#N/A,#N/A,TRUE,"APPENDIX A";#N/A,#N/A,TRUE,"APPENDIX B";#N/A,#N/A,TRUE,"APPENDIX C";#N/A,#N/A,TRUE,"APPENDIX D";#N/A,#N/A,TRUE,"APPENDIX E";#N/A,#N/A,TRUE,"APPENDIX F";#N/A,#N/A,TRUE,"APPENDIX G"}</definedName>
    <definedName name="gh" hidden="1">{#N/A,#N/A,TRUE,"COVER";#N/A,#N/A,TRUE,"DETAILS";#N/A,#N/A,TRUE,"SUMMARY";#N/A,#N/A,TRUE,"EXP MON";#N/A,#N/A,TRUE,"APPENDIX A";#N/A,#N/A,TRUE,"APPENDIX B";#N/A,#N/A,TRUE,"APPENDIX C";#N/A,#N/A,TRUE,"APPENDIX D";#N/A,#N/A,TRUE,"APPENDIX E";#N/A,#N/A,TRUE,"APPENDIX F";#N/A,#N/A,TRUE,"APPENDIX G"}</definedName>
    <definedName name="ghdr" localSheetId="0">#REF!</definedName>
    <definedName name="ghdr" localSheetId="1">#REF!</definedName>
    <definedName name="ghdr" localSheetId="4">#REF!</definedName>
    <definedName name="ghdr">#REF!</definedName>
    <definedName name="ghyt" localSheetId="0" hidden="1">{#N/A,#N/A,FALSE,"SUBS";#N/A,#N/A,FALSE,"SUPERS";#N/A,#N/A,FALSE,"FINISHES";#N/A,#N/A,FALSE,"FITTINGS";#N/A,#N/A,FALSE,"SERVICES";#N/A,#N/A,FALSE,"SITEWORKS"}</definedName>
    <definedName name="ghyt" localSheetId="1" hidden="1">{#N/A,#N/A,FALSE,"SUBS";#N/A,#N/A,FALSE,"SUPERS";#N/A,#N/A,FALSE,"FINISHES";#N/A,#N/A,FALSE,"FITTINGS";#N/A,#N/A,FALSE,"SERVICES";#N/A,#N/A,FALSE,"SITEWORKS"}</definedName>
    <definedName name="ghyt" localSheetId="4" hidden="1">{#N/A,#N/A,FALSE,"SUBS";#N/A,#N/A,FALSE,"SUPERS";#N/A,#N/A,FALSE,"FINISHES";#N/A,#N/A,FALSE,"FITTINGS";#N/A,#N/A,FALSE,"SERVICES";#N/A,#N/A,FALSE,"SITEWORKS"}</definedName>
    <definedName name="ghyt" hidden="1">{#N/A,#N/A,FALSE,"SUBS";#N/A,#N/A,FALSE,"SUPERS";#N/A,#N/A,FALSE,"FINISHES";#N/A,#N/A,FALSE,"FITTINGS";#N/A,#N/A,FALSE,"SERVICES";#N/A,#N/A,FALSE,"SITEWORKS"}</definedName>
    <definedName name="gk" localSheetId="0" hidden="1">{#N/A,#N/A,TRUE,"COVER";#N/A,#N/A,TRUE,"DETAILS";#N/A,#N/A,TRUE,"SUMMARY";#N/A,#N/A,TRUE,"EXP MON";#N/A,#N/A,TRUE,"APPENDIX A";#N/A,#N/A,TRUE,"APPENDIX B";#N/A,#N/A,TRUE,"APPENDIX C";#N/A,#N/A,TRUE,"APPENDIX D";#N/A,#N/A,TRUE,"APPENDIX E";#N/A,#N/A,TRUE,"APPENDIX F";#N/A,#N/A,TRUE,"APPENDIX G"}</definedName>
    <definedName name="gk" localSheetId="1" hidden="1">{#N/A,#N/A,TRUE,"COVER";#N/A,#N/A,TRUE,"DETAILS";#N/A,#N/A,TRUE,"SUMMARY";#N/A,#N/A,TRUE,"EXP MON";#N/A,#N/A,TRUE,"APPENDIX A";#N/A,#N/A,TRUE,"APPENDIX B";#N/A,#N/A,TRUE,"APPENDIX C";#N/A,#N/A,TRUE,"APPENDIX D";#N/A,#N/A,TRUE,"APPENDIX E";#N/A,#N/A,TRUE,"APPENDIX F";#N/A,#N/A,TRUE,"APPENDIX G"}</definedName>
    <definedName name="gk" localSheetId="4" hidden="1">{#N/A,#N/A,TRUE,"COVER";#N/A,#N/A,TRUE,"DETAILS";#N/A,#N/A,TRUE,"SUMMARY";#N/A,#N/A,TRUE,"EXP MON";#N/A,#N/A,TRUE,"APPENDIX A";#N/A,#N/A,TRUE,"APPENDIX B";#N/A,#N/A,TRUE,"APPENDIX C";#N/A,#N/A,TRUE,"APPENDIX D";#N/A,#N/A,TRUE,"APPENDIX E";#N/A,#N/A,TRUE,"APPENDIX F";#N/A,#N/A,TRUE,"APPENDIX G"}</definedName>
    <definedName name="gk" hidden="1">{#N/A,#N/A,TRUE,"COVER";#N/A,#N/A,TRUE,"DETAILS";#N/A,#N/A,TRUE,"SUMMARY";#N/A,#N/A,TRUE,"EXP MON";#N/A,#N/A,TRUE,"APPENDIX A";#N/A,#N/A,TRUE,"APPENDIX B";#N/A,#N/A,TRUE,"APPENDIX C";#N/A,#N/A,TRUE,"APPENDIX D";#N/A,#N/A,TRUE,"APPENDIX E";#N/A,#N/A,TRUE,"APPENDIX F";#N/A,#N/A,TRUE,"APPENDIX G"}</definedName>
    <definedName name="Glazing" localSheetId="0">#REF!</definedName>
    <definedName name="Glazing" localSheetId="1">#REF!</definedName>
    <definedName name="Glazing">[19]BOQ!$C$437</definedName>
    <definedName name="goalcell" localSheetId="0">#REF!</definedName>
    <definedName name="goalcell" localSheetId="1">#REF!</definedName>
    <definedName name="goalcell" localSheetId="4">#REF!</definedName>
    <definedName name="goalcell">#REF!</definedName>
    <definedName name="gr10a" localSheetId="0">#REF!</definedName>
    <definedName name="gr10a" localSheetId="1">#REF!</definedName>
    <definedName name="gr10a" localSheetId="4">#REF!</definedName>
    <definedName name="gr10a">#REF!</definedName>
    <definedName name="gr10b" localSheetId="4">#REF!</definedName>
    <definedName name="gr10b">#REF!</definedName>
    <definedName name="gr10c" localSheetId="4">#REF!</definedName>
    <definedName name="gr10c">#REF!</definedName>
    <definedName name="gr10d" localSheetId="4">#REF!</definedName>
    <definedName name="gr10d">#REF!</definedName>
    <definedName name="gr10e" localSheetId="4">#REF!</definedName>
    <definedName name="gr10e">#REF!</definedName>
    <definedName name="gr1a" localSheetId="4">#REF!</definedName>
    <definedName name="gr1a">#REF!</definedName>
    <definedName name="gr1b" localSheetId="4">#REF!</definedName>
    <definedName name="gr1b">#REF!</definedName>
    <definedName name="gr1c" localSheetId="4">#REF!</definedName>
    <definedName name="gr1c">#REF!</definedName>
    <definedName name="gr1d" localSheetId="4">#REF!</definedName>
    <definedName name="gr1d">#REF!</definedName>
    <definedName name="gr1e" localSheetId="4">#REF!</definedName>
    <definedName name="gr1e">#REF!</definedName>
    <definedName name="gr2a" localSheetId="4">#REF!</definedName>
    <definedName name="gr2a">#REF!</definedName>
    <definedName name="gr2b" localSheetId="4">#REF!</definedName>
    <definedName name="gr2b">#REF!</definedName>
    <definedName name="gr2c" localSheetId="4">#REF!</definedName>
    <definedName name="gr2c">#REF!</definedName>
    <definedName name="gr2d" localSheetId="4">#REF!</definedName>
    <definedName name="gr2d">#REF!</definedName>
    <definedName name="gr2e" localSheetId="4">#REF!</definedName>
    <definedName name="gr2e">#REF!</definedName>
    <definedName name="gr3a" localSheetId="4">#REF!</definedName>
    <definedName name="gr3a">#REF!</definedName>
    <definedName name="gr3b" localSheetId="4">#REF!</definedName>
    <definedName name="gr3b">#REF!</definedName>
    <definedName name="gr3c" localSheetId="4">#REF!</definedName>
    <definedName name="gr3c">#REF!</definedName>
    <definedName name="gr3d" localSheetId="4">#REF!</definedName>
    <definedName name="gr3d">#REF!</definedName>
    <definedName name="gr3e" localSheetId="4">#REF!</definedName>
    <definedName name="gr3e">#REF!</definedName>
    <definedName name="gr5a" localSheetId="4">#REF!</definedName>
    <definedName name="gr5a">#REF!</definedName>
    <definedName name="gr5b" localSheetId="4">#REF!</definedName>
    <definedName name="gr5b">#REF!</definedName>
    <definedName name="gr5c" localSheetId="4">#REF!</definedName>
    <definedName name="gr5c">#REF!</definedName>
    <definedName name="gr5d" localSheetId="4">#REF!</definedName>
    <definedName name="gr5d">#REF!</definedName>
    <definedName name="gr5e" localSheetId="4">#REF!</definedName>
    <definedName name="gr5e">#REF!</definedName>
    <definedName name="GRAFIEK" localSheetId="4">#REF!</definedName>
    <definedName name="GRAFIEK">#REF!</definedName>
    <definedName name="grall1" localSheetId="4">#REF!</definedName>
    <definedName name="grall1">#REF!</definedName>
    <definedName name="grall10" localSheetId="4">#REF!</definedName>
    <definedName name="grall10">#REF!</definedName>
    <definedName name="grall2" localSheetId="4">#REF!</definedName>
    <definedName name="grall2">#REF!</definedName>
    <definedName name="grall3" localSheetId="4">#REF!</definedName>
    <definedName name="grall3">#REF!</definedName>
    <definedName name="grall5" localSheetId="4">#REF!</definedName>
    <definedName name="grall5">#REF!</definedName>
    <definedName name="Granite" localSheetId="0">#REF!</definedName>
    <definedName name="Granite" localSheetId="1">#REF!</definedName>
    <definedName name="Granite">[19]BOQ!$C$451</definedName>
    <definedName name="graph" hidden="1">#N/A</definedName>
    <definedName name="grow1" localSheetId="0">#REF!</definedName>
    <definedName name="grow1" localSheetId="1">#REF!</definedName>
    <definedName name="grow1" localSheetId="4">#REF!</definedName>
    <definedName name="grow1">#REF!</definedName>
    <definedName name="growthtable" localSheetId="0">#REF!</definedName>
    <definedName name="growthtable" localSheetId="1">#REF!</definedName>
    <definedName name="growthtable" localSheetId="4">#REF!</definedName>
    <definedName name="growthtable">#REF!</definedName>
    <definedName name="GS" localSheetId="0">#REF!</definedName>
    <definedName name="GS" localSheetId="1">#REF!</definedName>
    <definedName name="GS">'[9]SUPPLEMENTARY SHEETS'!#REF!</definedName>
    <definedName name="gyfktfdkt" localSheetId="0">#REF!</definedName>
    <definedName name="gyfktfdkt" localSheetId="1">#REF!</definedName>
    <definedName name="gyfktfdkt">[19]AREAS!$A$1:$I$5</definedName>
    <definedName name="h" localSheetId="0">#REF!</definedName>
    <definedName name="h" localSheetId="1">#REF!</definedName>
    <definedName name="h" localSheetId="4">#REF!</definedName>
    <definedName name="h">#REF!</definedName>
    <definedName name="hbjh" localSheetId="0">#REF!</definedName>
    <definedName name="hbjh" localSheetId="1">#REF!</definedName>
    <definedName name="hbjh">[43]AREAS!$A$6:$I$47</definedName>
    <definedName name="hdgsrsj" localSheetId="0">#REF!</definedName>
    <definedName name="hdgsrsj" localSheetId="1">#REF!</definedName>
    <definedName name="hdgsrsj">[44]WORKINGS!$A$1:$N$3</definedName>
    <definedName name="hdjyd" localSheetId="0">#REF!</definedName>
    <definedName name="hdjyd" localSheetId="1">#REF!</definedName>
    <definedName name="hdjyd">[43]WORKINGS!$A$1:$N$3</definedName>
    <definedName name="HDPE100Aus" localSheetId="0">#REF!</definedName>
    <definedName name="HDPE100Aus" localSheetId="1">#REF!</definedName>
    <definedName name="HDPE100Aus" localSheetId="4">#REF!</definedName>
    <definedName name="HDPE100Aus">#REF!</definedName>
    <definedName name="HDPE100Class" localSheetId="0">#REF!</definedName>
    <definedName name="HDPE100Class" localSheetId="1">#REF!</definedName>
    <definedName name="HDPE100Class" localSheetId="4">#REF!</definedName>
    <definedName name="HDPE100Class">#REF!</definedName>
    <definedName name="HDPE100Size" localSheetId="0">#REF!</definedName>
    <definedName name="HDPE100Size" localSheetId="1">#REF!</definedName>
    <definedName name="HDPE100Size" localSheetId="4">#REF!</definedName>
    <definedName name="HDPE100Size">#REF!</definedName>
    <definedName name="HDPE4Class" localSheetId="4">#REF!</definedName>
    <definedName name="HDPE4Class">#REF!</definedName>
    <definedName name="HDPE4SA" localSheetId="4">#REF!</definedName>
    <definedName name="HDPE4SA">#REF!</definedName>
    <definedName name="HDPE4Size" localSheetId="4">#REF!</definedName>
    <definedName name="HDPE4Size">#REF!</definedName>
    <definedName name="HDPE5Class" localSheetId="4">#REF!</definedName>
    <definedName name="HDPE5Class">#REF!</definedName>
    <definedName name="HDPE5SA" localSheetId="4">#REF!</definedName>
    <definedName name="HDPE5SA">#REF!</definedName>
    <definedName name="HDPE5Size" localSheetId="4">#REF!</definedName>
    <definedName name="HDPE5Size">#REF!</definedName>
    <definedName name="HDPE80Aus" localSheetId="4">#REF!</definedName>
    <definedName name="HDPE80Aus">#REF!</definedName>
    <definedName name="HDPE80Class" localSheetId="4">#REF!</definedName>
    <definedName name="HDPE80Class">#REF!</definedName>
    <definedName name="HDPE80Size" localSheetId="4">#REF!</definedName>
    <definedName name="HDPE80Size">#REF!</definedName>
    <definedName name="hdrwutej" localSheetId="0">#REF!</definedName>
    <definedName name="hdrwutej" localSheetId="1">#REF!</definedName>
    <definedName name="hdrwutej">[44]AREAS!$A$1:$I$5</definedName>
    <definedName name="HEAD1" localSheetId="0">#REF!</definedName>
    <definedName name="HEAD1" localSheetId="1">#REF!</definedName>
    <definedName name="HEAD1" localSheetId="4">#REF!</definedName>
    <definedName name="HEAD1">#REF!</definedName>
    <definedName name="HEAD2" localSheetId="0">#REF!</definedName>
    <definedName name="HEAD2" localSheetId="1">#REF!</definedName>
    <definedName name="HEAD2" localSheetId="4">#REF!</definedName>
    <definedName name="HEAD2">#REF!</definedName>
    <definedName name="HEAD3" localSheetId="4">#REF!</definedName>
    <definedName name="HEAD3">#REF!</definedName>
    <definedName name="HEAD5" localSheetId="4">#REF!</definedName>
    <definedName name="HEAD5">#REF!</definedName>
    <definedName name="Health_Rate" localSheetId="4">#REF!</definedName>
    <definedName name="Health_Rate">#REF!</definedName>
    <definedName name="hello" localSheetId="4">#REF!</definedName>
    <definedName name="hello">#REF!</definedName>
    <definedName name="HERE" localSheetId="0">#REF!</definedName>
    <definedName name="HERE" localSheetId="1">#REF!</definedName>
    <definedName name="HERE">[27]Uniliever!#REF!</definedName>
    <definedName name="here2" localSheetId="0">#REF!</definedName>
    <definedName name="here2" localSheetId="1">#REF!</definedName>
    <definedName name="here2">[27]Uniliever!#REF!</definedName>
    <definedName name="hfytf" localSheetId="0" hidden="1">{#N/A,#N/A,FALSE,"Cert"}</definedName>
    <definedName name="hfytf" localSheetId="1" hidden="1">{#N/A,#N/A,FALSE,"Cert"}</definedName>
    <definedName name="hfytf" localSheetId="4" hidden="1">{#N/A,#N/A,FALSE,"Cert"}</definedName>
    <definedName name="hfytf" hidden="1">{#N/A,#N/A,FALSE,"Cert"}</definedName>
    <definedName name="hg" localSheetId="0">#REF!</definedName>
    <definedName name="hg" localSheetId="1">#REF!</definedName>
    <definedName name="hg" localSheetId="4">#REF!</definedName>
    <definedName name="hg">#REF!</definedName>
    <definedName name="hgddsjseshj" localSheetId="0">#REF!</definedName>
    <definedName name="hgddsjseshj" localSheetId="1">#REF!</definedName>
    <definedName name="hgddsjseshj">[19]AREAS!$A$1:$I$5</definedName>
    <definedName name="hgdjyr" localSheetId="0">#REF!</definedName>
    <definedName name="hgdjyr" localSheetId="1">#REF!</definedName>
    <definedName name="hgdjyr">[19]AREAS!$A$6:$I$47</definedName>
    <definedName name="HGEW" localSheetId="0">#REF!</definedName>
    <definedName name="HGEW" localSheetId="1">#REF!</definedName>
    <definedName name="HGEW">[44]AREAS!$A$6:$I$41</definedName>
    <definedName name="hgfhf" localSheetId="0">#REF!</definedName>
    <definedName name="hgfhf" localSheetId="1">#REF!</definedName>
    <definedName name="hgfhf" localSheetId="4">#REF!</definedName>
    <definedName name="hgfhf">#REF!</definedName>
    <definedName name="hgfy" localSheetId="0">#REF!</definedName>
    <definedName name="hgfy" localSheetId="1">#REF!</definedName>
    <definedName name="hgfy">[22]INDEX!#REF!</definedName>
    <definedName name="HGHG" localSheetId="0">#REF!</definedName>
    <definedName name="HGHG" localSheetId="1">#REF!</definedName>
    <definedName name="HGHG">[19]AREAS!$A$1:$I$5</definedName>
    <definedName name="hgj" localSheetId="0">#REF!</definedName>
    <definedName name="hgj" localSheetId="1">#REF!</definedName>
    <definedName name="hgj" localSheetId="4">#REF!</definedName>
    <definedName name="hgj">#REF!</definedName>
    <definedName name="hgjhj" localSheetId="0">#REF!</definedName>
    <definedName name="hgjhj" localSheetId="1">#REF!</definedName>
    <definedName name="hgjhj">[22]INDEX!#REF!</definedName>
    <definedName name="hgljg" localSheetId="0">#REF!</definedName>
    <definedName name="hgljg" localSheetId="1">#REF!</definedName>
    <definedName name="hgljg">[22]COVER!#REF!</definedName>
    <definedName name="hgllk" localSheetId="0">#REF!</definedName>
    <definedName name="hgllk" localSheetId="1">#REF!</definedName>
    <definedName name="hgllk" localSheetId="4">#REF!</definedName>
    <definedName name="hgllk">#REF!</definedName>
    <definedName name="hh" localSheetId="0">#REF!</definedName>
    <definedName name="hh" localSheetId="1">#REF!</definedName>
    <definedName name="hh" localSheetId="4">#REF!</definedName>
    <definedName name="hh">#REF!</definedName>
    <definedName name="hhgh" hidden="1">#N/A</definedName>
    <definedName name="hhgyu" localSheetId="0">#REF!</definedName>
    <definedName name="hhgyu" localSheetId="1">#REF!</definedName>
    <definedName name="hhgyu" localSheetId="4">#REF!</definedName>
    <definedName name="hhgyu">#REF!</definedName>
    <definedName name="hhsgge" localSheetId="0">#REF!</definedName>
    <definedName name="hhsgge" localSheetId="1">#REF!</definedName>
    <definedName name="hhsgge">[38]WORKINGS!$A$1:$M$3</definedName>
    <definedName name="hhssd" localSheetId="0">#REF!</definedName>
    <definedName name="hhssd" localSheetId="1">#REF!</definedName>
    <definedName name="hhssd">[38]AREAS!$A$6:$I$50</definedName>
    <definedName name="hi" localSheetId="0" hidden="1">#REF!</definedName>
    <definedName name="hi" localSheetId="1" hidden="1">#REF!</definedName>
    <definedName name="hi" localSheetId="4">#REF!</definedName>
    <definedName name="hi">#REF!</definedName>
    <definedName name="HiddenRows" localSheetId="0" hidden="1">#REF!</definedName>
    <definedName name="HiddenRows" localSheetId="1" hidden="1">#REF!</definedName>
    <definedName name="HiddenRows" localSheetId="4" hidden="1">#REF!</definedName>
    <definedName name="HiddenRows" hidden="1">#REF!</definedName>
    <definedName name="High" localSheetId="0">#REF!</definedName>
    <definedName name="High" localSheetId="1">#REF!</definedName>
    <definedName name="High" localSheetId="4">#REF!</definedName>
    <definedName name="High">#REF!</definedName>
    <definedName name="high_res_area" localSheetId="0">#REF!,#REF!</definedName>
    <definedName name="high_res_area" localSheetId="1">#REF!,#REF!</definedName>
    <definedName name="high_res_area" localSheetId="4">#REF!,#REF!</definedName>
    <definedName name="high_res_area">#REF!,#REF!</definedName>
    <definedName name="hjg" localSheetId="0">#REF!</definedName>
    <definedName name="hjg" localSheetId="1">#REF!</definedName>
    <definedName name="hjg" localSheetId="4">#REF!</definedName>
    <definedName name="hjg">#REF!</definedName>
    <definedName name="hkhglyfl" localSheetId="0">#REF!</definedName>
    <definedName name="hkhglyfl" localSheetId="1">#REF!</definedName>
    <definedName name="hkhglyfl">[23]AREAS!$A$6:$I$47</definedName>
    <definedName name="HL2accom" localSheetId="0">#REF!</definedName>
    <definedName name="HL2accom" localSheetId="1">#REF!</definedName>
    <definedName name="HL2accom" localSheetId="4">#REF!</definedName>
    <definedName name="HL2accom">#REF!</definedName>
    <definedName name="HL2ehs" localSheetId="0">#REF!</definedName>
    <definedName name="HL2ehs" localSheetId="1">#REF!</definedName>
    <definedName name="HL2ehs" localSheetId="4">#REF!</definedName>
    <definedName name="HL2ehs">#REF!</definedName>
    <definedName name="HL2hoists" localSheetId="4">#REF!</definedName>
    <definedName name="HL2hoists">#REF!</definedName>
    <definedName name="HL2it" localSheetId="4">#REF!</definedName>
    <definedName name="HL2it">#REF!</definedName>
    <definedName name="HL2rates" localSheetId="4">#REF!</definedName>
    <definedName name="HL2rates">#REF!</definedName>
    <definedName name="HL2version" localSheetId="4">#REF!</definedName>
    <definedName name="HL2version">#REF!</definedName>
    <definedName name="HLdaycharge1" localSheetId="0">#REF!</definedName>
    <definedName name="HLdaycharge1" localSheetId="1">#REF!</definedName>
    <definedName name="HLdaycharge1">[27]Uniliever!#REF!</definedName>
    <definedName name="hlkjh" localSheetId="0">#REF!</definedName>
    <definedName name="hlkjh" localSheetId="1">#REF!</definedName>
    <definedName name="hlkjh">[22]COVER!#REF!</definedName>
    <definedName name="Hoistcalcprnt" localSheetId="0">#REF!</definedName>
    <definedName name="Hoistcalcprnt" localSheetId="1">#REF!</definedName>
    <definedName name="Hoistcalcprnt" localSheetId="4">#REF!</definedName>
    <definedName name="Hoistcalcprnt">#REF!</definedName>
    <definedName name="Hoistinputprnt" localSheetId="0">#REF!</definedName>
    <definedName name="Hoistinputprnt" localSheetId="1">#REF!</definedName>
    <definedName name="Hoistinputprnt" localSheetId="4">#REF!</definedName>
    <definedName name="Hoistinputprnt">#REF!</definedName>
    <definedName name="Home_curr" localSheetId="4">#REF!</definedName>
    <definedName name="Home_curr">#REF!</definedName>
    <definedName name="Hotel_Rate" localSheetId="4">#REF!</definedName>
    <definedName name="Hotel_Rate">#REF!</definedName>
    <definedName name="house_value_dv" localSheetId="0">#REF!</definedName>
    <definedName name="house_value_dv" localSheetId="1">#REF!</definedName>
    <definedName name="house_value_dv">[45]Sensitivities!#REF!</definedName>
    <definedName name="house_value_dv_check" localSheetId="0">#REF!</definedName>
    <definedName name="house_value_dv_check" localSheetId="1">#REF!</definedName>
    <definedName name="house_value_dv_check">[45]Sensitivities!#REF!</definedName>
    <definedName name="htfjtf" localSheetId="0">#REF!</definedName>
    <definedName name="htfjtf" localSheetId="1">#REF!</definedName>
    <definedName name="htfjtf">[23]AREAS!$A$1:$I$5</definedName>
    <definedName name="HTML_CodePage" hidden="1">1252</definedName>
    <definedName name="HTML_Control" localSheetId="0" hidden="1">{"'S Summ'!$B$2:$L$73","'S Summ'!$G$76"}</definedName>
    <definedName name="HTML_Control" localSheetId="1" hidden="1">{"'S Summ'!$B$2:$L$73","'S Summ'!$G$76"}</definedName>
    <definedName name="HTML_Control" localSheetId="4" hidden="1">{"'Sheet2'!$A$1:$D$37"}</definedName>
    <definedName name="HTML_Control" hidden="1">{"'Sheet2'!$A$1:$D$37"}</definedName>
    <definedName name="HTML_Description" hidden="1">""</definedName>
    <definedName name="HTML_Email" localSheetId="0" hidden="1">""</definedName>
    <definedName name="HTML_Email" localSheetId="1" hidden="1">""</definedName>
    <definedName name="HTML_Email" hidden="1">"michael_woodrow@lendlease.co.uk"</definedName>
    <definedName name="HTML_Header" localSheetId="0" hidden="1">"S Summ"</definedName>
    <definedName name="HTML_Header" localSheetId="1" hidden="1">"S Summ"</definedName>
    <definedName name="HTML_Header" hidden="1">"Draft - test"</definedName>
    <definedName name="HTML_LastUpdate" localSheetId="0" hidden="1">"28-Sep-99"</definedName>
    <definedName name="HTML_LastUpdate" localSheetId="1" hidden="1">"28-Sep-99"</definedName>
    <definedName name="HTML_LastUpdate" hidden="1">"02/11/2000"</definedName>
    <definedName name="HTML_LineAfter" hidden="1">FALSE</definedName>
    <definedName name="HTML_LineBefore" hidden="1">FALSE</definedName>
    <definedName name="HTML_Name" localSheetId="0" hidden="1">"WINDOWS"</definedName>
    <definedName name="HTML_Name" localSheetId="1" hidden="1">"WINDOWS"</definedName>
    <definedName name="HTML_Name" hidden="1">"Michael Woodrow"</definedName>
    <definedName name="HTML_OBDlg2" hidden="1">TRUE</definedName>
    <definedName name="HTML_OBDlg4" hidden="1">TRUE</definedName>
    <definedName name="HTML_OS" hidden="1">0</definedName>
    <definedName name="HTML_PathFile" localSheetId="0" hidden="1">"C:\FC BOSSERT\MyHTML.htm"</definedName>
    <definedName name="HTML_PathFile" localSheetId="1" hidden="1">"C:\FC BOSSERT\MyHTML.htm"</definedName>
    <definedName name="HTML_PathFile" hidden="1">"G:\Finance\COGNOS\PPLAY\Test_Reports\HTML_Test\Mgmt_Test1005.htm"</definedName>
    <definedName name="HTML_Title" localSheetId="0" hidden="1">"1-Sept 99"</definedName>
    <definedName name="HTML_Title" localSheetId="1" hidden="1">"1-Sept 99"</definedName>
    <definedName name="HTML_Title" hidden="1">"1005"</definedName>
    <definedName name="hugi" localSheetId="0">#REF!</definedName>
    <definedName name="hugi" localSheetId="1">#REF!</definedName>
    <definedName name="hugi" localSheetId="4">#REF!</definedName>
    <definedName name="hugi">#REF!</definedName>
    <definedName name="huts" localSheetId="0">#REF!</definedName>
    <definedName name="huts" localSheetId="1">#REF!</definedName>
    <definedName name="huts">[26]offices!#REF!</definedName>
    <definedName name="i" hidden="1">#N/A</definedName>
    <definedName name="IC" localSheetId="0">#REF!</definedName>
    <definedName name="IC" localSheetId="1">#REF!</definedName>
    <definedName name="IC" localSheetId="4">#REF!</definedName>
    <definedName name="IC">#REF!</definedName>
    <definedName name="Icurry" localSheetId="0">#REF!</definedName>
    <definedName name="Icurry" localSheetId="1">#REF!</definedName>
    <definedName name="Icurry" localSheetId="4">#REF!</definedName>
    <definedName name="Icurry">#REF!</definedName>
    <definedName name="idays" localSheetId="4">#REF!</definedName>
    <definedName name="idays">#REF!</definedName>
    <definedName name="ih" localSheetId="4">#REF!</definedName>
    <definedName name="ih">#REF!</definedName>
    <definedName name="ii" localSheetId="4" hidden="1">#REF!</definedName>
    <definedName name="ii" hidden="1">#REF!</definedName>
    <definedName name="ikey" localSheetId="4">#REF!</definedName>
    <definedName name="ikey">#REF!</definedName>
    <definedName name="IM" localSheetId="0">#REF!</definedName>
    <definedName name="IM" localSheetId="1">#REF!</definedName>
    <definedName name="IM">'[9]SUPPLEMENTARY SHEETS'!#REF!</definedName>
    <definedName name="Inc" localSheetId="0">#REF!</definedName>
    <definedName name="Inc" localSheetId="1">#REF!</definedName>
    <definedName name="Inc" localSheetId="4">#REF!</definedName>
    <definedName name="Inc">#REF!</definedName>
    <definedName name="Inc_Tax_Payable" localSheetId="0">#REF!</definedName>
    <definedName name="Inc_Tax_Payable" localSheetId="1">#REF!</definedName>
    <definedName name="Inc_Tax_Payable" localSheetId="4">#REF!</definedName>
    <definedName name="Inc_Tax_Payable">#REF!</definedName>
    <definedName name="income" localSheetId="4">#REF!</definedName>
    <definedName name="income">#REF!</definedName>
    <definedName name="income_sens" localSheetId="0">#REF!</definedName>
    <definedName name="income_sens" localSheetId="1">#REF!</definedName>
    <definedName name="income_sens">'[24]Devco Cashflow'!#REF!</definedName>
    <definedName name="Income2" localSheetId="0">#REF!</definedName>
    <definedName name="Income2" localSheetId="1">#REF!</definedName>
    <definedName name="Income2">[42]ESTIMATE!$A$1:$M$615</definedName>
    <definedName name="Ind_ERV" localSheetId="0">#REF!</definedName>
    <definedName name="Ind_ERV" localSheetId="1">#REF!</definedName>
    <definedName name="Ind_ERV" localSheetId="4">#REF!</definedName>
    <definedName name="Ind_ERV">#REF!</definedName>
    <definedName name="INDEX" localSheetId="0">#REF!</definedName>
    <definedName name="INDEX" localSheetId="1">#REF!</definedName>
    <definedName name="INDEX">[34]Cover!#REF!</definedName>
    <definedName name="IndiceDescription" localSheetId="0">#REF!</definedName>
    <definedName name="IndiceDescription" localSheetId="1">#REF!</definedName>
    <definedName name="IndiceDescription">[46]Index!$D$4:$D$11</definedName>
    <definedName name="inflation" localSheetId="0">#REF!</definedName>
    <definedName name="inflation" localSheetId="1">#REF!</definedName>
    <definedName name="inflation" localSheetId="4">#REF!</definedName>
    <definedName name="inflation">#REF!</definedName>
    <definedName name="Inflation_rate" localSheetId="0">#REF!</definedName>
    <definedName name="Inflation_rate" localSheetId="1">#REF!</definedName>
    <definedName name="Inflation_rate" localSheetId="4">#REF!</definedName>
    <definedName name="Inflation_rate">#REF!</definedName>
    <definedName name="InflationRate" localSheetId="0">#REF!</definedName>
    <definedName name="InflationRate" localSheetId="1">#REF!</definedName>
    <definedName name="InflationRate" localSheetId="4">#REF!</definedName>
    <definedName name="InflationRate">#REF!</definedName>
    <definedName name="infra_rates" localSheetId="4">#REF!</definedName>
    <definedName name="infra_rates">#REF!</definedName>
    <definedName name="Inherent_Risk_Rating" localSheetId="0">#REF!</definedName>
    <definedName name="Inherent_Risk_Rating" localSheetId="1">#REF!</definedName>
    <definedName name="Inherent_Risk_Rating" localSheetId="4">#REF!</definedName>
    <definedName name="Inherent_Risk_Rating">#REF!</definedName>
    <definedName name="Initial_Net_ERV" localSheetId="0">#REF!</definedName>
    <definedName name="Initial_Net_ERV" localSheetId="1">#REF!</definedName>
    <definedName name="Initial_Net_ERV" localSheetId="4">#REF!</definedName>
    <definedName name="Initial_Net_ERV">#REF!</definedName>
    <definedName name="Initial_Net_Passing_Rent" localSheetId="0">#REF!</definedName>
    <definedName name="Initial_Net_Passing_Rent" localSheetId="1">#REF!</definedName>
    <definedName name="Initial_Net_Passing_Rent" localSheetId="4">#REF!</definedName>
    <definedName name="Initial_Net_Passing_Rent">#REF!</definedName>
    <definedName name="Initial_T_o_rent" localSheetId="0">#REF!</definedName>
    <definedName name="Initial_T_o_rent" localSheetId="1">#REF!</definedName>
    <definedName name="Initial_T_o_rent" localSheetId="4">#REF!</definedName>
    <definedName name="Initial_T_o_rent">#REF!</definedName>
    <definedName name="Input" localSheetId="4">#REF!</definedName>
    <definedName name="Input">#REF!</definedName>
    <definedName name="INSERTROW" localSheetId="4">#REF!</definedName>
    <definedName name="INSERTROW">#REF!</definedName>
    <definedName name="Installation_quantity" localSheetId="0">#REF!</definedName>
    <definedName name="Installation_quantity" localSheetId="1">#REF!</definedName>
    <definedName name="Installation_quantity">[12]Variations!$E$29</definedName>
    <definedName name="Installation_rate" localSheetId="0">#REF!</definedName>
    <definedName name="Installation_rate" localSheetId="1">#REF!</definedName>
    <definedName name="Installation_rate">[12]Variations!$E$28</definedName>
    <definedName name="Instr" localSheetId="0">#REF!</definedName>
    <definedName name="Instr" localSheetId="1">#REF!</definedName>
    <definedName name="Instr" localSheetId="4">#REF!</definedName>
    <definedName name="Instr">#REF!</definedName>
    <definedName name="Insul" localSheetId="0">#REF!</definedName>
    <definedName name="Insul" localSheetId="1">#REF!</definedName>
    <definedName name="Insul" localSheetId="4">#REF!</definedName>
    <definedName name="Insul">#REF!</definedName>
    <definedName name="Insulation" localSheetId="0">#REF!</definedName>
    <definedName name="Insulation" localSheetId="1">#REF!</definedName>
    <definedName name="Insulation">'[35]@RISK Correlations'!$C$13:$F$16</definedName>
    <definedName name="Insurance" localSheetId="0">#REF!</definedName>
    <definedName name="Insurance" localSheetId="1">#REF!</definedName>
    <definedName name="Insurance" localSheetId="4">#REF!</definedName>
    <definedName name="Insurance">#REF!</definedName>
    <definedName name="intb4" localSheetId="0">#REF!</definedName>
    <definedName name="intb4" localSheetId="1">#REF!</definedName>
    <definedName name="intb4" localSheetId="4">#REF!</definedName>
    <definedName name="intb4">#REF!</definedName>
    <definedName name="intb5" localSheetId="4">#REF!</definedName>
    <definedName name="intb5">#REF!</definedName>
    <definedName name="intbp1" localSheetId="4">#REF!</definedName>
    <definedName name="intbp1">#REF!</definedName>
    <definedName name="intbp2" localSheetId="4">#REF!</definedName>
    <definedName name="intbp2">#REF!</definedName>
    <definedName name="intbp3" localSheetId="4">#REF!</definedName>
    <definedName name="intbp3">#REF!</definedName>
    <definedName name="intds1" localSheetId="4">#REF!</definedName>
    <definedName name="intds1">#REF!</definedName>
    <definedName name="intds2" localSheetId="4">#REF!</definedName>
    <definedName name="intds2">#REF!</definedName>
    <definedName name="intds3" localSheetId="4">#REF!</definedName>
    <definedName name="intds3">#REF!</definedName>
    <definedName name="intds4" localSheetId="4">#REF!</definedName>
    <definedName name="intds4">#REF!</definedName>
    <definedName name="intds5" localSheetId="4">#REF!</definedName>
    <definedName name="intds5">#REF!</definedName>
    <definedName name="intds6" localSheetId="4">#REF!</definedName>
    <definedName name="intds6">#REF!</definedName>
    <definedName name="intds8p" localSheetId="4">#REF!</definedName>
    <definedName name="intds8p">#REF!</definedName>
    <definedName name="intds8r" localSheetId="4">#REF!</definedName>
    <definedName name="intds8r">#REF!</definedName>
    <definedName name="Interest_Rate" localSheetId="4">#REF!</definedName>
    <definedName name="Interest_Rate">#REF!</definedName>
    <definedName name="inthq1" localSheetId="4">#REF!</definedName>
    <definedName name="inthq1">#REF!</definedName>
    <definedName name="inthq2" localSheetId="4">#REF!</definedName>
    <definedName name="inthq2">#REF!</definedName>
    <definedName name="inthq3" localSheetId="4">#REF!</definedName>
    <definedName name="inthq3">#REF!</definedName>
    <definedName name="inthq4a" localSheetId="4">#REF!</definedName>
    <definedName name="inthq4a">#REF!</definedName>
    <definedName name="inthq5" localSheetId="4">#REF!</definedName>
    <definedName name="inthq5">#REF!</definedName>
    <definedName name="IntRate" localSheetId="4">#REF!</definedName>
    <definedName name="IntRate">#REF!</definedName>
    <definedName name="intrt2p" localSheetId="4">#REF!</definedName>
    <definedName name="intrt2p">#REF!</definedName>
    <definedName name="intrt2r" localSheetId="4">#REF!</definedName>
    <definedName name="intrt2r">#REF!</definedName>
    <definedName name="intwf9" localSheetId="4">#REF!</definedName>
    <definedName name="intwf9">#REF!</definedName>
    <definedName name="Inv_Pack" localSheetId="4">#REF!</definedName>
    <definedName name="Inv_Pack">#REF!</definedName>
    <definedName name="invdr" localSheetId="4">#REF!</definedName>
    <definedName name="invdr">#REF!</definedName>
    <definedName name="InvPrio" localSheetId="4">#REF!</definedName>
    <definedName name="InvPrio">#REF!</definedName>
    <definedName name="Invst_Total_LY" localSheetId="4">#REF!</definedName>
    <definedName name="Invst_Total_LY">#REF!</definedName>
    <definedName name="iop" localSheetId="0" hidden="1">{#N/A,#N/A,TRUE,"COVER";#N/A,#N/A,TRUE,"DETAILS";#N/A,#N/A,TRUE,"SUMMARY";#N/A,#N/A,TRUE,"EXP MON";#N/A,#N/A,TRUE,"APPENDIX A";#N/A,#N/A,TRUE,"APPENDIX B";#N/A,#N/A,TRUE,"APPENDIX C";#N/A,#N/A,TRUE,"APPENDIX D";#N/A,#N/A,TRUE,"APPENDIX E";#N/A,#N/A,TRUE,"APPENDIX F";#N/A,#N/A,TRUE,"APPENDIX G"}</definedName>
    <definedName name="iop" localSheetId="1" hidden="1">{#N/A,#N/A,TRUE,"COVER";#N/A,#N/A,TRUE,"DETAILS";#N/A,#N/A,TRUE,"SUMMARY";#N/A,#N/A,TRUE,"EXP MON";#N/A,#N/A,TRUE,"APPENDIX A";#N/A,#N/A,TRUE,"APPENDIX B";#N/A,#N/A,TRUE,"APPENDIX C";#N/A,#N/A,TRUE,"APPENDIX D";#N/A,#N/A,TRUE,"APPENDIX E";#N/A,#N/A,TRUE,"APPENDIX F";#N/A,#N/A,TRUE,"APPENDIX G"}</definedName>
    <definedName name="iop" localSheetId="4" hidden="1">{#N/A,#N/A,TRUE,"COVER";#N/A,#N/A,TRUE,"DETAILS";#N/A,#N/A,TRUE,"SUMMARY";#N/A,#N/A,TRUE,"EXP MON";#N/A,#N/A,TRUE,"APPENDIX A";#N/A,#N/A,TRUE,"APPENDIX B";#N/A,#N/A,TRUE,"APPENDIX C";#N/A,#N/A,TRUE,"APPENDIX D";#N/A,#N/A,TRUE,"APPENDIX E";#N/A,#N/A,TRUE,"APPENDIX F";#N/A,#N/A,TRUE,"APPENDIX G"}</definedName>
    <definedName name="iop" hidden="1">{#N/A,#N/A,TRUE,"COVER";#N/A,#N/A,TRUE,"DETAILS";#N/A,#N/A,TRUE,"SUMMARY";#N/A,#N/A,TRUE,"EXP MON";#N/A,#N/A,TRUE,"APPENDIX A";#N/A,#N/A,TRUE,"APPENDIX B";#N/A,#N/A,TRUE,"APPENDIX C";#N/A,#N/A,TRUE,"APPENDIX D";#N/A,#N/A,TRUE,"APPENDIX E";#N/A,#N/A,TRUE,"APPENDIX F";#N/A,#N/A,TRUE,"APPENDIX G"}</definedName>
    <definedName name="IPD_benchmark" localSheetId="0">#REF!</definedName>
    <definedName name="IPD_benchmark" localSheetId="1">#REF!</definedName>
    <definedName name="IPD_benchmark" localSheetId="4">#REF!</definedName>
    <definedName name="IPD_benchmark">#REF!</definedName>
    <definedName name="IPD_growth_Rate" localSheetId="0">#REF!</definedName>
    <definedName name="IPD_growth_Rate" localSheetId="1">#REF!</definedName>
    <definedName name="IPD_growth_Rate" localSheetId="4">#REF!</definedName>
    <definedName name="IPD_growth_Rate">#REF!</definedName>
    <definedName name="Ironomng" localSheetId="0">#REF!</definedName>
    <definedName name="Ironomng" localSheetId="1">#REF!</definedName>
    <definedName name="Ironomng">[19]BOQ!$C$381</definedName>
    <definedName name="irp" localSheetId="0">#REF!</definedName>
    <definedName name="irp" localSheetId="1">#REF!</definedName>
    <definedName name="irp" localSheetId="4">#REF!</definedName>
    <definedName name="irp">#REF!</definedName>
    <definedName name="irpd" localSheetId="0">#REF!</definedName>
    <definedName name="irpd" localSheetId="1">#REF!</definedName>
    <definedName name="irpd" localSheetId="4">#REF!</definedName>
    <definedName name="irpd">#REF!</definedName>
    <definedName name="IRR" localSheetId="4">#REF!</definedName>
    <definedName name="IRR">#REF!</definedName>
    <definedName name="issue" localSheetId="4">#REF!</definedName>
    <definedName name="issue">#REF!</definedName>
    <definedName name="Issue_Date" localSheetId="0">#REF!</definedName>
    <definedName name="Issue_Date" localSheetId="1">#REF!</definedName>
    <definedName name="Issue_Date">[2]Equip!#REF!</definedName>
    <definedName name="Issued_for" localSheetId="0">#REF!</definedName>
    <definedName name="Issued_for" localSheetId="1">#REF!</definedName>
    <definedName name="Issued_for" localSheetId="4">#REF!</definedName>
    <definedName name="Issued_for">#REF!</definedName>
    <definedName name="IT" localSheetId="0">#REF!</definedName>
    <definedName name="IT" localSheetId="1">#REF!</definedName>
    <definedName name="IT" localSheetId="4">#REF!</definedName>
    <definedName name="IT">#REF!</definedName>
    <definedName name="ITALLOC" localSheetId="4">#REF!</definedName>
    <definedName name="ITALLOC">#REF!</definedName>
    <definedName name="ITEM_NOI2____DETAILS_OF_SAVINGS" localSheetId="0">#REF!</definedName>
    <definedName name="ITEM_NOI2____DETAILS_OF_SAVINGS" localSheetId="1">#REF!</definedName>
    <definedName name="ITEM_NOI2____DETAILS_OF_SAVINGS">'[44]FR-PROVSNL-SUM-DETAIL'!#REF!</definedName>
    <definedName name="Iterations" localSheetId="0">#REF!</definedName>
    <definedName name="Iterations" localSheetId="1">#REF!</definedName>
    <definedName name="Iterations" localSheetId="4">#REF!</definedName>
    <definedName name="Iterations">#REF!</definedName>
    <definedName name="ITL" localSheetId="0">#REF!</definedName>
    <definedName name="ITL" localSheetId="1">#REF!</definedName>
    <definedName name="ITL" localSheetId="4">#REF!</definedName>
    <definedName name="ITL">#REF!</definedName>
    <definedName name="iutryu" localSheetId="4">#REF!</definedName>
    <definedName name="iutryu">#REF!</definedName>
    <definedName name="j" localSheetId="0">#REF!</definedName>
    <definedName name="j" localSheetId="1">#REF!</definedName>
    <definedName name="j" localSheetId="4">#REF!</definedName>
    <definedName name="j">#REF!</definedName>
    <definedName name="J_CONSULTANCY" localSheetId="4">#REF!</definedName>
    <definedName name="J_CONSULTANCY">#REF!</definedName>
    <definedName name="JBJKH" localSheetId="4">#REF!</definedName>
    <definedName name="JBJKH">#REF!</definedName>
    <definedName name="jcdc" hidden="1">#N/A</definedName>
    <definedName name="JCT_WORDS" localSheetId="0">#REF!</definedName>
    <definedName name="JCT_WORDS" localSheetId="1">#REF!</definedName>
    <definedName name="JCT_WORDS">[27]Uniliever!#REF!</definedName>
    <definedName name="JCTCODE" localSheetId="0">#REF!</definedName>
    <definedName name="JCTCODE" localSheetId="1">#REF!</definedName>
    <definedName name="JCTCODE">[27]Uniliever!#REF!</definedName>
    <definedName name="JCTMENU" localSheetId="0">#REF!</definedName>
    <definedName name="JCTMENU" localSheetId="1">#REF!</definedName>
    <definedName name="JCTMENU">[27]Uniliever!#REF!</definedName>
    <definedName name="jff" localSheetId="0">#REF!</definedName>
    <definedName name="jff" localSheetId="1">#REF!</definedName>
    <definedName name="jff">[22]INDEX!#REF!</definedName>
    <definedName name="JFM" localSheetId="0">RiskCellHasTokens(512)</definedName>
    <definedName name="JFM" localSheetId="1">RiskCellHasTokens(512)</definedName>
    <definedName name="JFM" localSheetId="4">RiskCellHasTokens(512)</definedName>
    <definedName name="JFM">RiskCellHasTokens(512)</definedName>
    <definedName name="jgf" localSheetId="0">#REF!</definedName>
    <definedName name="jgf" localSheetId="1">#REF!</definedName>
    <definedName name="jgf">[43]AREAS!$A$6:$I$47</definedName>
    <definedName name="jgfuygl" localSheetId="0">#REF!</definedName>
    <definedName name="jgfuygl" localSheetId="1">#REF!</definedName>
    <definedName name="jgfuygl" localSheetId="4">#REF!</definedName>
    <definedName name="jgfuygl">#REF!</definedName>
    <definedName name="jggkg" localSheetId="0">#REF!</definedName>
    <definedName name="jggkg" localSheetId="1">#REF!</definedName>
    <definedName name="jggkg">[22]INDEX!#REF!</definedName>
    <definedName name="jghj" hidden="1">#N/A</definedName>
    <definedName name="JGHKGK" localSheetId="0">#REF!</definedName>
    <definedName name="JGHKGK" localSheetId="1">#REF!</definedName>
    <definedName name="JGHKGK">'[47]SALES &amp; RETURNS'!$A$1:$J$5</definedName>
    <definedName name="jgjg" localSheetId="0">#REF!</definedName>
    <definedName name="jgjg" localSheetId="1">#REF!</definedName>
    <definedName name="jgjg">[22]INDEX!#REF!</definedName>
    <definedName name="JHBJKG" localSheetId="0">#REF!</definedName>
    <definedName name="JHBJKG" localSheetId="1">#REF!</definedName>
    <definedName name="JHBJKG">[47]WORKINGS!$A$1:$Q$3</definedName>
    <definedName name="JHFFFK" localSheetId="0">#REF!</definedName>
    <definedName name="JHFFFK" localSheetId="1">#REF!</definedName>
    <definedName name="JHFFFK">[48]WORKINGS!$A$1:$O$3</definedName>
    <definedName name="jhfiyteiy5ej" localSheetId="0">#REF!</definedName>
    <definedName name="jhfiyteiy5ej" localSheetId="1">#REF!</definedName>
    <definedName name="jhfiyteiy5ej">[19]WORKINGS!$A$1:$N$3</definedName>
    <definedName name="jhfjf" localSheetId="0">#REF!</definedName>
    <definedName name="jhfjf" localSheetId="1">#REF!</definedName>
    <definedName name="jhfjf" localSheetId="4">#REF!</definedName>
    <definedName name="jhfjf">#REF!</definedName>
    <definedName name="JHFLYUF" localSheetId="0">#REF!</definedName>
    <definedName name="JHFLYUF" localSheetId="1">#REF!</definedName>
    <definedName name="JHFLYUF">[19]WORKINGS!$A$1:$N$3</definedName>
    <definedName name="jhfyukf" localSheetId="0">#REF!</definedName>
    <definedName name="jhfyukf" localSheetId="1">#REF!</definedName>
    <definedName name="jhfyukf">[23]AREAS!$A$1:$I$5</definedName>
    <definedName name="jhgfghdk" localSheetId="0">#REF!</definedName>
    <definedName name="jhgfghdk" localSheetId="1">#REF!</definedName>
    <definedName name="jhgfghdk">[19]AREAS!$A$6:$I$47</definedName>
    <definedName name="jhgjhfgl" localSheetId="0">#REF!</definedName>
    <definedName name="jhgjhfgl" localSheetId="1">#REF!</definedName>
    <definedName name="jhgjhfgl">[49]WORKINGS!$A$1:$N$3</definedName>
    <definedName name="jhgljyfly" localSheetId="0">#REF!</definedName>
    <definedName name="jhgljyfly" localSheetId="1">#REF!</definedName>
    <definedName name="jhgljyfly">[19]AREAS!$A$1:$I$5</definedName>
    <definedName name="JHH" localSheetId="0">#REF!</definedName>
    <definedName name="JHH" localSheetId="1">#REF!</definedName>
    <definedName name="JHH">'[48]SALES &amp; RETURNS'!$A$4:$I$39</definedName>
    <definedName name="jhhihy" localSheetId="0">#REF!</definedName>
    <definedName name="jhhihy" localSheetId="1">#REF!</definedName>
    <definedName name="jhhihy" localSheetId="4">#REF!</definedName>
    <definedName name="jhhihy">#REF!</definedName>
    <definedName name="jhjh" localSheetId="0">#REF!</definedName>
    <definedName name="jhjh" localSheetId="1">#REF!</definedName>
    <definedName name="jhjh">[22]INDEX!#REF!</definedName>
    <definedName name="jhjk" localSheetId="0">#REF!</definedName>
    <definedName name="jhjk" localSheetId="1">#REF!</definedName>
    <definedName name="jhjk" localSheetId="4">#REF!</definedName>
    <definedName name="jhjk">#REF!</definedName>
    <definedName name="JHJKL" localSheetId="0">#REF!</definedName>
    <definedName name="JHJKL" localSheetId="1">#REF!</definedName>
    <definedName name="JHJKL">'[47]SALES &amp; RETURNS'!$A$6:$J$44</definedName>
    <definedName name="jhyfhktfiytk" localSheetId="0">#REF!</definedName>
    <definedName name="jhyfhktfiytk" localSheetId="1">#REF!</definedName>
    <definedName name="jhyfhktfiytk">[44]AREAS!$A$6:$I$41</definedName>
    <definedName name="JIM" localSheetId="0">#REF!</definedName>
    <definedName name="JIM" localSheetId="1">#REF!</definedName>
    <definedName name="JIM" localSheetId="4">#REF!</definedName>
    <definedName name="JIM">#REF!</definedName>
    <definedName name="jj" localSheetId="0">#REF!</definedName>
    <definedName name="jj" localSheetId="1">#REF!</definedName>
    <definedName name="jj" localSheetId="4">#REF!</definedName>
    <definedName name="jj">#REF!</definedName>
    <definedName name="jjb3wdkjb" localSheetId="0">#REF!</definedName>
    <definedName name="jjb3wdkjb" localSheetId="1">#REF!</definedName>
    <definedName name="jjb3wdkjb" localSheetId="4">#REF!</definedName>
    <definedName name="jjb3wdkjb">#REF!</definedName>
    <definedName name="jjhh" localSheetId="0">#REF!</definedName>
    <definedName name="jjhh" localSheetId="1">#REF!</definedName>
    <definedName name="jjhh">[22]INDEX!#REF!</definedName>
    <definedName name="jkbkjgk" localSheetId="0">#REF!</definedName>
    <definedName name="jkbkjgk" localSheetId="1">#REF!</definedName>
    <definedName name="jkbkjgk">[23]AREAS!$A$6:$I$47</definedName>
    <definedName name="JKBR" localSheetId="0">#REF!</definedName>
    <definedName name="JKBR" localSheetId="1">#REF!</definedName>
    <definedName name="JKBR" localSheetId="4">#REF!</definedName>
    <definedName name="JKBR">#REF!</definedName>
    <definedName name="jkgjgk" localSheetId="0">#REF!</definedName>
    <definedName name="jkgjgk" localSheetId="1">#REF!</definedName>
    <definedName name="jkgjgk">[22]COVER!#REF!</definedName>
    <definedName name="jkglg" localSheetId="0">#REF!</definedName>
    <definedName name="jkglg" localSheetId="1">#REF!</definedName>
    <definedName name="jkglg">[41]AREAS!$A$6:$I$74</definedName>
    <definedName name="Job_No." localSheetId="0">#REF!</definedName>
    <definedName name="Job_No." localSheetId="1">#REF!</definedName>
    <definedName name="Job_No.">[2]Equip!#REF!</definedName>
    <definedName name="john" localSheetId="0" hidden="1">{#N/A,#N/A,TRUE,"COVER";#N/A,#N/A,TRUE,"DETAILS";#N/A,#N/A,TRUE,"SUMMARY";#N/A,#N/A,TRUE,"EXP MON";#N/A,#N/A,TRUE,"APPENDIX A";#N/A,#N/A,TRUE,"APPENDIX B";#N/A,#N/A,TRUE,"APPENDIX C";#N/A,#N/A,TRUE,"APPENDIX D";#N/A,#N/A,TRUE,"APPENDIX E";#N/A,#N/A,TRUE,"APPENDIX F";#N/A,#N/A,TRUE,"APPENDIX G"}</definedName>
    <definedName name="john" localSheetId="1" hidden="1">{#N/A,#N/A,TRUE,"COVER";#N/A,#N/A,TRUE,"DETAILS";#N/A,#N/A,TRUE,"SUMMARY";#N/A,#N/A,TRUE,"EXP MON";#N/A,#N/A,TRUE,"APPENDIX A";#N/A,#N/A,TRUE,"APPENDIX B";#N/A,#N/A,TRUE,"APPENDIX C";#N/A,#N/A,TRUE,"APPENDIX D";#N/A,#N/A,TRUE,"APPENDIX E";#N/A,#N/A,TRUE,"APPENDIX F";#N/A,#N/A,TRUE,"APPENDIX G"}</definedName>
    <definedName name="john" localSheetId="4" hidden="1">{#N/A,#N/A,TRUE,"COVER";#N/A,#N/A,TRUE,"DETAILS";#N/A,#N/A,TRUE,"SUMMARY";#N/A,#N/A,TRUE,"EXP MON";#N/A,#N/A,TRUE,"APPENDIX A";#N/A,#N/A,TRUE,"APPENDIX B";#N/A,#N/A,TRUE,"APPENDIX C";#N/A,#N/A,TRUE,"APPENDIX D";#N/A,#N/A,TRUE,"APPENDIX E";#N/A,#N/A,TRUE,"APPENDIX F";#N/A,#N/A,TRUE,"APPENDIX G"}</definedName>
    <definedName name="john" hidden="1">{#N/A,#N/A,TRUE,"COVER";#N/A,#N/A,TRUE,"DETAILS";#N/A,#N/A,TRUE,"SUMMARY";#N/A,#N/A,TRUE,"EXP MON";#N/A,#N/A,TRUE,"APPENDIX A";#N/A,#N/A,TRUE,"APPENDIX B";#N/A,#N/A,TRUE,"APPENDIX C";#N/A,#N/A,TRUE,"APPENDIX D";#N/A,#N/A,TRUE,"APPENDIX E";#N/A,#N/A,TRUE,"APPENDIX F";#N/A,#N/A,TRUE,"APPENDIX G"}</definedName>
    <definedName name="JOResProf" localSheetId="0">#REF!</definedName>
    <definedName name="JOResProf" localSheetId="1">#REF!</definedName>
    <definedName name="JOResProf" localSheetId="4">#REF!</definedName>
    <definedName name="JOResProf">#REF!</definedName>
    <definedName name="jorge" localSheetId="0" hidden="1">{#N/A,#N/A,FALSE,"GERAL";#N/A,#N/A,FALSE,"012-96";#N/A,#N/A,FALSE,"018-96";#N/A,#N/A,FALSE,"027-96";#N/A,#N/A,FALSE,"059-96";#N/A,#N/A,FALSE,"076-96";#N/A,#N/A,FALSE,"019-97";#N/A,#N/A,FALSE,"021-97";#N/A,#N/A,FALSE,"022-97";#N/A,#N/A,FALSE,"028-97"}</definedName>
    <definedName name="jorge" localSheetId="1" hidden="1">{#N/A,#N/A,FALSE,"GERAL";#N/A,#N/A,FALSE,"012-96";#N/A,#N/A,FALSE,"018-96";#N/A,#N/A,FALSE,"027-96";#N/A,#N/A,FALSE,"059-96";#N/A,#N/A,FALSE,"076-96";#N/A,#N/A,FALSE,"019-97";#N/A,#N/A,FALSE,"021-97";#N/A,#N/A,FALSE,"022-97";#N/A,#N/A,FALSE,"028-97"}</definedName>
    <definedName name="jorge" localSheetId="4" hidden="1">{#N/A,#N/A,FALSE,"GERAL";#N/A,#N/A,FALSE,"012-96";#N/A,#N/A,FALSE,"018-96";#N/A,#N/A,FALSE,"027-96";#N/A,#N/A,FALSE,"059-96";#N/A,#N/A,FALSE,"076-96";#N/A,#N/A,FALSE,"019-97";#N/A,#N/A,FALSE,"021-97";#N/A,#N/A,FALSE,"022-97";#N/A,#N/A,FALSE,"028-97"}</definedName>
    <definedName name="jorge" hidden="1">{#N/A,#N/A,FALSE,"GERAL";#N/A,#N/A,FALSE,"012-96";#N/A,#N/A,FALSE,"018-96";#N/A,#N/A,FALSE,"027-96";#N/A,#N/A,FALSE,"059-96";#N/A,#N/A,FALSE,"076-96";#N/A,#N/A,FALSE,"019-97";#N/A,#N/A,FALSE,"021-97";#N/A,#N/A,FALSE,"022-97";#N/A,#N/A,FALSE,"028-97"}</definedName>
    <definedName name="JOSupProf" localSheetId="0">#REF!</definedName>
    <definedName name="JOSupProf" localSheetId="1">#REF!</definedName>
    <definedName name="JOSupProf" localSheetId="4">#REF!</definedName>
    <definedName name="JOSupProf">#REF!</definedName>
    <definedName name="JPY" localSheetId="0">#REF!</definedName>
    <definedName name="JPY" localSheetId="1">#REF!</definedName>
    <definedName name="JPY" localSheetId="4">#REF!</definedName>
    <definedName name="JPY">#REF!</definedName>
    <definedName name="JYYFYR" localSheetId="0">#REF!</definedName>
    <definedName name="JYYFYR" localSheetId="1">#REF!</definedName>
    <definedName name="JYYFYR" localSheetId="4">#REF!</definedName>
    <definedName name="JYYFYR">#REF!</definedName>
    <definedName name="k" localSheetId="4">#REF!</definedName>
    <definedName name="k">#REF!</definedName>
    <definedName name="Keith" localSheetId="0" hidden="1">{#N/A,#N/A,TRUE,"COVER";#N/A,#N/A,TRUE,"DETAILS";#N/A,#N/A,TRUE,"SUMMARY";#N/A,#N/A,TRUE,"EXP MON";#N/A,#N/A,TRUE,"APPENDIX A";#N/A,#N/A,TRUE,"APPENDIX B";#N/A,#N/A,TRUE,"APPENDIX C";#N/A,#N/A,TRUE,"APPENDIX D";#N/A,#N/A,TRUE,"APPENDIX E";#N/A,#N/A,TRUE,"APPENDIX F";#N/A,#N/A,TRUE,"APPENDIX G"}</definedName>
    <definedName name="Keith" localSheetId="1" hidden="1">{#N/A,#N/A,TRUE,"COVER";#N/A,#N/A,TRUE,"DETAILS";#N/A,#N/A,TRUE,"SUMMARY";#N/A,#N/A,TRUE,"EXP MON";#N/A,#N/A,TRUE,"APPENDIX A";#N/A,#N/A,TRUE,"APPENDIX B";#N/A,#N/A,TRUE,"APPENDIX C";#N/A,#N/A,TRUE,"APPENDIX D";#N/A,#N/A,TRUE,"APPENDIX E";#N/A,#N/A,TRUE,"APPENDIX F";#N/A,#N/A,TRUE,"APPENDIX G"}</definedName>
    <definedName name="Keith" localSheetId="4" hidden="1">{#N/A,#N/A,TRUE,"COVER";#N/A,#N/A,TRUE,"DETAILS";#N/A,#N/A,TRUE,"SUMMARY";#N/A,#N/A,TRUE,"EXP MON";#N/A,#N/A,TRUE,"APPENDIX A";#N/A,#N/A,TRUE,"APPENDIX B";#N/A,#N/A,TRUE,"APPENDIX C";#N/A,#N/A,TRUE,"APPENDIX D";#N/A,#N/A,TRUE,"APPENDIX E";#N/A,#N/A,TRUE,"APPENDIX F";#N/A,#N/A,TRUE,"APPENDIX G"}</definedName>
    <definedName name="Keith" hidden="1">{#N/A,#N/A,TRUE,"COVER";#N/A,#N/A,TRUE,"DETAILS";#N/A,#N/A,TRUE,"SUMMARY";#N/A,#N/A,TRUE,"EXP MON";#N/A,#N/A,TRUE,"APPENDIX A";#N/A,#N/A,TRUE,"APPENDIX B";#N/A,#N/A,TRUE,"APPENDIX C";#N/A,#N/A,TRUE,"APPENDIX D";#N/A,#N/A,TRUE,"APPENDIX E";#N/A,#N/A,TRUE,"APPENDIX F";#N/A,#N/A,TRUE,"APPENDIX G"}</definedName>
    <definedName name="KeyCode" localSheetId="0">#REF!</definedName>
    <definedName name="KeyCode" localSheetId="1">#REF!</definedName>
    <definedName name="KeyCode" localSheetId="4">#REF!</definedName>
    <definedName name="KeyCode">#REF!</definedName>
    <definedName name="keyworker_value_dv" localSheetId="0">#REF!</definedName>
    <definedName name="keyworker_value_dv" localSheetId="1">#REF!</definedName>
    <definedName name="keyworker_value_dv">[45]Sensitivities!#REF!</definedName>
    <definedName name="keyworker_value_dv_check" localSheetId="0">#REF!</definedName>
    <definedName name="keyworker_value_dv_check" localSheetId="1">#REF!</definedName>
    <definedName name="keyworker_value_dv_check">[45]Sensitivities!#REF!</definedName>
    <definedName name="kg2oz">32.1507</definedName>
    <definedName name="kgg" localSheetId="0">#REF!</definedName>
    <definedName name="kgg" localSheetId="1">#REF!</definedName>
    <definedName name="kgg" localSheetId="4">#REF!</definedName>
    <definedName name="kgg">#REF!</definedName>
    <definedName name="kgkg" localSheetId="0">#REF!</definedName>
    <definedName name="kgkg" localSheetId="1">#REF!</definedName>
    <definedName name="kgkg" localSheetId="4">#REF!</definedName>
    <definedName name="kgkg">#REF!</definedName>
    <definedName name="kgytgyitg" localSheetId="0">#REF!</definedName>
    <definedName name="kgytgyitg" localSheetId="1">#REF!</definedName>
    <definedName name="kgytgyitg">[44]WORKINGS!$A$1:$N$3</definedName>
    <definedName name="khgjhfljfj" localSheetId="0">#REF!</definedName>
    <definedName name="khgjhfljfj" localSheetId="1">#REF!</definedName>
    <definedName name="khgjhfljfj">[19]AREAS!$A$1:$I$5</definedName>
    <definedName name="KHGVK.H" localSheetId="0">#REF!</definedName>
    <definedName name="KHGVK.H" localSheetId="1">#REF!</definedName>
    <definedName name="KHGVK.H">[19]AREAS!$A$6:$I$47</definedName>
    <definedName name="kjgj" localSheetId="0">#REF!</definedName>
    <definedName name="kjgj" localSheetId="1">#REF!</definedName>
    <definedName name="kjgj" localSheetId="4">#REF!</definedName>
    <definedName name="kjgj">#REF!</definedName>
    <definedName name="kjhkug" localSheetId="0">#REF!</definedName>
    <definedName name="kjhkug" localSheetId="1">#REF!</definedName>
    <definedName name="kjhkug">[23]WORKINGS!$A$1:$N$3</definedName>
    <definedName name="KJLKH" localSheetId="0">#REF!</definedName>
    <definedName name="KJLKH" localSheetId="1">#REF!</definedName>
    <definedName name="KJLKH">'[48]SALES &amp; RETURNS'!$A$1:$I$3</definedName>
    <definedName name="kk" localSheetId="0">#REF!</definedName>
    <definedName name="kk" localSheetId="1">#REF!</definedName>
    <definedName name="KK" localSheetId="4">#REF!</definedName>
    <definedName name="KK">#REF!</definedName>
    <definedName name="kkk" localSheetId="0">#REF!</definedName>
    <definedName name="kkk" localSheetId="1">#REF!</definedName>
    <definedName name="kkk">[21]AREAS!$A$1:$I$5</definedName>
    <definedName name="kllkh" localSheetId="0">#REF!</definedName>
    <definedName name="kllkh" localSheetId="1">#REF!</definedName>
    <definedName name="kllkh" localSheetId="4">#REF!</definedName>
    <definedName name="kllkh">#REF!</definedName>
    <definedName name="KW" localSheetId="0">#REF!</definedName>
    <definedName name="KW" localSheetId="1">#REF!</definedName>
    <definedName name="KW" localSheetId="4">#REF!</definedName>
    <definedName name="KW">#REF!</definedName>
    <definedName name="l" localSheetId="0" hidden="1">#REF!</definedName>
    <definedName name="l" localSheetId="1" hidden="1">#REF!</definedName>
    <definedName name="l" hidden="1">[5]PRELIMIN!#REF!</definedName>
    <definedName name="Labour_rates" localSheetId="0">#REF!</definedName>
    <definedName name="Labour_rates" localSheetId="1">#REF!</definedName>
    <definedName name="Labour_rates">'[35]@RISK Correlations'!$C$21:$D$22</definedName>
    <definedName name="Labourcode" localSheetId="0">#REF!</definedName>
    <definedName name="Labourcode" localSheetId="1">#REF!</definedName>
    <definedName name="Labourcode" localSheetId="4">#REF!</definedName>
    <definedName name="Labourcode">#REF!</definedName>
    <definedName name="LabourRates" localSheetId="0">#REF!</definedName>
    <definedName name="LabourRates" localSheetId="1">#REF!</definedName>
    <definedName name="LabourRates">'[50]AH Labour Rate Summary'!$A$5:$L$18</definedName>
    <definedName name="LAND" localSheetId="0">#REF!</definedName>
    <definedName name="LAND" localSheetId="1">#REF!</definedName>
    <definedName name="LAND" localSheetId="4">#REF!</definedName>
    <definedName name="LAND">#REF!</definedName>
    <definedName name="land_cost" localSheetId="0">#REF!</definedName>
    <definedName name="land_cost" localSheetId="1">#REF!</definedName>
    <definedName name="land_cost">[51]Control!$K$15</definedName>
    <definedName name="land_rate" localSheetId="0">#REF!</definedName>
    <definedName name="land_rate" localSheetId="1">#REF!</definedName>
    <definedName name="land_rate" localSheetId="4">#REF!</definedName>
    <definedName name="land_rate">#REF!</definedName>
    <definedName name="land_value_switch" localSheetId="0">#REF!</definedName>
    <definedName name="land_value_switch" localSheetId="1">#REF!</definedName>
    <definedName name="land_value_switch">[51]Control!$K$18</definedName>
    <definedName name="Landings1" localSheetId="0">#REF!</definedName>
    <definedName name="Landings1" localSheetId="1">#REF!</definedName>
    <definedName name="Landings1" localSheetId="4">#REF!</definedName>
    <definedName name="Landings1">#REF!</definedName>
    <definedName name="Landings123" localSheetId="0">#REF!</definedName>
    <definedName name="Landings123" localSheetId="1">#REF!</definedName>
    <definedName name="Landings123" localSheetId="4">#REF!</definedName>
    <definedName name="Landings123">#REF!</definedName>
    <definedName name="Landings2" localSheetId="4">#REF!</definedName>
    <definedName name="Landings2">#REF!</definedName>
    <definedName name="Landings3" localSheetId="4">#REF!</definedName>
    <definedName name="Landings3">#REF!</definedName>
    <definedName name="Landscaping" localSheetId="0">#REF!</definedName>
    <definedName name="Landscaping" localSheetId="1">#REF!</definedName>
    <definedName name="Landscaping">[19]BOQ!$C$441</definedName>
    <definedName name="Landside_Airfield_Pvements" localSheetId="0">#REF!</definedName>
    <definedName name="Landside_Airfield_Pvements" localSheetId="1">#REF!</definedName>
    <definedName name="Landside_Airfield_Pvements" localSheetId="4">#REF!</definedName>
    <definedName name="Landside_Airfield_Pvements">#REF!</definedName>
    <definedName name="Landside_Baggage" localSheetId="0">#REF!</definedName>
    <definedName name="Landside_Baggage" localSheetId="1">#REF!</definedName>
    <definedName name="Landside_Baggage" localSheetId="4">#REF!</definedName>
    <definedName name="Landside_Baggage">#REF!</definedName>
    <definedName name="Landside_Envelope" localSheetId="4">#REF!</definedName>
    <definedName name="Landside_Envelope">#REF!</definedName>
    <definedName name="Landside_External_Services" localSheetId="4">#REF!</definedName>
    <definedName name="Landside_External_Services">#REF!</definedName>
    <definedName name="Landside_External_Structure" localSheetId="4">#REF!</definedName>
    <definedName name="Landside_External_Structure">#REF!</definedName>
    <definedName name="Landside_Fees" localSheetId="4">#REF!</definedName>
    <definedName name="Landside_Fees">#REF!</definedName>
    <definedName name="Landside_Furn_Fit" localSheetId="4">#REF!</definedName>
    <definedName name="Landside_Furn_Fit">#REF!</definedName>
    <definedName name="Landside_Interiors" localSheetId="4">#REF!</definedName>
    <definedName name="Landside_Interiors">#REF!</definedName>
    <definedName name="Landside_Landscaping" localSheetId="4">#REF!</definedName>
    <definedName name="Landside_Landscaping">#REF!</definedName>
    <definedName name="Landside_Logistics" localSheetId="4">#REF!</definedName>
    <definedName name="Landside_Logistics">#REF!</definedName>
    <definedName name="Landside_PAX_Transport" localSheetId="4">#REF!</definedName>
    <definedName name="Landside_PAX_Transport">#REF!</definedName>
    <definedName name="Landside_Rail" localSheetId="4">#REF!</definedName>
    <definedName name="Landside_Rail">#REF!</definedName>
    <definedName name="Landside_Services" localSheetId="4">#REF!</definedName>
    <definedName name="Landside_Services">#REF!</definedName>
    <definedName name="Landside_Site_Works" localSheetId="4">#REF!</definedName>
    <definedName name="Landside_Site_Works">#REF!</definedName>
    <definedName name="Landside_Specialist_Electrical" localSheetId="4">#REF!</definedName>
    <definedName name="Landside_Specialist_Electrical">#REF!</definedName>
    <definedName name="Landside_Substructure" localSheetId="4">#REF!</definedName>
    <definedName name="Landside_Substructure">#REF!</definedName>
    <definedName name="Landside_Superstructure" localSheetId="4">#REF!</definedName>
    <definedName name="Landside_Superstructure">#REF!</definedName>
    <definedName name="Landside_Surface_Works" localSheetId="4">#REF!</definedName>
    <definedName name="Landside_Surface_Works">#REF!</definedName>
    <definedName name="Landside_TTS" localSheetId="4">#REF!</definedName>
    <definedName name="Landside_TTS">#REF!</definedName>
    <definedName name="Lanside_Site_Works" localSheetId="4">#REF!</definedName>
    <definedName name="Lanside_Site_Works">#REF!</definedName>
    <definedName name="lb2ton">2204.6</definedName>
    <definedName name="Legal_Fees" localSheetId="0">#REF!</definedName>
    <definedName name="Legal_Fees" localSheetId="1">#REF!</definedName>
    <definedName name="Legal_Fees" localSheetId="4">#REF!</definedName>
    <definedName name="Legal_Fees">#REF!</definedName>
    <definedName name="Leva" localSheetId="0">#REF!</definedName>
    <definedName name="Leva" localSheetId="1">#REF!</definedName>
    <definedName name="Leva" localSheetId="4">#REF!</definedName>
    <definedName name="Leva">#REF!</definedName>
    <definedName name="Level" localSheetId="0">#REF!</definedName>
    <definedName name="Level" localSheetId="1">#REF!</definedName>
    <definedName name="Level" localSheetId="4">#REF!</definedName>
    <definedName name="Level">#REF!</definedName>
    <definedName name="Life_Grp" localSheetId="0">#REF!</definedName>
    <definedName name="Life_Grp" localSheetId="1">#REF!</definedName>
    <definedName name="Life_Grp" localSheetId="4">#REF!</definedName>
    <definedName name="Life_Grp">#REF!</definedName>
    <definedName name="LiftArc" localSheetId="0">#REF!</definedName>
    <definedName name="LiftArc" localSheetId="1">#REF!</definedName>
    <definedName name="LiftArc">[19]BOQ!$C$429</definedName>
    <definedName name="Lifts" localSheetId="0">#REF!</definedName>
    <definedName name="Lifts" localSheetId="1">#REF!</definedName>
    <definedName name="Lifts">[19]BOQ!$C$427</definedName>
    <definedName name="limcount" hidden="1">1</definedName>
    <definedName name="Limnbarren_makeupRange" localSheetId="0" hidden="1">#REF!</definedName>
    <definedName name="Limnbarren_makeupRange" localSheetId="1" hidden="1">#REF!</definedName>
    <definedName name="Limnbarren_makeupRange" localSheetId="4" hidden="1">#REF!</definedName>
    <definedName name="Limnbarren_makeupRange" hidden="1">#REF!</definedName>
    <definedName name="Limnbarren_solnRange" localSheetId="0" hidden="1">#REF!</definedName>
    <definedName name="Limnbarren_solnRange" localSheetId="1" hidden="1">#REF!</definedName>
    <definedName name="Limnbarren_solnRange" localSheetId="4" hidden="1">#REF!</definedName>
    <definedName name="Limnbarren_solnRange" hidden="1">#REF!</definedName>
    <definedName name="Limndust_suppRange" localSheetId="4" hidden="1">#REF!</definedName>
    <definedName name="Limndust_suppRange" hidden="1">#REF!</definedName>
    <definedName name="LimnFFFFRange" localSheetId="4" hidden="1">#REF!</definedName>
    <definedName name="LimnFFFFRange" hidden="1">#REF!</definedName>
    <definedName name="Limninter_makeupRange" localSheetId="4" hidden="1">#REF!</definedName>
    <definedName name="Limninter_makeupRange" hidden="1">#REF!</definedName>
    <definedName name="Limninter_precipRange" localSheetId="4" hidden="1">#REF!</definedName>
    <definedName name="Limninter_precipRange" hidden="1">#REF!</definedName>
    <definedName name="Limnlime_addRange" localSheetId="4" hidden="1">#REF!</definedName>
    <definedName name="Limnlime_addRange" hidden="1">#REF!</definedName>
    <definedName name="LimnPPP1Range" localSheetId="4" hidden="1">#REF!</definedName>
    <definedName name="LimnPPP1Range" hidden="1">#REF!</definedName>
    <definedName name="LimnPPP2Range" localSheetId="4" hidden="1">#REF!</definedName>
    <definedName name="LimnPPP2Range" hidden="1">#REF!</definedName>
    <definedName name="LimnPPP3Range" localSheetId="4" hidden="1">#REF!</definedName>
    <definedName name="LimnPPP3Range" hidden="1">#REF!</definedName>
    <definedName name="Limnpreg_precipRange" localSheetId="4" hidden="1">#REF!</definedName>
    <definedName name="Limnpreg_precipRange" hidden="1">#REF!</definedName>
    <definedName name="LimnRomRange" localSheetId="4" hidden="1">#REF!</definedName>
    <definedName name="LimnRomRange" hidden="1">#REF!</definedName>
    <definedName name="Limnspent_solnRange" localSheetId="4" hidden="1">#REF!</definedName>
    <definedName name="Limnspent_solnRange" hidden="1">#REF!</definedName>
    <definedName name="LIRA" localSheetId="4">#REF!</definedName>
    <definedName name="LIRA">#REF!</definedName>
    <definedName name="LIST" localSheetId="0">#REF!</definedName>
    <definedName name="LIST" localSheetId="1">#REF!</definedName>
    <definedName name="LIST" localSheetId="4">#REF!</definedName>
    <definedName name="LIST">#REF!</definedName>
    <definedName name="listBase" localSheetId="0" hidden="1">#REF!</definedName>
    <definedName name="listBase" localSheetId="1" hidden="1">#REF!</definedName>
    <definedName name="listBase" localSheetId="4" hidden="1">#REF!</definedName>
    <definedName name="listBase" hidden="1">#REF!</definedName>
    <definedName name="ListSize" localSheetId="0" hidden="1">#REF!</definedName>
    <definedName name="ListSize" localSheetId="1" hidden="1">#REF!</definedName>
    <definedName name="ListSize" localSheetId="4" hidden="1">#REF!</definedName>
    <definedName name="ListSize" hidden="1">#REF!</definedName>
    <definedName name="LiveWork_Area" localSheetId="0">#REF!</definedName>
    <definedName name="LiveWork_Area" localSheetId="1">#REF!</definedName>
    <definedName name="LiveWork_Area" localSheetId="4">#REF!</definedName>
    <definedName name="LiveWork_Area">#REF!</definedName>
    <definedName name="LiveWork_Rate" localSheetId="4">#REF!</definedName>
    <definedName name="LiveWork_Rate">#REF!</definedName>
    <definedName name="ll" localSheetId="4">#REF!</definedName>
    <definedName name="ll">#REF!</definedName>
    <definedName name="lle" localSheetId="4">#REF!</definedName>
    <definedName name="lle">#REF!</definedName>
    <definedName name="LLE_Holding" localSheetId="4">#REF!</definedName>
    <definedName name="LLE_Holding">#REF!</definedName>
    <definedName name="LLE_Lease" localSheetId="4">#REF!</definedName>
    <definedName name="LLE_Lease">#REF!</definedName>
    <definedName name="LLE_NPV" localSheetId="4">#REF!</definedName>
    <definedName name="LLE_NPV">#REF!</definedName>
    <definedName name="LLE_post_tax_irr" localSheetId="4">#REF!</definedName>
    <definedName name="LLE_post_tax_irr">#REF!</definedName>
    <definedName name="LLE_Pre_Tax_IRR" localSheetId="4">#REF!</definedName>
    <definedName name="LLE_Pre_Tax_IRR">#REF!</definedName>
    <definedName name="LLEH" localSheetId="4">#REF!</definedName>
    <definedName name="LLEH">#REF!</definedName>
    <definedName name="llel" localSheetId="4">#REF!</definedName>
    <definedName name="llel">#REF!</definedName>
    <definedName name="LLFixFeei" localSheetId="4">#REF!</definedName>
    <definedName name="LLFixFeei">#REF!</definedName>
    <definedName name="LLFixFeeii" localSheetId="4">#REF!</definedName>
    <definedName name="LLFixFeeii">#REF!</definedName>
    <definedName name="lll" localSheetId="0">#REF!</definedName>
    <definedName name="lll" localSheetId="1">#REF!</definedName>
    <definedName name="lll" localSheetId="4">#REF!</definedName>
    <definedName name="lll">#REF!</definedName>
    <definedName name="lllll" localSheetId="0">#REF!</definedName>
    <definedName name="lllll" localSheetId="1">#REF!</definedName>
    <definedName name="lllll">[52]CAPEX!#REF!</definedName>
    <definedName name="lllllllllllll" localSheetId="0">#REF!</definedName>
    <definedName name="lllllllllllll" localSheetId="1">#REF!</definedName>
    <definedName name="lllllllllllll" localSheetId="4">#REF!</definedName>
    <definedName name="lllllllllllll">#REF!</definedName>
    <definedName name="llllllllllllllllllll" localSheetId="0">#REF!</definedName>
    <definedName name="llllllllllllllllllll" localSheetId="1">#REF!</definedName>
    <definedName name="llllllllllllllllllll" localSheetId="4">#REF!</definedName>
    <definedName name="llllllllllllllllllll">#REF!</definedName>
    <definedName name="lllllllllllllllllllllll" localSheetId="4">#REF!</definedName>
    <definedName name="lllllllllllllllllllllll">#REF!</definedName>
    <definedName name="lllllllllllllllllllllllllllll" localSheetId="4">#REF!</definedName>
    <definedName name="lllllllllllllllllllllllllllll">#REF!</definedName>
    <definedName name="llllllllllllllllllllllllllllll" localSheetId="4">#REF!</definedName>
    <definedName name="llllllllllllllllllllllllllllll">#REF!</definedName>
    <definedName name="lllllllllllllllllllllllllllllllllllll" localSheetId="4">#REF!</definedName>
    <definedName name="lllllllllllllllllllllllllllllllllllll">#REF!</definedName>
    <definedName name="LLResProf" localSheetId="4">#REF!</definedName>
    <definedName name="LLResProf">#REF!</definedName>
    <definedName name="LLSupProf" localSheetId="4">#REF!</definedName>
    <definedName name="LLSupProf">#REF!</definedName>
    <definedName name="Loan" localSheetId="4">#REF!</definedName>
    <definedName name="Loan">#REF!</definedName>
    <definedName name="Loan_A_margins" localSheetId="0">#REF!</definedName>
    <definedName name="Loan_A_margins" localSheetId="1">#REF!</definedName>
    <definedName name="Loan_A_margins">[17]Assumptions!#REF!</definedName>
    <definedName name="Local_WA_market_conditions" localSheetId="0">#REF!</definedName>
    <definedName name="Local_WA_market_conditions" localSheetId="1">#REF!</definedName>
    <definedName name="Local_WA_market_conditions">'[35]@RISK Correlations'!$C$27:$V$46</definedName>
    <definedName name="Location" localSheetId="0">#REF!</definedName>
    <definedName name="Location" localSheetId="1">#REF!</definedName>
    <definedName name="Location">[2]Equip!#REF!</definedName>
    <definedName name="Longwall" localSheetId="0">#REF!</definedName>
    <definedName name="Longwall" localSheetId="1">#REF!</definedName>
    <definedName name="Longwall">[12]Variations!$E$8</definedName>
    <definedName name="Lookup1" localSheetId="0">#REF!</definedName>
    <definedName name="Lookup1" localSheetId="1">#REF!</definedName>
    <definedName name="Lookup1" localSheetId="4">#REF!</definedName>
    <definedName name="Lookup1">#REF!</definedName>
    <definedName name="Lookup10" localSheetId="0">#REF!</definedName>
    <definedName name="Lookup10" localSheetId="1">#REF!</definedName>
    <definedName name="Lookup10" localSheetId="4">#REF!</definedName>
    <definedName name="Lookup10">#REF!</definedName>
    <definedName name="Lookup10a" localSheetId="0">#REF!</definedName>
    <definedName name="Lookup10a" localSheetId="1">#REF!</definedName>
    <definedName name="Lookup10a" localSheetId="4">#REF!</definedName>
    <definedName name="Lookup10a">#REF!</definedName>
    <definedName name="Lookup11" localSheetId="4">#REF!</definedName>
    <definedName name="Lookup11">#REF!</definedName>
    <definedName name="Lookup11a" localSheetId="4">#REF!</definedName>
    <definedName name="Lookup11a">#REF!</definedName>
    <definedName name="Lookup11b" localSheetId="4">#REF!</definedName>
    <definedName name="Lookup11b">#REF!</definedName>
    <definedName name="Lookup11c" localSheetId="4">#REF!</definedName>
    <definedName name="Lookup11c">#REF!</definedName>
    <definedName name="Lookup11d" localSheetId="4">#REF!</definedName>
    <definedName name="Lookup11d">#REF!</definedName>
    <definedName name="Lookup11e" localSheetId="4">#REF!</definedName>
    <definedName name="Lookup11e">#REF!</definedName>
    <definedName name="Lookup1a" localSheetId="4">#REF!</definedName>
    <definedName name="Lookup1a">#REF!</definedName>
    <definedName name="Lookup1b" localSheetId="4">#REF!</definedName>
    <definedName name="Lookup1b">#REF!</definedName>
    <definedName name="Lookup1c" localSheetId="4">#REF!</definedName>
    <definedName name="Lookup1c">#REF!</definedName>
    <definedName name="Lookup1d" localSheetId="4">#REF!</definedName>
    <definedName name="Lookup1d">#REF!</definedName>
    <definedName name="Lookup1e" localSheetId="4">#REF!</definedName>
    <definedName name="Lookup1e">#REF!</definedName>
    <definedName name="Lookup1f" localSheetId="4">#REF!</definedName>
    <definedName name="Lookup1f">#REF!</definedName>
    <definedName name="Lookup1g" localSheetId="0">#REF!</definedName>
    <definedName name="Lookup1g" localSheetId="1">#REF!</definedName>
    <definedName name="Lookup1g" localSheetId="4">#REF!</definedName>
    <definedName name="Lookup1g">#REF!</definedName>
    <definedName name="Lookup1h" localSheetId="0">#REF!</definedName>
    <definedName name="Lookup1h" localSheetId="1">#REF!</definedName>
    <definedName name="Lookup1h" localSheetId="4">#REF!</definedName>
    <definedName name="Lookup1h">#REF!</definedName>
    <definedName name="Lookup2" localSheetId="0">#REF!</definedName>
    <definedName name="Lookup2" localSheetId="1">#REF!</definedName>
    <definedName name="Lookup2" localSheetId="4">#REF!</definedName>
    <definedName name="Lookup2">#REF!</definedName>
    <definedName name="Lookup2a" localSheetId="0">#REF!</definedName>
    <definedName name="Lookup2a" localSheetId="1">#REF!</definedName>
    <definedName name="Lookup2a" localSheetId="4">#REF!</definedName>
    <definedName name="Lookup2a">#REF!</definedName>
    <definedName name="Lookup2b" localSheetId="0">#REF!</definedName>
    <definedName name="Lookup2b" localSheetId="1">#REF!</definedName>
    <definedName name="Lookup2b" localSheetId="4">#REF!</definedName>
    <definedName name="Lookup2b">#REF!</definedName>
    <definedName name="Lookup3" localSheetId="4">#REF!</definedName>
    <definedName name="Lookup3">#REF!</definedName>
    <definedName name="Lookup3a" localSheetId="4">#REF!</definedName>
    <definedName name="Lookup3a">#REF!</definedName>
    <definedName name="Lookup3b" localSheetId="4">#REF!</definedName>
    <definedName name="Lookup3b">#REF!</definedName>
    <definedName name="Lookup4" localSheetId="4">#REF!</definedName>
    <definedName name="Lookup4">#REF!</definedName>
    <definedName name="Lookup4a" localSheetId="4">#REF!</definedName>
    <definedName name="Lookup4a">#REF!</definedName>
    <definedName name="Lookup4b" localSheetId="4">#REF!</definedName>
    <definedName name="Lookup4b">#REF!</definedName>
    <definedName name="Lookup4c" localSheetId="4">#REF!</definedName>
    <definedName name="Lookup4c">#REF!</definedName>
    <definedName name="Lookup4d" localSheetId="4">#REF!</definedName>
    <definedName name="Lookup4d">#REF!</definedName>
    <definedName name="Lookup5" localSheetId="4">#REF!</definedName>
    <definedName name="Lookup5">#REF!</definedName>
    <definedName name="Lookup5a" localSheetId="4">#REF!</definedName>
    <definedName name="Lookup5a">#REF!</definedName>
    <definedName name="Lookup6" localSheetId="4">#REF!</definedName>
    <definedName name="Lookup6">#REF!</definedName>
    <definedName name="Lookup6a" localSheetId="4">#REF!</definedName>
    <definedName name="Lookup6a">#REF!</definedName>
    <definedName name="Lookup7" localSheetId="4">#REF!</definedName>
    <definedName name="Lookup7">#REF!</definedName>
    <definedName name="Lookup7a" localSheetId="4">#REF!</definedName>
    <definedName name="Lookup7a">#REF!</definedName>
    <definedName name="Lookup7b" localSheetId="4">#REF!</definedName>
    <definedName name="Lookup7b">#REF!</definedName>
    <definedName name="Lookup7c" localSheetId="4">#REF!</definedName>
    <definedName name="Lookup7c">#REF!</definedName>
    <definedName name="Lookup7d" localSheetId="4">#REF!</definedName>
    <definedName name="Lookup7d">#REF!</definedName>
    <definedName name="Lookup8" localSheetId="4">#REF!</definedName>
    <definedName name="Lookup8">#REF!</definedName>
    <definedName name="Lookup8a" localSheetId="4">#REF!</definedName>
    <definedName name="Lookup8a">#REF!</definedName>
    <definedName name="Lookup9" localSheetId="4">#REF!</definedName>
    <definedName name="Lookup9">#REF!</definedName>
    <definedName name="Lookup9a" localSheetId="4">#REF!</definedName>
    <definedName name="Lookup9a">#REF!</definedName>
    <definedName name="Loss_of_income" localSheetId="4">#REF!</definedName>
    <definedName name="Loss_of_income">#REF!</definedName>
    <definedName name="Loss_of_income_Pack1" localSheetId="4">#REF!</definedName>
    <definedName name="Loss_of_income_Pack1">#REF!</definedName>
    <definedName name="Loss_of_income_Pack2" localSheetId="4">#REF!</definedName>
    <definedName name="Loss_of_income_Pack2">#REF!</definedName>
    <definedName name="Loss_of_income_Pack3" localSheetId="4">#REF!</definedName>
    <definedName name="Loss_of_income_Pack3">#REF!</definedName>
    <definedName name="Low" localSheetId="0">#REF!</definedName>
    <definedName name="Low" localSheetId="1">#REF!</definedName>
    <definedName name="Low" localSheetId="4">#REF!</definedName>
    <definedName name="Low">#REF!</definedName>
    <definedName name="Lux" localSheetId="4">#REF!</definedName>
    <definedName name="Lux">#REF!</definedName>
    <definedName name="m" localSheetId="0">#REF!</definedName>
    <definedName name="m" localSheetId="1">#REF!</definedName>
    <definedName name="M">'[9]SUPPLEMENTARY SHEETS'!#REF!</definedName>
    <definedName name="major" localSheetId="0">#REF!</definedName>
    <definedName name="major" localSheetId="1">#REF!</definedName>
    <definedName name="major">[37]VIABILITY!#REF!</definedName>
    <definedName name="MAKEBILLPAGE" localSheetId="0">#REF!</definedName>
    <definedName name="MAKEBILLPAGE" localSheetId="1">#REF!</definedName>
    <definedName name="MAKEBILLPAGE" localSheetId="4">#REF!</definedName>
    <definedName name="MAKEBILLPAGE">#REF!</definedName>
    <definedName name="MANMENU" localSheetId="0">#REF!</definedName>
    <definedName name="MANMENU" localSheetId="1">#REF!</definedName>
    <definedName name="MANMENU">[27]Uniliever!#REF!</definedName>
    <definedName name="manual_comm" localSheetId="0">#REF!</definedName>
    <definedName name="manual_comm" localSheetId="1">#REF!</definedName>
    <definedName name="manual_comm">[51]Control!$F$128</definedName>
    <definedName name="margin" localSheetId="0">#REF!</definedName>
    <definedName name="margin" localSheetId="1">#REF!</definedName>
    <definedName name="margin" localSheetId="4">#REF!</definedName>
    <definedName name="margin">#REF!</definedName>
    <definedName name="MASONRYDIMS" localSheetId="0">#REF!</definedName>
    <definedName name="MASONRYDIMS" localSheetId="1">#REF!</definedName>
    <definedName name="MASONRYDIMS" localSheetId="4">#REF!</definedName>
    <definedName name="MASONRYDIMS">#REF!</definedName>
    <definedName name="Materials" localSheetId="0">#REF!</definedName>
    <definedName name="Materials" localSheetId="1">#REF!</definedName>
    <definedName name="Materials">[19]BOQ!$C$464</definedName>
    <definedName name="MATERIALS_ON_SITE" localSheetId="0">#REF!</definedName>
    <definedName name="MATERIALS_ON_SITE" localSheetId="1">#REF!</definedName>
    <definedName name="MATERIALS_ON_SITE">'[44]FR-SUMMERY'!#REF!</definedName>
    <definedName name="MatlofConst" localSheetId="0">#REF!</definedName>
    <definedName name="MatlofConst" localSheetId="1">#REF!</definedName>
    <definedName name="MatlofConst" localSheetId="4">#REF!</definedName>
    <definedName name="MatlofConst">#REF!</definedName>
    <definedName name="MatlofConstHdr" localSheetId="0">#REF!</definedName>
    <definedName name="MatlofConstHdr" localSheetId="1">#REF!</definedName>
    <definedName name="MatlofConstHdr" localSheetId="4">#REF!</definedName>
    <definedName name="MatlofConstHdr">#REF!</definedName>
    <definedName name="maxIterations" localSheetId="0">#REF!</definedName>
    <definedName name="maxIterations" localSheetId="1">#REF!</definedName>
    <definedName name="maxIterations" localSheetId="4">#REF!</definedName>
    <definedName name="maxIterations">#REF!</definedName>
    <definedName name="MaxLotsPerPeriod" localSheetId="4">#REF!</definedName>
    <definedName name="MaxLotsPerPeriod">#REF!</definedName>
    <definedName name="maxmonth" localSheetId="0">OFFSET(#REF!,0,0,MATCH(#REF!,#REF!,0),1)</definedName>
    <definedName name="maxmonth" localSheetId="1">OFFSET(#REF!,0,0,MATCH(#REF!,#REF!,0),1)</definedName>
    <definedName name="maxmonth" localSheetId="4">OFFSET(#REF!,0,0,MATCH(#REF!,#REF!,0),1)</definedName>
    <definedName name="maxmonth">OFFSET(#REF!,0,0,MATCH(#REF!,#REF!,0),1)</definedName>
    <definedName name="mbg" localSheetId="0">#REF!</definedName>
    <definedName name="mbg" localSheetId="1">#REF!</definedName>
    <definedName name="mbg" localSheetId="4">#REF!</definedName>
    <definedName name="mbg">#REF!</definedName>
    <definedName name="MC" localSheetId="0">#REF!</definedName>
    <definedName name="MC" localSheetId="1">#REF!</definedName>
    <definedName name="MC">'[9]SUPPLEMENTARY SHEETS'!#REF!</definedName>
    <definedName name="MCF" localSheetId="0">#REF!</definedName>
    <definedName name="MCF" localSheetId="1">#REF!</definedName>
    <definedName name="MCF" localSheetId="4">#REF!</definedName>
    <definedName name="MCF">#REF!</definedName>
    <definedName name="mComponents" localSheetId="0">#REF!</definedName>
    <definedName name="mComponents" localSheetId="1">#REF!</definedName>
    <definedName name="mComponents" localSheetId="4">#REF!</definedName>
    <definedName name="mComponents">#REF!</definedName>
    <definedName name="Mcurry" localSheetId="4">#REF!</definedName>
    <definedName name="Mcurry">#REF!</definedName>
    <definedName name="MeasShortfallPC" localSheetId="4">#REF!</definedName>
    <definedName name="MeasShortfallPC">#REF!</definedName>
    <definedName name="Mechanical" localSheetId="0">#REF!</definedName>
    <definedName name="Mechanical" localSheetId="1">#REF!</definedName>
    <definedName name="Mechanical">[19]BOQ!$C$431</definedName>
    <definedName name="Mechanical_Services" localSheetId="0">#REF!</definedName>
    <definedName name="Mechanical_Services" localSheetId="1">#REF!</definedName>
    <definedName name="Mechanical_Services">[12]Variations!$E$20</definedName>
    <definedName name="Metalwork" localSheetId="0">#REF!</definedName>
    <definedName name="Metalwork" localSheetId="1">#REF!</definedName>
    <definedName name="Metalwork">[19]BOQ!$C$385</definedName>
    <definedName name="mgjh" localSheetId="0">#REF!</definedName>
    <definedName name="mgjh" localSheetId="1">#REF!</definedName>
    <definedName name="mgjh">[22]INDEX!#REF!</definedName>
    <definedName name="Mine_ventilation" localSheetId="0">#REF!</definedName>
    <definedName name="Mine_ventilation" localSheetId="1">#REF!</definedName>
    <definedName name="Mine_ventilation">[12]Variations!$E$12</definedName>
    <definedName name="mkey" localSheetId="0">#REF!</definedName>
    <definedName name="mkey" localSheetId="1">#REF!</definedName>
    <definedName name="mkey" localSheetId="4">#REF!</definedName>
    <definedName name="mkey">#REF!</definedName>
    <definedName name="mm" localSheetId="0">#REF!</definedName>
    <definedName name="mm" localSheetId="1">#REF!</definedName>
    <definedName name="mm" localSheetId="4">#REF!</definedName>
    <definedName name="mm">#REF!</definedName>
    <definedName name="MmExcelLinker_48EFC9ED_A550_40C1_A2F7_886170168388" localSheetId="0">idea gen&amp;#REF!</definedName>
    <definedName name="MmExcelLinker_48EFC9ED_A550_40C1_A2F7_886170168388" localSheetId="1">idea gen&amp;#REF!</definedName>
    <definedName name="MmExcelLinker_48EFC9ED_A550_40C1_A2F7_886170168388">idea gen&amp;[53]eval!$C$15:$C$234</definedName>
    <definedName name="mmm" localSheetId="0">#REF!</definedName>
    <definedName name="mmm" localSheetId="1">#REF!</definedName>
    <definedName name="mmm">[21]AREAS!$A$6:$I$41</definedName>
    <definedName name="MMMMMM" localSheetId="0">#REF!</definedName>
    <definedName name="MMMMMM" localSheetId="1">#REF!</definedName>
    <definedName name="MMMMMM" localSheetId="4">#REF!</definedName>
    <definedName name="MMMMMM">#REF!</definedName>
    <definedName name="mn" localSheetId="0">#REF!</definedName>
    <definedName name="mn" localSheetId="1">#REF!</definedName>
    <definedName name="mn" localSheetId="4">#REF!</definedName>
    <definedName name="mn">#REF!</definedName>
    <definedName name="MNBG" localSheetId="0">#REF!</definedName>
    <definedName name="MNBG" localSheetId="1">#REF!</definedName>
    <definedName name="MNBG">[44]AREAS!$A$1:$I$5</definedName>
    <definedName name="mnbgkfk" localSheetId="0">#REF!</definedName>
    <definedName name="mnbgkfk" localSheetId="1">#REF!</definedName>
    <definedName name="mnbgkfk">[44]AREAS!$A$1:$I$5</definedName>
    <definedName name="mnkl" localSheetId="0">#REF!</definedName>
    <definedName name="mnkl" localSheetId="1">#REF!</definedName>
    <definedName name="mnkl">[43]WORKINGS!$A$1:$N$3</definedName>
    <definedName name="mnnnnoytrd" localSheetId="0">#REF!,#REF!,#REF!,#REF!,#REF!,#REF!</definedName>
    <definedName name="mnnnnoytrd" localSheetId="1">#REF!,#REF!,#REF!,#REF!,#REF!,#REF!</definedName>
    <definedName name="mnnnnoytrd" localSheetId="4">#REF!,#REF!,#REF!,#REF!,#REF!,#REF!</definedName>
    <definedName name="mnnnnoytrd">#REF!,#REF!,#REF!,#REF!,#REF!,#REF!</definedName>
    <definedName name="moega" hidden="1">#N/A</definedName>
    <definedName name="month1" localSheetId="0">OFFSET(#REF!,0,0,COUNTA(#REF!),1)</definedName>
    <definedName name="month1" localSheetId="1">OFFSET(#REF!,0,0,COUNTA(#REF!),1)</definedName>
    <definedName name="month1" localSheetId="4">OFFSET(#REF!,0,0,COUNTA(#REF!),1)</definedName>
    <definedName name="month1">OFFSET(#REF!,0,0,COUNTA(#REF!),1)</definedName>
    <definedName name="MORGARDSHAMMAR" localSheetId="0">#REF!</definedName>
    <definedName name="MORGARDSHAMMAR" localSheetId="1">#REF!</definedName>
    <definedName name="MORGARDSHAMMAR" localSheetId="4">#REF!</definedName>
    <definedName name="MORGARDSHAMMAR">#REF!</definedName>
    <definedName name="MORRELL_C" localSheetId="0">#REF!</definedName>
    <definedName name="MORRELL_C" localSheetId="1">#REF!</definedName>
    <definedName name="MORRELL_C" localSheetId="4">#REF!</definedName>
    <definedName name="MORRELL_C">#REF!</definedName>
    <definedName name="MORRELL_E" localSheetId="0">#REF!</definedName>
    <definedName name="MORRELL_E" localSheetId="1">#REF!</definedName>
    <definedName name="MORRELL_E" localSheetId="4">#REF!</definedName>
    <definedName name="MORRELL_E">#REF!</definedName>
    <definedName name="MOVETITLE" localSheetId="4">#REF!</definedName>
    <definedName name="MOVETITLE">#REF!</definedName>
    <definedName name="MPI" localSheetId="0">#REF!</definedName>
    <definedName name="MPI" localSheetId="1">#REF!</definedName>
    <definedName name="MPI">[2]Equip!#REF!</definedName>
    <definedName name="MW" localSheetId="0">#REF!</definedName>
    <definedName name="MW" localSheetId="1">#REF!</definedName>
    <definedName name="MW">'[9]SUPPLEMENTARY SHEETS'!#REF!</definedName>
    <definedName name="MWS" localSheetId="0">#REF!</definedName>
    <definedName name="MWS" localSheetId="1">#REF!</definedName>
    <definedName name="MWS">'[9]SUPPLEMENTARY SHEETS'!#REF!</definedName>
    <definedName name="n" localSheetId="0">#REF!</definedName>
    <definedName name="n" localSheetId="1">#REF!</definedName>
    <definedName name="n" localSheetId="4">#REF!</definedName>
    <definedName name="n">#REF!</definedName>
    <definedName name="Name" localSheetId="0">#REF!</definedName>
    <definedName name="Name" localSheetId="1">#REF!</definedName>
    <definedName name="name" localSheetId="4">#REF!</definedName>
    <definedName name="name">#REF!</definedName>
    <definedName name="nbfkhgdjydkj" localSheetId="0">#REF!</definedName>
    <definedName name="nbfkhgdjydkj" localSheetId="1">#REF!</definedName>
    <definedName name="nbfkhgdjydkj">[19]AREAS!$A$6:$I$47</definedName>
    <definedName name="nbhjfl" localSheetId="0">#REF!</definedName>
    <definedName name="nbhjfl" localSheetId="1">#REF!</definedName>
    <definedName name="nbhjfl">[19]WORKINGS!$A$1:$N$3</definedName>
    <definedName name="nbkb" localSheetId="0">#REF!</definedName>
    <definedName name="nbkb" localSheetId="1">#REF!</definedName>
    <definedName name="nbkb">[22]COVER!#REF!</definedName>
    <definedName name="NBRt" localSheetId="0">#REF!</definedName>
    <definedName name="NBRt" localSheetId="1">#REF!</definedName>
    <definedName name="NBRt" localSheetId="4">#REF!</definedName>
    <definedName name="NBRt">#REF!</definedName>
    <definedName name="NDDEV" localSheetId="0">#REF!</definedName>
    <definedName name="NDDEV" localSheetId="1">#REF!</definedName>
    <definedName name="NDDEV" localSheetId="4">#REF!</definedName>
    <definedName name="NDDEV">#REF!</definedName>
    <definedName name="NDR" localSheetId="4">#REF!</definedName>
    <definedName name="NDR">#REF!</definedName>
    <definedName name="NDSTOPE" localSheetId="4">#REF!</definedName>
    <definedName name="NDSTOPE">#REF!</definedName>
    <definedName name="Neels" localSheetId="0" hidden="1">{#N/A,#N/A,TRUE,"COVER";#N/A,#N/A,TRUE,"DETAILS";#N/A,#N/A,TRUE,"SUMMARY";#N/A,#N/A,TRUE,"EXP MON";#N/A,#N/A,TRUE,"APPENDIX A";#N/A,#N/A,TRUE,"APPENDIX B";#N/A,#N/A,TRUE,"APPENDIX C";#N/A,#N/A,TRUE,"APPENDIX D";#N/A,#N/A,TRUE,"APPENDIX E";#N/A,#N/A,TRUE,"APPENDIX F";#N/A,#N/A,TRUE,"APPENDIX G"}</definedName>
    <definedName name="Neels" localSheetId="1" hidden="1">{#N/A,#N/A,TRUE,"COVER";#N/A,#N/A,TRUE,"DETAILS";#N/A,#N/A,TRUE,"SUMMARY";#N/A,#N/A,TRUE,"EXP MON";#N/A,#N/A,TRUE,"APPENDIX A";#N/A,#N/A,TRUE,"APPENDIX B";#N/A,#N/A,TRUE,"APPENDIX C";#N/A,#N/A,TRUE,"APPENDIX D";#N/A,#N/A,TRUE,"APPENDIX E";#N/A,#N/A,TRUE,"APPENDIX F";#N/A,#N/A,TRUE,"APPENDIX G"}</definedName>
    <definedName name="Neels" localSheetId="4" hidden="1">{#N/A,#N/A,TRUE,"COVER";#N/A,#N/A,TRUE,"DETAILS";#N/A,#N/A,TRUE,"SUMMARY";#N/A,#N/A,TRUE,"EXP MON";#N/A,#N/A,TRUE,"APPENDIX A";#N/A,#N/A,TRUE,"APPENDIX B";#N/A,#N/A,TRUE,"APPENDIX C";#N/A,#N/A,TRUE,"APPENDIX D";#N/A,#N/A,TRUE,"APPENDIX E";#N/A,#N/A,TRUE,"APPENDIX F";#N/A,#N/A,TRUE,"APPENDIX G"}</definedName>
    <definedName name="Neels" hidden="1">{#N/A,#N/A,TRUE,"COVER";#N/A,#N/A,TRUE,"DETAILS";#N/A,#N/A,TRUE,"SUMMARY";#N/A,#N/A,TRUE,"EXP MON";#N/A,#N/A,TRUE,"APPENDIX A";#N/A,#N/A,TRUE,"APPENDIX B";#N/A,#N/A,TRUE,"APPENDIX C";#N/A,#N/A,TRUE,"APPENDIX D";#N/A,#N/A,TRUE,"APPENDIX E";#N/A,#N/A,TRUE,"APPENDIX F";#N/A,#N/A,TRUE,"APPENDIX G"}</definedName>
    <definedName name="Net_Profit_HY" localSheetId="0">#REF!</definedName>
    <definedName name="Net_Profit_HY" localSheetId="1">#REF!</definedName>
    <definedName name="Net_Profit_HY" localSheetId="4">#REF!</definedName>
    <definedName name="Net_Profit_HY">#REF!</definedName>
    <definedName name="Net_Profit_LY" localSheetId="0">#REF!</definedName>
    <definedName name="Net_Profit_LY" localSheetId="1">#REF!</definedName>
    <definedName name="Net_Profit_LY" localSheetId="4">#REF!</definedName>
    <definedName name="Net_Profit_LY">#REF!</definedName>
    <definedName name="Net_sale_proceeds" localSheetId="4">#REF!</definedName>
    <definedName name="Net_sale_proceeds">#REF!</definedName>
    <definedName name="Net_Sales_Area" localSheetId="4">#REF!</definedName>
    <definedName name="Net_Sales_Area">#REF!</definedName>
    <definedName name="NetOpeningCash" localSheetId="0">#REF!</definedName>
    <definedName name="NetOpeningCash" localSheetId="1">#REF!</definedName>
    <definedName name="NetOpeningCash">'[11]Opening Cash Position'!$D$24</definedName>
    <definedName name="nettoday" localSheetId="0">#REF!</definedName>
    <definedName name="nettoday" localSheetId="1">#REF!</definedName>
    <definedName name="nettoday" localSheetId="4">#REF!</definedName>
    <definedName name="nettoday">#REF!</definedName>
    <definedName name="NEWBILLSHEET" localSheetId="0">#REF!</definedName>
    <definedName name="NEWBILLSHEET" localSheetId="1">#REF!</definedName>
    <definedName name="NEWBILLSHEET" localSheetId="4">#REF!</definedName>
    <definedName name="NEWBILLSHEET">#REF!</definedName>
    <definedName name="NewMatrix" localSheetId="0">#REF!</definedName>
    <definedName name="NewMatrix" localSheetId="1">#REF!</definedName>
    <definedName name="NewMatrix" localSheetId="4">#REF!</definedName>
    <definedName name="NewMatrix">#REF!</definedName>
    <definedName name="nfchdf" localSheetId="0">#REF!</definedName>
    <definedName name="nfchdf" localSheetId="1">#REF!</definedName>
    <definedName name="nfchdf">[43]AREAS!$A$1:$I$5</definedName>
    <definedName name="nffgl" localSheetId="0">#REF!</definedName>
    <definedName name="nffgl" localSheetId="1">#REF!</definedName>
    <definedName name="nffgl" localSheetId="4">#REF!</definedName>
    <definedName name="nffgl">#REF!</definedName>
    <definedName name="ngfvmgf" localSheetId="0">#REF!</definedName>
    <definedName name="ngfvmgf" localSheetId="1">#REF!</definedName>
    <definedName name="ngfvmgf">[44]AREAS!$A$6:$I$41</definedName>
    <definedName name="nh" localSheetId="0" hidden="1">{#N/A,#N/A,TRUE,"COVER";#N/A,#N/A,TRUE,"DETAILS";#N/A,#N/A,TRUE,"SUMMARY";#N/A,#N/A,TRUE,"EXP MON";#N/A,#N/A,TRUE,"APPENDIX A";#N/A,#N/A,TRUE,"APPENDIX B";#N/A,#N/A,TRUE,"APPENDIX C";#N/A,#N/A,TRUE,"APPENDIX D";#N/A,#N/A,TRUE,"APPENDIX E";#N/A,#N/A,TRUE,"APPENDIX F";#N/A,#N/A,TRUE,"APPENDIX G"}</definedName>
    <definedName name="nh" localSheetId="1" hidden="1">{#N/A,#N/A,TRUE,"COVER";#N/A,#N/A,TRUE,"DETAILS";#N/A,#N/A,TRUE,"SUMMARY";#N/A,#N/A,TRUE,"EXP MON";#N/A,#N/A,TRUE,"APPENDIX A";#N/A,#N/A,TRUE,"APPENDIX B";#N/A,#N/A,TRUE,"APPENDIX C";#N/A,#N/A,TRUE,"APPENDIX D";#N/A,#N/A,TRUE,"APPENDIX E";#N/A,#N/A,TRUE,"APPENDIX F";#N/A,#N/A,TRUE,"APPENDIX G"}</definedName>
    <definedName name="nh" localSheetId="4" hidden="1">{#N/A,#N/A,TRUE,"COVER";#N/A,#N/A,TRUE,"DETAILS";#N/A,#N/A,TRUE,"SUMMARY";#N/A,#N/A,TRUE,"EXP MON";#N/A,#N/A,TRUE,"APPENDIX A";#N/A,#N/A,TRUE,"APPENDIX B";#N/A,#N/A,TRUE,"APPENDIX C";#N/A,#N/A,TRUE,"APPENDIX D";#N/A,#N/A,TRUE,"APPENDIX E";#N/A,#N/A,TRUE,"APPENDIX F";#N/A,#N/A,TRUE,"APPENDIX G"}</definedName>
    <definedName name="nh" hidden="1">{#N/A,#N/A,TRUE,"COVER";#N/A,#N/A,TRUE,"DETAILS";#N/A,#N/A,TRUE,"SUMMARY";#N/A,#N/A,TRUE,"EXP MON";#N/A,#N/A,TRUE,"APPENDIX A";#N/A,#N/A,TRUE,"APPENDIX B";#N/A,#N/A,TRUE,"APPENDIX C";#N/A,#N/A,TRUE,"APPENDIX D";#N/A,#N/A,TRUE,"APPENDIX E";#N/A,#N/A,TRUE,"APPENDIX F";#N/A,#N/A,TRUE,"APPENDIX G"}</definedName>
    <definedName name="Nicol" localSheetId="0">#REF!</definedName>
    <definedName name="Nicol" localSheetId="1">#REF!</definedName>
    <definedName name="Nicol" localSheetId="4">#REF!</definedName>
    <definedName name="Nicol">#REF!</definedName>
    <definedName name="NLG" localSheetId="0">#REF!</definedName>
    <definedName name="NLG" localSheetId="1">#REF!</definedName>
    <definedName name="NLG" localSheetId="4">#REF!</definedName>
    <definedName name="NLG">#REF!</definedName>
    <definedName name="nmbkjgk" localSheetId="4">#REF!</definedName>
    <definedName name="nmbkjgk">#REF!</definedName>
    <definedName name="nmchgf" localSheetId="0">#REF!</definedName>
    <definedName name="nmchgf" localSheetId="1">#REF!</definedName>
    <definedName name="nmchgf">[43]AREAS!$A$1:$I$5</definedName>
    <definedName name="nn" localSheetId="0">#REF!</definedName>
    <definedName name="nn" localSheetId="1">#REF!</definedName>
    <definedName name="nn">[22]INDEX!#REF!</definedName>
    <definedName name="nnn" localSheetId="0">#REF!</definedName>
    <definedName name="nnn" localSheetId="1">#REF!</definedName>
    <definedName name="nnn">[54]AREAS!$A$1:$I$5</definedName>
    <definedName name="NNNNN" localSheetId="0">#REF!</definedName>
    <definedName name="NNNNN" localSheetId="1">#REF!</definedName>
    <definedName name="NNNNN">[44]WORKINGS!$A$1:$N$3</definedName>
    <definedName name="NNNOPOOP" localSheetId="0">#REF!</definedName>
    <definedName name="NNNOPOOP" localSheetId="1">#REF!</definedName>
    <definedName name="NNNOPOOP">[19]AREAS!$A$1:$I$5</definedName>
    <definedName name="Non_tA1_Anchor" localSheetId="0">#REF!</definedName>
    <definedName name="Non_tA1_Anchor" localSheetId="1">#REF!</definedName>
    <definedName name="Non_tA1_Anchor" localSheetId="4">#REF!</definedName>
    <definedName name="Non_tA1_Anchor">#REF!</definedName>
    <definedName name="NOTES" localSheetId="0">#REF!</definedName>
    <definedName name="NOTES" localSheetId="1">#REF!</definedName>
    <definedName name="NOTES" localSheetId="4">#REF!</definedName>
    <definedName name="NOTES">#REF!</definedName>
    <definedName name="novo" hidden="1">#N/A</definedName>
    <definedName name="novo_arquivo" hidden="1">#N/A</definedName>
    <definedName name="NPV" localSheetId="0">#REF!</definedName>
    <definedName name="NPV" localSheetId="1">#REF!</definedName>
    <definedName name="NPV" localSheetId="4">#REF!</definedName>
    <definedName name="NPV">#REF!</definedName>
    <definedName name="NumberOfParameters" localSheetId="0" hidden="1">#REF!</definedName>
    <definedName name="NumberOfParameters" localSheetId="1" hidden="1">#REF!</definedName>
    <definedName name="NumberOfParameters" localSheetId="4" hidden="1">#REF!</definedName>
    <definedName name="NumberOfParameters" hidden="1">#REF!</definedName>
    <definedName name="nv" localSheetId="0">#REF!</definedName>
    <definedName name="nv" localSheetId="1">#REF!</definedName>
    <definedName name="nv" localSheetId="4">#REF!</definedName>
    <definedName name="nv">#REF!</definedName>
    <definedName name="nwr" localSheetId="0" hidden="1">{#N/A,#N/A,FALSE,"GERAL";#N/A,#N/A,FALSE,"012-96";#N/A,#N/A,FALSE,"018-96";#N/A,#N/A,FALSE,"027-96";#N/A,#N/A,FALSE,"059-96";#N/A,#N/A,FALSE,"076-96";#N/A,#N/A,FALSE,"019-97";#N/A,#N/A,FALSE,"021-97";#N/A,#N/A,FALSE,"022-97";#N/A,#N/A,FALSE,"028-97"}</definedName>
    <definedName name="nwr" localSheetId="1" hidden="1">{#N/A,#N/A,FALSE,"GERAL";#N/A,#N/A,FALSE,"012-96";#N/A,#N/A,FALSE,"018-96";#N/A,#N/A,FALSE,"027-96";#N/A,#N/A,FALSE,"059-96";#N/A,#N/A,FALSE,"076-96";#N/A,#N/A,FALSE,"019-97";#N/A,#N/A,FALSE,"021-97";#N/A,#N/A,FALSE,"022-97";#N/A,#N/A,FALSE,"028-97"}</definedName>
    <definedName name="nwr" localSheetId="4" hidden="1">{#N/A,#N/A,FALSE,"GERAL";#N/A,#N/A,FALSE,"012-96";#N/A,#N/A,FALSE,"018-96";#N/A,#N/A,FALSE,"027-96";#N/A,#N/A,FALSE,"059-96";#N/A,#N/A,FALSE,"076-96";#N/A,#N/A,FALSE,"019-97";#N/A,#N/A,FALSE,"021-97";#N/A,#N/A,FALSE,"022-97";#N/A,#N/A,FALSE,"028-97"}</definedName>
    <definedName name="nwr" hidden="1">{#N/A,#N/A,FALSE,"GERAL";#N/A,#N/A,FALSE,"012-96";#N/A,#N/A,FALSE,"018-96";#N/A,#N/A,FALSE,"027-96";#N/A,#N/A,FALSE,"059-96";#N/A,#N/A,FALSE,"076-96";#N/A,#N/A,FALSE,"019-97";#N/A,#N/A,FALSE,"021-97";#N/A,#N/A,FALSE,"022-97";#N/A,#N/A,FALSE,"028-97"}</definedName>
    <definedName name="O" localSheetId="4">#REF!</definedName>
    <definedName name="O">#REF!</definedName>
    <definedName name="Office" localSheetId="0">#REF!</definedName>
    <definedName name="Office" localSheetId="1">#REF!</definedName>
    <definedName name="Office">[2]Equip!#REF!</definedName>
    <definedName name="Office_Rate" localSheetId="0">#REF!</definedName>
    <definedName name="Office_Rate" localSheetId="1">#REF!</definedName>
    <definedName name="Office_Rate" localSheetId="4">#REF!</definedName>
    <definedName name="Office_Rate">#REF!</definedName>
    <definedName name="onebed_area" localSheetId="0">#REF!</definedName>
    <definedName name="onebed_area" localSheetId="1">#REF!</definedName>
    <definedName name="onebed_area" localSheetId="4">#REF!</definedName>
    <definedName name="onebed_area">#REF!</definedName>
    <definedName name="Onebed_rate" localSheetId="4">#REF!</definedName>
    <definedName name="Onebed_rate">#REF!</definedName>
    <definedName name="oopeer" localSheetId="0">#REF!</definedName>
    <definedName name="oopeer" localSheetId="1">#REF!</definedName>
    <definedName name="oopeer">[38]AREAS!$A$6:$I$50</definedName>
    <definedName name="ops_hide_flag" localSheetId="0">#REF!,#REF!,#REF!,#REF!,#REF!,#REF!,#REF!</definedName>
    <definedName name="ops_hide_flag" localSheetId="1">#REF!,#REF!,#REF!,#REF!,#REF!,#REF!,#REF!</definedName>
    <definedName name="ops_hide_flag">[30]Operations!$CP$21:$CP$34,[30]Operations!$CP$38:$CP$57,[30]Operations!$CP$61:$CP$62,[30]Operations!$CP$61:$CP$66,[30]Operations!$CP$77:$CP$90,[30]Operations!$CP$101:$CP$120,[30]Operations!$CP$124:$CP$129</definedName>
    <definedName name="Opt_Pert" localSheetId="0">#REF!</definedName>
    <definedName name="Opt_Pert" localSheetId="1">#REF!</definedName>
    <definedName name="Opt_Pert">[12]Parameters!$C$2</definedName>
    <definedName name="Optimistic" localSheetId="0">#REF!</definedName>
    <definedName name="Optimistic" localSheetId="1">#REF!</definedName>
    <definedName name="Optimistic">[33]Parameters!$B$2</definedName>
    <definedName name="ord" localSheetId="0">#REF!</definedName>
    <definedName name="ord" localSheetId="1">#REF!</definedName>
    <definedName name="ord" localSheetId="4">#REF!</definedName>
    <definedName name="ord">#REF!</definedName>
    <definedName name="OrderTable" localSheetId="0" hidden="1">#REF!</definedName>
    <definedName name="OrderTable" localSheetId="1" hidden="1">#REF!</definedName>
    <definedName name="OrderTable" localSheetId="4" hidden="1">#REF!</definedName>
    <definedName name="OrderTable" hidden="1">#REF!</definedName>
    <definedName name="OreHoistedTot" localSheetId="0">#REF!</definedName>
    <definedName name="OreHoistedTot" localSheetId="1">#REF!</definedName>
    <definedName name="OreHoistedTot" localSheetId="4">#REF!</definedName>
    <definedName name="OreHoistedTot">#REF!</definedName>
    <definedName name="OreProdTot" localSheetId="4">#REF!</definedName>
    <definedName name="OreProdTot">#REF!</definedName>
    <definedName name="ORGrade" localSheetId="4">#REF!</definedName>
    <definedName name="ORGrade">#REF!</definedName>
    <definedName name="Other_serv_LY" localSheetId="4">#REF!</definedName>
    <definedName name="Other_serv_LY">#REF!</definedName>
    <definedName name="Other1" localSheetId="0">#REF!</definedName>
    <definedName name="Other1" localSheetId="1">#REF!</definedName>
    <definedName name="Other1" localSheetId="4">#REF!</definedName>
    <definedName name="Other1">#REF!</definedName>
    <definedName name="Other2" localSheetId="0">#REF!</definedName>
    <definedName name="Other2" localSheetId="1">#REF!</definedName>
    <definedName name="Other2" localSheetId="4">#REF!</definedName>
    <definedName name="Other2">#REF!</definedName>
    <definedName name="Output_percentile_labelleing" localSheetId="0">#REF!</definedName>
    <definedName name="Output_percentile_labelleing" localSheetId="1">#REF!</definedName>
    <definedName name="Output_percentile_labelleing">[33]Parameters!#REF!</definedName>
    <definedName name="outputs_dv" localSheetId="0">#REF!</definedName>
    <definedName name="outputs_dv" localSheetId="1">#REF!</definedName>
    <definedName name="outputs_dv">[45]Sensitivities!#REF!</definedName>
    <definedName name="outputs_dv_check" localSheetId="0">#REF!</definedName>
    <definedName name="outputs_dv_check" localSheetId="1">#REF!</definedName>
    <definedName name="outputs_dv_check">[45]Sensitivities!#REF!</definedName>
    <definedName name="outputs_value_dv" localSheetId="0">#REF!</definedName>
    <definedName name="outputs_value_dv" localSheetId="1">#REF!</definedName>
    <definedName name="outputs_value_dv">[45]Sensitivities!#REF!</definedName>
    <definedName name="outputs_value_dv_check" localSheetId="0">#REF!</definedName>
    <definedName name="outputs_value_dv_check" localSheetId="1">#REF!</definedName>
    <definedName name="outputs_value_dv_check">[45]Sensitivities!#REF!</definedName>
    <definedName name="outputs_value_dv_check_house" localSheetId="0">#REF!</definedName>
    <definedName name="outputs_value_dv_check_house" localSheetId="1">#REF!</definedName>
    <definedName name="outputs_value_dv_check_house">[45]Sensitivities!#REF!</definedName>
    <definedName name="outputs_value_dv_check_salary" localSheetId="0">#REF!</definedName>
    <definedName name="outputs_value_dv_check_salary" localSheetId="1">#REF!</definedName>
    <definedName name="outputs_value_dv_check_salary">[45]Sensitivities!#REF!</definedName>
    <definedName name="outputs_value_dv_house" localSheetId="0">#REF!</definedName>
    <definedName name="outputs_value_dv_house" localSheetId="1">#REF!</definedName>
    <definedName name="outputs_value_dv_house">[45]Sensitivities!#REF!</definedName>
    <definedName name="outputs_value_dv_keyworker_salary" localSheetId="0">#REF!</definedName>
    <definedName name="outputs_value_dv_keyworker_salary" localSheetId="1">#REF!</definedName>
    <definedName name="outputs_value_dv_keyworker_salary">[45]Sensitivities!#REF!</definedName>
    <definedName name="overage_value_dv" localSheetId="0">#REF!</definedName>
    <definedName name="overage_value_dv" localSheetId="1">#REF!</definedName>
    <definedName name="overage_value_dv">[45]Sensitivities!#REF!</definedName>
    <definedName name="overage_value_dv_check" localSheetId="0">#REF!</definedName>
    <definedName name="overage_value_dv_check" localSheetId="1">#REF!</definedName>
    <definedName name="overage_value_dv_check">[45]Sensitivities!#REF!</definedName>
    <definedName name="P" localSheetId="0" hidden="1">{#N/A,#N/A,TRUE,"COVER";#N/A,#N/A,TRUE,"DETAILS";#N/A,#N/A,TRUE,"SUMMARY";#N/A,#N/A,TRUE,"EXP MON";#N/A,#N/A,TRUE,"APPENDIX A";#N/A,#N/A,TRUE,"APPENDIX B";#N/A,#N/A,TRUE,"APPENDIX C";#N/A,#N/A,TRUE,"APPENDIX D";#N/A,#N/A,TRUE,"APPENDIX E";#N/A,#N/A,TRUE,"APPENDIX F";#N/A,#N/A,TRUE,"APPENDIX G"}</definedName>
    <definedName name="P" localSheetId="1" hidden="1">{#N/A,#N/A,TRUE,"COVER";#N/A,#N/A,TRUE,"DETAILS";#N/A,#N/A,TRUE,"SUMMARY";#N/A,#N/A,TRUE,"EXP MON";#N/A,#N/A,TRUE,"APPENDIX A";#N/A,#N/A,TRUE,"APPENDIX B";#N/A,#N/A,TRUE,"APPENDIX C";#N/A,#N/A,TRUE,"APPENDIX D";#N/A,#N/A,TRUE,"APPENDIX E";#N/A,#N/A,TRUE,"APPENDIX F";#N/A,#N/A,TRUE,"APPENDIX G"}</definedName>
    <definedName name="P" localSheetId="4" hidden="1">{#N/A,#N/A,TRUE,"COVER";#N/A,#N/A,TRUE,"DETAILS";#N/A,#N/A,TRUE,"SUMMARY";#N/A,#N/A,TRUE,"EXP MON";#N/A,#N/A,TRUE,"APPENDIX A";#N/A,#N/A,TRUE,"APPENDIX B";#N/A,#N/A,TRUE,"APPENDIX C";#N/A,#N/A,TRUE,"APPENDIX D";#N/A,#N/A,TRUE,"APPENDIX E";#N/A,#N/A,TRUE,"APPENDIX F";#N/A,#N/A,TRUE,"APPENDIX G"}</definedName>
    <definedName name="P" hidden="1">{#N/A,#N/A,TRUE,"COVER";#N/A,#N/A,TRUE,"DETAILS";#N/A,#N/A,TRUE,"SUMMARY";#N/A,#N/A,TRUE,"EXP MON";#N/A,#N/A,TRUE,"APPENDIX A";#N/A,#N/A,TRUE,"APPENDIX B";#N/A,#N/A,TRUE,"APPENDIX C";#N/A,#N/A,TRUE,"APPENDIX D";#N/A,#N/A,TRUE,"APPENDIX E";#N/A,#N/A,TRUE,"APPENDIX F";#N/A,#N/A,TRUE,"APPENDIX G"}</definedName>
    <definedName name="P10_value" localSheetId="0">#REF!</definedName>
    <definedName name="P10_value" localSheetId="1">#REF!</definedName>
    <definedName name="P10_value">[33]Parameters!#REF!</definedName>
    <definedName name="P90_value" localSheetId="0">#REF!</definedName>
    <definedName name="P90_value" localSheetId="1">#REF!</definedName>
    <definedName name="P90_value">[33]Parameters!#REF!</definedName>
    <definedName name="PA" localSheetId="0">#REF!</definedName>
    <definedName name="PA" localSheetId="1">#REF!</definedName>
    <definedName name="PA">'[9]SUPPLEMENTARY SHEETS'!#REF!</definedName>
    <definedName name="Pack1POST" localSheetId="0">#REF!</definedName>
    <definedName name="Pack1POST" localSheetId="1">#REF!</definedName>
    <definedName name="Pack1POST" localSheetId="4">#REF!</definedName>
    <definedName name="Pack1POST">#REF!</definedName>
    <definedName name="Pack1PRE" localSheetId="0">#REF!</definedName>
    <definedName name="Pack1PRE" localSheetId="1">#REF!</definedName>
    <definedName name="Pack1PRE" localSheetId="4">#REF!</definedName>
    <definedName name="Pack1PRE">#REF!</definedName>
    <definedName name="Pack2POST" localSheetId="4">#REF!</definedName>
    <definedName name="Pack2POST">#REF!</definedName>
    <definedName name="Pack2PRE" localSheetId="4">#REF!</definedName>
    <definedName name="Pack2PRE">#REF!</definedName>
    <definedName name="Pack3POST" localSheetId="4">#REF!</definedName>
    <definedName name="Pack3POST">#REF!</definedName>
    <definedName name="Pack3PRE" localSheetId="4">#REF!</definedName>
    <definedName name="Pack3PRE">#REF!</definedName>
    <definedName name="Pack4POST" localSheetId="4">#REF!</definedName>
    <definedName name="Pack4POST">#REF!</definedName>
    <definedName name="Pack4PRE" localSheetId="4">#REF!</definedName>
    <definedName name="Pack4PRE">#REF!</definedName>
    <definedName name="Pack5POST" localSheetId="4">#REF!</definedName>
    <definedName name="Pack5POST">#REF!</definedName>
    <definedName name="Pack5POSTPark" localSheetId="4">#REF!</definedName>
    <definedName name="Pack5POSTPark">#REF!</definedName>
    <definedName name="Pack6POST" localSheetId="4">#REF!</definedName>
    <definedName name="Pack6POST">#REF!</definedName>
    <definedName name="Pack8POST" localSheetId="4">#REF!</definedName>
    <definedName name="Pack8POST">#REF!</definedName>
    <definedName name="Pack8POSTPark" localSheetId="4">#REF!</definedName>
    <definedName name="Pack8POSTPark">#REF!</definedName>
    <definedName name="Page" localSheetId="4">#REF!</definedName>
    <definedName name="Page">#REF!</definedName>
    <definedName name="Page_total" localSheetId="0">MAX(#REF!)</definedName>
    <definedName name="Page_total" localSheetId="1">MAX(#REF!)</definedName>
    <definedName name="Page_total" localSheetId="4">MAX('Specification Code'!Page)</definedName>
    <definedName name="Page_total">MAX(Page)</definedName>
    <definedName name="Page1" localSheetId="0">#REF!</definedName>
    <definedName name="Page1" localSheetId="1">#REF!</definedName>
    <definedName name="Page1" localSheetId="4">#REF!</definedName>
    <definedName name="Page1">#REF!</definedName>
    <definedName name="PAGE2" localSheetId="0">#REF!</definedName>
    <definedName name="PAGE2" localSheetId="1">#REF!</definedName>
    <definedName name="PAGE2" localSheetId="4">#REF!</definedName>
    <definedName name="PAGE2">#REF!</definedName>
    <definedName name="PAGE3" localSheetId="4">#REF!</definedName>
    <definedName name="PAGE3">#REF!</definedName>
    <definedName name="PAGE5" localSheetId="4">#REF!</definedName>
    <definedName name="PAGE5">#REF!</definedName>
    <definedName name="Paint" localSheetId="4">#REF!</definedName>
    <definedName name="Paint">#REF!</definedName>
    <definedName name="Pal_Workbook_GUID" hidden="1">"W427U59FHQTEL2DXJARG2J68"</definedName>
    <definedName name="ParameterNamesBase" localSheetId="4" hidden="1">#REF!</definedName>
    <definedName name="ParameterNamesBase" hidden="1">#REF!</definedName>
    <definedName name="Payment" localSheetId="0">#REF!</definedName>
    <definedName name="Payment" localSheetId="1">#REF!</definedName>
    <definedName name="Payment" localSheetId="4">#REF!</definedName>
    <definedName name="Payment">#REF!</definedName>
    <definedName name="pc" localSheetId="4">#REF!</definedName>
    <definedName name="pc">#REF!</definedName>
    <definedName name="PCDate" localSheetId="4">#REF!</definedName>
    <definedName name="PCDate">#REF!</definedName>
    <definedName name="PCforecastfinal" localSheetId="4">#REF!</definedName>
    <definedName name="PCforecastfinal">#REF!</definedName>
    <definedName name="Pcurry" localSheetId="4">#REF!</definedName>
    <definedName name="Pcurry">#REF!</definedName>
    <definedName name="pcv" localSheetId="4">#REF!</definedName>
    <definedName name="pcv">#REF!</definedName>
    <definedName name="PD" localSheetId="0">#REF!</definedName>
    <definedName name="PD" localSheetId="1">#REF!</definedName>
    <definedName name="PD">'[9]SUPPLEMENTARY SHEETS'!#REF!</definedName>
    <definedName name="pend" localSheetId="0" hidden="1">{#N/A,#N/A,FALSE,"GERAL";#N/A,#N/A,FALSE,"012-96";#N/A,#N/A,FALSE,"018-96";#N/A,#N/A,FALSE,"027-96";#N/A,#N/A,FALSE,"059-96";#N/A,#N/A,FALSE,"076-96";#N/A,#N/A,FALSE,"019-97";#N/A,#N/A,FALSE,"021-97";#N/A,#N/A,FALSE,"022-97";#N/A,#N/A,FALSE,"028-97"}</definedName>
    <definedName name="pend" localSheetId="1" hidden="1">{#N/A,#N/A,FALSE,"GERAL";#N/A,#N/A,FALSE,"012-96";#N/A,#N/A,FALSE,"018-96";#N/A,#N/A,FALSE,"027-96";#N/A,#N/A,FALSE,"059-96";#N/A,#N/A,FALSE,"076-96";#N/A,#N/A,FALSE,"019-97";#N/A,#N/A,FALSE,"021-97";#N/A,#N/A,FALSE,"022-97";#N/A,#N/A,FALSE,"028-97"}</definedName>
    <definedName name="pend" localSheetId="4" hidden="1">{#N/A,#N/A,FALSE,"GERAL";#N/A,#N/A,FALSE,"012-96";#N/A,#N/A,FALSE,"018-96";#N/A,#N/A,FALSE,"027-96";#N/A,#N/A,FALSE,"059-96";#N/A,#N/A,FALSE,"076-96";#N/A,#N/A,FALSE,"019-97";#N/A,#N/A,FALSE,"021-97";#N/A,#N/A,FALSE,"022-97";#N/A,#N/A,FALSE,"028-97"}</definedName>
    <definedName name="pend" hidden="1">{#N/A,#N/A,FALSE,"GERAL";#N/A,#N/A,FALSE,"012-96";#N/A,#N/A,FALSE,"018-96";#N/A,#N/A,FALSE,"027-96";#N/A,#N/A,FALSE,"059-96";#N/A,#N/A,FALSE,"076-96";#N/A,#N/A,FALSE,"019-97";#N/A,#N/A,FALSE,"021-97";#N/A,#N/A,FALSE,"022-97";#N/A,#N/A,FALSE,"028-97"}</definedName>
    <definedName name="Percentage" localSheetId="0">#REF!</definedName>
    <definedName name="Percentage" localSheetId="1">#REF!</definedName>
    <definedName name="Percentage" localSheetId="4">#REF!</definedName>
    <definedName name="Percentage">#REF!</definedName>
    <definedName name="Performance_Fee" localSheetId="0">#REF!</definedName>
    <definedName name="Performance_Fee" localSheetId="1">#REF!</definedName>
    <definedName name="Performance_Fee" localSheetId="4">#REF!</definedName>
    <definedName name="Performance_Fee">#REF!</definedName>
    <definedName name="Performance_Fee_Cap" localSheetId="4">#REF!</definedName>
    <definedName name="Performance_Fee_Cap">#REF!</definedName>
    <definedName name="PERIOD" localSheetId="0">#REF!</definedName>
    <definedName name="PERIOD" localSheetId="1">#REF!</definedName>
    <definedName name="PERIOD">[55]Viability!#REF!</definedName>
    <definedName name="PertCorr" localSheetId="0">#REF!</definedName>
    <definedName name="PertCorr" localSheetId="1">#REF!</definedName>
    <definedName name="PertCorr">[12]Correlation!$B$35:$AD$63</definedName>
    <definedName name="Pess_Pert" localSheetId="0">#REF!</definedName>
    <definedName name="Pess_Pert" localSheetId="1">#REF!</definedName>
    <definedName name="Pess_Pert">[12]Parameters!$C$3</definedName>
    <definedName name="Pessimistic" localSheetId="0">#REF!</definedName>
    <definedName name="Pessimistic" localSheetId="1">#REF!</definedName>
    <definedName name="Pessimistic">[33]Parameters!$B$3</definedName>
    <definedName name="PGMHoistedKg" localSheetId="0">#REF!</definedName>
    <definedName name="PGMHoistedKg" localSheetId="1">#REF!</definedName>
    <definedName name="PGMHoistedKg" localSheetId="4">#REF!</definedName>
    <definedName name="PGMHoistedKg">#REF!</definedName>
    <definedName name="pgone" localSheetId="4">#REF!</definedName>
    <definedName name="pgone">#REF!</definedName>
    <definedName name="pgtwo" localSheetId="4">#REF!</definedName>
    <definedName name="pgtwo">#REF!</definedName>
    <definedName name="PH" localSheetId="0">#REF!</definedName>
    <definedName name="PH" localSheetId="1">#REF!</definedName>
    <definedName name="PH">'[9]SUPPLEMENTARY SHEETS'!#REF!</definedName>
    <definedName name="phase" localSheetId="0">#REF!</definedName>
    <definedName name="phase" localSheetId="1">#REF!</definedName>
    <definedName name="phase" localSheetId="4">#REF!</definedName>
    <definedName name="phase">#REF!</definedName>
    <definedName name="Phone" localSheetId="0">#REF!</definedName>
    <definedName name="Phone" localSheetId="1">#REF!</definedName>
    <definedName name="Phone" localSheetId="4">#REF!</definedName>
    <definedName name="Phone">#REF!</definedName>
    <definedName name="Pier_External_Services" localSheetId="0">#REF!</definedName>
    <definedName name="Pier_External_Services" localSheetId="1">#REF!</definedName>
    <definedName name="Pier_External_Services" localSheetId="4">#REF!</definedName>
    <definedName name="Pier_External_Services">#REF!</definedName>
    <definedName name="Pier_TTS" localSheetId="4">#REF!</definedName>
    <definedName name="Pier_TTS">#REF!</definedName>
    <definedName name="Piers_Airfield_Pavements" localSheetId="4">#REF!</definedName>
    <definedName name="Piers_Airfield_Pavements">#REF!</definedName>
    <definedName name="Piers_Bag_System" localSheetId="4">#REF!</definedName>
    <definedName name="Piers_Bag_System">#REF!</definedName>
    <definedName name="Piers_Envelope" localSheetId="4">#REF!</definedName>
    <definedName name="Piers_Envelope">#REF!</definedName>
    <definedName name="Piers_External_Structures" localSheetId="4">#REF!</definedName>
    <definedName name="Piers_External_Structures">#REF!</definedName>
    <definedName name="Piers_Fees_Supplier_Costs" localSheetId="4">#REF!</definedName>
    <definedName name="Piers_Fees_Supplier_Costs">#REF!</definedName>
    <definedName name="Piers_Furn_Fit" localSheetId="4">#REF!</definedName>
    <definedName name="Piers_Furn_Fit">#REF!</definedName>
    <definedName name="Piers_Interiors" localSheetId="4">#REF!</definedName>
    <definedName name="Piers_Interiors">#REF!</definedName>
    <definedName name="Piers_Landscaping" localSheetId="4">#REF!</definedName>
    <definedName name="Piers_Landscaping">#REF!</definedName>
    <definedName name="Piers_Logistics" localSheetId="4">#REF!</definedName>
    <definedName name="Piers_Logistics">#REF!</definedName>
    <definedName name="Piers_PAX_Transportation" localSheetId="4">#REF!</definedName>
    <definedName name="Piers_PAX_Transportation">#REF!</definedName>
    <definedName name="Piers_Preliminaries" localSheetId="4">#REF!</definedName>
    <definedName name="Piers_Preliminaries">#REF!</definedName>
    <definedName name="Piers_Rail" localSheetId="4">#REF!</definedName>
    <definedName name="Piers_Rail">#REF!</definedName>
    <definedName name="Piers_Services" localSheetId="4">#REF!</definedName>
    <definedName name="Piers_Services">#REF!</definedName>
    <definedName name="Piers_Site_Works" localSheetId="4">#REF!</definedName>
    <definedName name="Piers_Site_Works">#REF!</definedName>
    <definedName name="Piers_Specialist_Electrical" localSheetId="4">#REF!</definedName>
    <definedName name="Piers_Specialist_Electrical">#REF!</definedName>
    <definedName name="Piers_Substructure" localSheetId="4">#REF!</definedName>
    <definedName name="Piers_Substructure">#REF!</definedName>
    <definedName name="Piers_Superstructure" localSheetId="4">#REF!</definedName>
    <definedName name="Piers_Superstructure">#REF!</definedName>
    <definedName name="Piers_Surface_Works" localSheetId="4">#REF!</definedName>
    <definedName name="Piers_Surface_Works">#REF!</definedName>
    <definedName name="Pipe" localSheetId="4">#REF!</definedName>
    <definedName name="Pipe">#REF!</definedName>
    <definedName name="pkey" localSheetId="4">#REF!</definedName>
    <definedName name="pkey">#REF!</definedName>
    <definedName name="PL" localSheetId="0">#REF!</definedName>
    <definedName name="PL" localSheetId="1">#REF!</definedName>
    <definedName name="PL">'[9]SUPPLEMENTARY SHEETS'!#REF!</definedName>
    <definedName name="PLAIN" localSheetId="0">#REF!</definedName>
    <definedName name="PLAIN" localSheetId="1">#REF!</definedName>
    <definedName name="PLAIN">[31]Cover!#REF!</definedName>
    <definedName name="plant_shaft" localSheetId="0">#REF!</definedName>
    <definedName name="plant_shaft" localSheetId="1">#REF!</definedName>
    <definedName name="plant_shaft" localSheetId="4">#REF!</definedName>
    <definedName name="plant_shaft">#REF!</definedName>
    <definedName name="PlntAreaHdr" localSheetId="0">#REF!</definedName>
    <definedName name="PlntAreaHdr" localSheetId="1">#REF!</definedName>
    <definedName name="PlntAreaHdr" localSheetId="4">#REF!</definedName>
    <definedName name="PlntAreaHdr">#REF!</definedName>
    <definedName name="PlntAreaLbl" localSheetId="0">#REF!</definedName>
    <definedName name="PlntAreaLbl" localSheetId="1">#REF!</definedName>
    <definedName name="PlntAreaLbl" localSheetId="4">#REF!</definedName>
    <definedName name="PlntAreaLbl">#REF!</definedName>
    <definedName name="Plumbing" localSheetId="0">#REF!</definedName>
    <definedName name="Plumbing" localSheetId="1">#REF!</definedName>
    <definedName name="Plumbing">[19]BOQ!$C$419</definedName>
    <definedName name="PM_duration" localSheetId="0">#REF!</definedName>
    <definedName name="PM_duration" localSheetId="1">#REF!</definedName>
    <definedName name="PM_duration">[12]Variations!$E$4</definedName>
    <definedName name="PM_Fee" localSheetId="0">#REF!</definedName>
    <definedName name="PM_Fee" localSheetId="1">#REF!</definedName>
    <definedName name="PM_Fee" localSheetId="4">#REF!</definedName>
    <definedName name="PM_Fee">#REF!</definedName>
    <definedName name="PM_rate" localSheetId="0">#REF!</definedName>
    <definedName name="PM_rate" localSheetId="1">#REF!</definedName>
    <definedName name="PM_rate">[12]Variations!$E$3</definedName>
    <definedName name="PMB" localSheetId="0">#REF!</definedName>
    <definedName name="PMB" localSheetId="1">#REF!</definedName>
    <definedName name="PMB" localSheetId="4">#REF!</definedName>
    <definedName name="PMB">#REF!</definedName>
    <definedName name="PO" localSheetId="0">#REF!</definedName>
    <definedName name="PO" localSheetId="1">#REF!</definedName>
    <definedName name="PO" localSheetId="4">#REF!</definedName>
    <definedName name="PO">#REF!</definedName>
    <definedName name="Pools" localSheetId="0">#REF!</definedName>
    <definedName name="Pools" localSheetId="1">#REF!</definedName>
    <definedName name="Pools">[19]BOQ!$C$447</definedName>
    <definedName name="pos" localSheetId="0" hidden="1">{#N/A,#N/A,FALSE,"GERAL";#N/A,#N/A,FALSE,"012-96";#N/A,#N/A,FALSE,"018-96";#N/A,#N/A,FALSE,"027-96";#N/A,#N/A,FALSE,"059-96";#N/A,#N/A,FALSE,"076-96";#N/A,#N/A,FALSE,"019-97";#N/A,#N/A,FALSE,"021-97";#N/A,#N/A,FALSE,"022-97";#N/A,#N/A,FALSE,"028-97"}</definedName>
    <definedName name="pos" localSheetId="1" hidden="1">{#N/A,#N/A,FALSE,"GERAL";#N/A,#N/A,FALSE,"012-96";#N/A,#N/A,FALSE,"018-96";#N/A,#N/A,FALSE,"027-96";#N/A,#N/A,FALSE,"059-96";#N/A,#N/A,FALSE,"076-96";#N/A,#N/A,FALSE,"019-97";#N/A,#N/A,FALSE,"021-97";#N/A,#N/A,FALSE,"022-97";#N/A,#N/A,FALSE,"028-97"}</definedName>
    <definedName name="pos" localSheetId="4" hidden="1">{#N/A,#N/A,FALSE,"GERAL";#N/A,#N/A,FALSE,"012-96";#N/A,#N/A,FALSE,"018-96";#N/A,#N/A,FALSE,"027-96";#N/A,#N/A,FALSE,"059-96";#N/A,#N/A,FALSE,"076-96";#N/A,#N/A,FALSE,"019-97";#N/A,#N/A,FALSE,"021-97";#N/A,#N/A,FALSE,"022-97";#N/A,#N/A,FALSE,"028-97"}</definedName>
    <definedName name="pos" hidden="1">{#N/A,#N/A,FALSE,"GERAL";#N/A,#N/A,FALSE,"012-96";#N/A,#N/A,FALSE,"018-96";#N/A,#N/A,FALSE,"027-96";#N/A,#N/A,FALSE,"059-96";#N/A,#N/A,FALSE,"076-96";#N/A,#N/A,FALSE,"019-97";#N/A,#N/A,FALSE,"021-97";#N/A,#N/A,FALSE,"022-97";#N/A,#N/A,FALSE,"028-97"}</definedName>
    <definedName name="Post_Area" localSheetId="0">#REF!</definedName>
    <definedName name="Post_Area" localSheetId="1">#REF!</definedName>
    <definedName name="Post_Area" localSheetId="4">#REF!</definedName>
    <definedName name="Post_Area">#REF!</definedName>
    <definedName name="Post_DirectERV" localSheetId="0">#REF!</definedName>
    <definedName name="Post_DirectERV" localSheetId="1">#REF!</definedName>
    <definedName name="Post_DirectERV" localSheetId="4">#REF!</definedName>
    <definedName name="Post_DirectERV">#REF!</definedName>
    <definedName name="Post_ERV" localSheetId="4">#REF!</definedName>
    <definedName name="Post_ERV">#REF!</definedName>
    <definedName name="Post_Fish" localSheetId="4">#REF!</definedName>
    <definedName name="Post_Fish">#REF!</definedName>
    <definedName name="Post_GIA" localSheetId="4">#REF!</definedName>
    <definedName name="Post_GIA">#REF!</definedName>
    <definedName name="Post_Gross_sales" localSheetId="4">#REF!</definedName>
    <definedName name="Post_Gross_sales">#REF!</definedName>
    <definedName name="Post_IndirectERV" localSheetId="4">#REF!</definedName>
    <definedName name="Post_IndirectERV">#REF!</definedName>
    <definedName name="Post_Inv_Package" localSheetId="4">#REF!</definedName>
    <definedName name="Post_Inv_Package">#REF!</definedName>
    <definedName name="post_net_sales" localSheetId="4">#REF!</definedName>
    <definedName name="post_net_sales">#REF!</definedName>
    <definedName name="Post_Occ" localSheetId="4">#REF!</definedName>
    <definedName name="Post_Occ">#REF!</definedName>
    <definedName name="Post_Prod" localSheetId="4">#REF!</definedName>
    <definedName name="Post_Prod">#REF!</definedName>
    <definedName name="Post_Rent" localSheetId="4">#REF!</definedName>
    <definedName name="Post_Rent">#REF!</definedName>
    <definedName name="Post_Sales" localSheetId="4">#REF!</definedName>
    <definedName name="Post_Sales">#REF!</definedName>
    <definedName name="post_tax_cf" localSheetId="4">#REF!</definedName>
    <definedName name="post_tax_cf">#REF!</definedName>
    <definedName name="Post10_Sales" localSheetId="4">#REF!</definedName>
    <definedName name="Post10_Sales">#REF!</definedName>
    <definedName name="Post2_Sales" localSheetId="4">#REF!</definedName>
    <definedName name="Post2_Sales">#REF!</definedName>
    <definedName name="Post5_Sales" localSheetId="4">#REF!</definedName>
    <definedName name="Post5_Sales">#REF!</definedName>
    <definedName name="PostTen" localSheetId="0">#REF!</definedName>
    <definedName name="PostTen" localSheetId="1">#REF!</definedName>
    <definedName name="PostTen">[19]BOQ!$C$341</definedName>
    <definedName name="pp" localSheetId="0">#REF!</definedName>
    <definedName name="pp" localSheetId="1">#REF!</definedName>
    <definedName name="pp" localSheetId="4">#REF!</definedName>
    <definedName name="pp">#REF!</definedName>
    <definedName name="PPClass" localSheetId="0">#REF!</definedName>
    <definedName name="PPClass" localSheetId="1">#REF!</definedName>
    <definedName name="PPClass" localSheetId="4">#REF!</definedName>
    <definedName name="PPClass">#REF!</definedName>
    <definedName name="PPSA" localSheetId="4">#REF!</definedName>
    <definedName name="PPSA">#REF!</definedName>
    <definedName name="PPSize" localSheetId="4">#REF!</definedName>
    <definedName name="PPSize">#REF!</definedName>
    <definedName name="pr" localSheetId="4">#REF!</definedName>
    <definedName name="pr">#REF!</definedName>
    <definedName name="Pre_Area" localSheetId="4">#REF!</definedName>
    <definedName name="Pre_Area">#REF!</definedName>
    <definedName name="pre_design" localSheetId="4">#REF!</definedName>
    <definedName name="pre_design">#REF!</definedName>
    <definedName name="Pre_DirectERV" localSheetId="4">#REF!</definedName>
    <definedName name="Pre_DirectERV">#REF!</definedName>
    <definedName name="Pre_DirectRent" localSheetId="4">#REF!</definedName>
    <definedName name="Pre_DirectRent">#REF!</definedName>
    <definedName name="Pre_ERV" localSheetId="4">#REF!</definedName>
    <definedName name="Pre_ERV">#REF!</definedName>
    <definedName name="Pre_Fish" localSheetId="4">#REF!</definedName>
    <definedName name="Pre_Fish">#REF!</definedName>
    <definedName name="Pre_GIA" localSheetId="4">#REF!</definedName>
    <definedName name="Pre_GIA">#REF!</definedName>
    <definedName name="Pre_Gross_Sales" localSheetId="4">#REF!</definedName>
    <definedName name="Pre_Gross_Sales">#REF!</definedName>
    <definedName name="Pre_IndirectERV" localSheetId="4">#REF!</definedName>
    <definedName name="Pre_IndirectERV">#REF!</definedName>
    <definedName name="Pre_IndirectRent" localSheetId="4">#REF!</definedName>
    <definedName name="Pre_IndirectRent">#REF!</definedName>
    <definedName name="Pre_Inv_Package" localSheetId="4">#REF!</definedName>
    <definedName name="Pre_Inv_Package">#REF!</definedName>
    <definedName name="Pre_net_sales" localSheetId="4">#REF!</definedName>
    <definedName name="Pre_net_sales">#REF!</definedName>
    <definedName name="Pre_Net_Sales_area" localSheetId="4">#REF!</definedName>
    <definedName name="Pre_Net_Sales_area">#REF!</definedName>
    <definedName name="Pre_Occ" localSheetId="4">#REF!</definedName>
    <definedName name="Pre_Occ">#REF!</definedName>
    <definedName name="Pre_Prod" localSheetId="4">#REF!</definedName>
    <definedName name="Pre_Prod">#REF!</definedName>
    <definedName name="Pre_project_ERVs" localSheetId="4">#REF!</definedName>
    <definedName name="Pre_project_ERVs">#REF!</definedName>
    <definedName name="Pre_Rent" localSheetId="4">#REF!</definedName>
    <definedName name="Pre_Rent">#REF!</definedName>
    <definedName name="Pre_sales" localSheetId="4">#REF!</definedName>
    <definedName name="Pre_sales">#REF!</definedName>
    <definedName name="Pre_Sold_Perc" localSheetId="4">#REF!</definedName>
    <definedName name="Pre_Sold_Perc">#REF!</definedName>
    <definedName name="pre_tax_cf" localSheetId="4">#REF!</definedName>
    <definedName name="pre_tax_cf">#REF!</definedName>
    <definedName name="Prefix" localSheetId="0">#REF!</definedName>
    <definedName name="Prefix" localSheetId="1">#REF!</definedName>
    <definedName name="Prefix">[2]Equip!#REF!</definedName>
    <definedName name="Prem_Rate" localSheetId="0">#REF!</definedName>
    <definedName name="Prem_Rate" localSheetId="1">#REF!</definedName>
    <definedName name="Prem_Rate" localSheetId="4">#REF!</definedName>
    <definedName name="Prem_Rate">#REF!</definedName>
    <definedName name="PreProj_ERV" localSheetId="0">#REF!</definedName>
    <definedName name="PreProj_ERV" localSheetId="1">#REF!</definedName>
    <definedName name="PreProj_ERV" localSheetId="4">#REF!</definedName>
    <definedName name="PreProj_ERV">#REF!</definedName>
    <definedName name="PreProjRent" localSheetId="4">#REF!</definedName>
    <definedName name="PreProjRent">#REF!</definedName>
    <definedName name="PREVAL" localSheetId="0">#REF!</definedName>
    <definedName name="PREVAL" localSheetId="1">#REF!</definedName>
    <definedName name="PREVAL">[27]Uniliever!#REF!</definedName>
    <definedName name="PREWKS" localSheetId="0">#REF!</definedName>
    <definedName name="PREWKS" localSheetId="1">#REF!</definedName>
    <definedName name="PREWKS">[27]Uniliever!#REF!</definedName>
    <definedName name="Price_Fix_Fee" localSheetId="0">#REF!</definedName>
    <definedName name="Price_Fix_Fee" localSheetId="1">#REF!</definedName>
    <definedName name="Price_Fix_Fee" localSheetId="4">#REF!</definedName>
    <definedName name="Price_Fix_Fee">#REF!</definedName>
    <definedName name="PriceBasis" localSheetId="0">#REF!</definedName>
    <definedName name="PriceBasis" localSheetId="1">#REF!</definedName>
    <definedName name="PriceBasis">[2]Equip!#REF!</definedName>
    <definedName name="PriceCode" localSheetId="0">#REF!</definedName>
    <definedName name="PriceCode" localSheetId="1">#REF!</definedName>
    <definedName name="PriceCode" localSheetId="4">#REF!</definedName>
    <definedName name="PriceCode">#REF!</definedName>
    <definedName name="_xlnm.Print_Area" localSheetId="0">'Baseline BoQ'!$A$1:$J$2017</definedName>
    <definedName name="_xlnm.Print_Area" localSheetId="1">'Output BoQ'!$A$1:$Q$2017</definedName>
    <definedName name="_xlnm.Print_Area" localSheetId="4">#REF!</definedName>
    <definedName name="_xlnm.Print_Area">#REF!</definedName>
    <definedName name="Print_Area_Assmptns" localSheetId="0">#REF!,#REF!</definedName>
    <definedName name="Print_Area_Assmptns" localSheetId="1">#REF!,#REF!</definedName>
    <definedName name="Print_Area_Assmptns" localSheetId="4">#REF!,#REF!</definedName>
    <definedName name="Print_Area_Assmptns">#REF!,#REF!</definedName>
    <definedName name="Print_Area_Costs" localSheetId="0">#REF!,#REF!,#REF!</definedName>
    <definedName name="Print_Area_Costs" localSheetId="1">#REF!,#REF!,#REF!</definedName>
    <definedName name="Print_Area_Costs" localSheetId="4">#REF!,#REF!,#REF!</definedName>
    <definedName name="Print_Area_Costs">#REF!,#REF!,#REF!</definedName>
    <definedName name="Print_Area_DLP" localSheetId="0">#REF!,#REF!,#REF!</definedName>
    <definedName name="Print_Area_DLP" localSheetId="1">#REF!,#REF!,#REF!</definedName>
    <definedName name="Print_Area_DLP" localSheetId="4">#REF!,#REF!,#REF!</definedName>
    <definedName name="Print_Area_DLP">#REF!,#REF!,#REF!</definedName>
    <definedName name="Print_Area_Earnout" localSheetId="0">#REF!,#REF!</definedName>
    <definedName name="Print_Area_Earnout" localSheetId="1">#REF!,#REF!</definedName>
    <definedName name="Print_Area_Earnout" localSheetId="4">#REF!,#REF!</definedName>
    <definedName name="Print_Area_Earnout">#REF!,#REF!</definedName>
    <definedName name="Print_Area_Funding" localSheetId="0">#REF!,#REF!</definedName>
    <definedName name="Print_Area_Funding" localSheetId="1">#REF!,#REF!</definedName>
    <definedName name="Print_Area_Funding" localSheetId="4">#REF!,#REF!</definedName>
    <definedName name="Print_Area_Funding">#REF!,#REF!</definedName>
    <definedName name="PRINT_AREA_MI" localSheetId="0">#N/A</definedName>
    <definedName name="PRINT_AREA_MI" localSheetId="1">#N/A</definedName>
    <definedName name="Print_Area_MI" localSheetId="4">#REF!</definedName>
    <definedName name="Print_Area_MI">#REF!</definedName>
    <definedName name="Print_Area_MI_12">"$#REF!.$A$2:$M$487"</definedName>
    <definedName name="Print_Area_MI_18">"$#REF!.$A$1:$N$465"</definedName>
    <definedName name="Print_Area_MI_2">"$#REF!.$A$2:$M$487"</definedName>
    <definedName name="Print_Area_MI_3">"$#REF!.$A$2:$M$487"</definedName>
    <definedName name="Print_Area_MI_38">"$#REF!.$A$2:$L$37"</definedName>
    <definedName name="Print_Area_MI_4">"$#REF!.$A$2:$M$487"</definedName>
    <definedName name="Print_Area_MI_5">"$#REF!.$A$2:$M$487"</definedName>
    <definedName name="Print_Area_MI_6">"$#REF!.$A$2:$M$487"</definedName>
    <definedName name="Print_Area_MI_7">"$#REF!.$A$2:$M$487"</definedName>
    <definedName name="Print_Area_MI_8">"$#REF!.$A$2:$M$487"</definedName>
    <definedName name="Print_Area_MI1" localSheetId="0">#REF!</definedName>
    <definedName name="Print_Area_MI1" localSheetId="1">#REF!</definedName>
    <definedName name="Print_Area_MI1">[56]ESTIMATE!$A$1:$M$613</definedName>
    <definedName name="Print_Area_Summary" localSheetId="0">#REF!,#REF!,#REF!</definedName>
    <definedName name="Print_Area_Summary" localSheetId="1">#REF!,#REF!,#REF!</definedName>
    <definedName name="Print_Area_Summary" localSheetId="4">#REF!,#REF!,#REF!</definedName>
    <definedName name="Print_Area_Summary">#REF!,#REF!,#REF!</definedName>
    <definedName name="_xlnm.Print_Titles" localSheetId="0">'Baseline BoQ'!$1:$1</definedName>
    <definedName name="_xlnm.Print_Titles" localSheetId="1">'Output BoQ'!$1:$1</definedName>
    <definedName name="_xlnm.Print_Titles" localSheetId="4">#REF!</definedName>
    <definedName name="_xlnm.Print_Titles">#REF!</definedName>
    <definedName name="Print_Titles_Costs" localSheetId="0">#REF!,#REF!</definedName>
    <definedName name="Print_Titles_Costs" localSheetId="1">#REF!,#REF!</definedName>
    <definedName name="Print_Titles_Costs" localSheetId="4">#REF!,#REF!</definedName>
    <definedName name="Print_Titles_Costs">#REF!,#REF!</definedName>
    <definedName name="Print_Titles_Costs_Mthly" localSheetId="0">#REF!,#REF!</definedName>
    <definedName name="Print_Titles_Costs_Mthly" localSheetId="1">#REF!,#REF!</definedName>
    <definedName name="Print_Titles_Costs_Mthly" localSheetId="4">#REF!,#REF!</definedName>
    <definedName name="Print_Titles_Costs_Mthly">#REF!,#REF!</definedName>
    <definedName name="Print_Titles_DLP" localSheetId="4">#REF!,#REF!</definedName>
    <definedName name="Print_Titles_DLP">#REF!,#REF!</definedName>
    <definedName name="Print_Titles_Earnout" localSheetId="4">#REF!,#REF!</definedName>
    <definedName name="Print_Titles_Earnout">#REF!,#REF!</definedName>
    <definedName name="Print_Titles_Funding" localSheetId="4">#REF!,#REF!</definedName>
    <definedName name="Print_Titles_Funding">#REF!,#REF!</definedName>
    <definedName name="Print_Titles_InterimFund" localSheetId="4">#REF!,#REF!</definedName>
    <definedName name="Print_Titles_InterimFund">#REF!,#REF!</definedName>
    <definedName name="PRINT_TITLES_MI" localSheetId="0">#REF!</definedName>
    <definedName name="PRINT_TITLES_MI" localSheetId="1">#REF!</definedName>
    <definedName name="PRINT_TITLES_MI" localSheetId="4">#REF!</definedName>
    <definedName name="PRINT_TITLES_MI">#REF!</definedName>
    <definedName name="Print_Titles_Rentroll" localSheetId="0">#REF!,#REF!</definedName>
    <definedName name="Print_Titles_Rentroll" localSheetId="1">#REF!,#REF!</definedName>
    <definedName name="Print_Titles_Rentroll" localSheetId="4">#REF!,#REF!</definedName>
    <definedName name="Print_Titles_Rentroll">#REF!,#REF!</definedName>
    <definedName name="Prior_yr_actual" localSheetId="0">#REF!</definedName>
    <definedName name="Prior_yr_actual" localSheetId="1">#REF!</definedName>
    <definedName name="Prior_yr_actual" localSheetId="4">#REF!</definedName>
    <definedName name="Prior_yr_actual">#REF!</definedName>
    <definedName name="Prod_Cat" localSheetId="0">#REF!</definedName>
    <definedName name="Prod_Cat" localSheetId="1">#REF!</definedName>
    <definedName name="Prod_Cat" localSheetId="4">#REF!</definedName>
    <definedName name="Prod_Cat">#REF!</definedName>
    <definedName name="ProdForm" localSheetId="4" hidden="1">#REF!</definedName>
    <definedName name="ProdForm" hidden="1">#REF!</definedName>
    <definedName name="Product" localSheetId="4" hidden="1">#REF!</definedName>
    <definedName name="Product" hidden="1">#REF!</definedName>
    <definedName name="Prof" localSheetId="4">#REF!</definedName>
    <definedName name="Prof">#REF!</definedName>
    <definedName name="Prof_fees" localSheetId="4">#REF!</definedName>
    <definedName name="Prof_fees">#REF!</definedName>
    <definedName name="Prof_fees_12">"$#REF!.$F$31"</definedName>
    <definedName name="Prof_fees_18">"$#REF!.$F$36"</definedName>
    <definedName name="Prof_fees_2">"$#REF!.$F$31"</definedName>
    <definedName name="Prof_fees_38">"$#REF!.$F$34"</definedName>
    <definedName name="Prof_fees_4">"$#REF!.$F$31"</definedName>
    <definedName name="Prof_fees_5">"$#REF!.$F$31"</definedName>
    <definedName name="Prof_fees_6">"$#REF!.$F$31"</definedName>
    <definedName name="Prof_fees_7">"$#REF!.$F$31"</definedName>
    <definedName name="Prof_fees_8">"$#REF!.$F$31"</definedName>
    <definedName name="Prof_fees1" localSheetId="0">#REF!</definedName>
    <definedName name="Prof_fees1" localSheetId="1">#REF!</definedName>
    <definedName name="Prof_fees1" localSheetId="4">#REF!</definedName>
    <definedName name="Prof_fees1">#REF!</definedName>
    <definedName name="Profees" localSheetId="0">#REF!</definedName>
    <definedName name="Profees" localSheetId="1">#REF!</definedName>
    <definedName name="Profees">'[57]Storage Units'!$F$48</definedName>
    <definedName name="Profit" localSheetId="0">#REF!</definedName>
    <definedName name="Profit" localSheetId="1">#REF!</definedName>
    <definedName name="Profit" localSheetId="4">#REF!</definedName>
    <definedName name="Profit">#REF!</definedName>
    <definedName name="Profit_Loss" localSheetId="0">#REF!</definedName>
    <definedName name="Profit_Loss" localSheetId="1">#REF!</definedName>
    <definedName name="Profit_Loss" localSheetId="4">#REF!</definedName>
    <definedName name="Profit_Loss">#REF!</definedName>
    <definedName name="Proj_curr" localSheetId="4">#REF!</definedName>
    <definedName name="Proj_curr">#REF!</definedName>
    <definedName name="Proj_no" localSheetId="0">#REF!</definedName>
    <definedName name="Proj_no" localSheetId="1">#REF!</definedName>
    <definedName name="Proj_no" localSheetId="4">#REF!</definedName>
    <definedName name="Proj_no">#REF!</definedName>
    <definedName name="Proj_Spec_Airfield_Pavements" localSheetId="0">#REF!</definedName>
    <definedName name="Proj_Spec_Airfield_Pavements" localSheetId="1">#REF!</definedName>
    <definedName name="Proj_Spec_Airfield_Pavements" localSheetId="4">#REF!</definedName>
    <definedName name="Proj_Spec_Airfield_Pavements">#REF!</definedName>
    <definedName name="Proj_Spec_Baggage_Systems" localSheetId="0">#REF!</definedName>
    <definedName name="Proj_Spec_Baggage_Systems" localSheetId="1">#REF!</definedName>
    <definedName name="Proj_Spec_Baggage_Systems" localSheetId="4">#REF!</definedName>
    <definedName name="Proj_Spec_Baggage_Systems">#REF!</definedName>
    <definedName name="Proj_Spec_Envelope" localSheetId="0">#REF!</definedName>
    <definedName name="Proj_Spec_Envelope" localSheetId="1">#REF!</definedName>
    <definedName name="Proj_Spec_Envelope" localSheetId="4">#REF!</definedName>
    <definedName name="Proj_Spec_Envelope">#REF!</definedName>
    <definedName name="Proj_Spec_External_Services" localSheetId="4">#REF!</definedName>
    <definedName name="Proj_Spec_External_Services">#REF!</definedName>
    <definedName name="Proj_Spec_Furn_Fit" localSheetId="4">#REF!</definedName>
    <definedName name="Proj_Spec_Furn_Fit">#REF!</definedName>
    <definedName name="Proj_Spec_Interiors" localSheetId="4">#REF!</definedName>
    <definedName name="Proj_Spec_Interiors">#REF!</definedName>
    <definedName name="Proj_Spec_Landscaping" localSheetId="4">#REF!</definedName>
    <definedName name="Proj_Spec_Landscaping">#REF!</definedName>
    <definedName name="Proj_Spec_Logistics" localSheetId="4">#REF!</definedName>
    <definedName name="Proj_Spec_Logistics">#REF!</definedName>
    <definedName name="Proj_Spec_PAX_Transportation" localSheetId="4">#REF!</definedName>
    <definedName name="Proj_Spec_PAX_Transportation">#REF!</definedName>
    <definedName name="Proj_Spec_Preliminaries" localSheetId="4">#REF!</definedName>
    <definedName name="Proj_Spec_Preliminaries">#REF!</definedName>
    <definedName name="Proj_Spec_Rail" localSheetId="4">#REF!</definedName>
    <definedName name="Proj_Spec_Rail">#REF!</definedName>
    <definedName name="Proj_Spec_Services_Prim_Second" localSheetId="4">#REF!</definedName>
    <definedName name="Proj_Spec_Services_Prim_Second">#REF!</definedName>
    <definedName name="Proj_Spec_Site_Works" localSheetId="4">#REF!</definedName>
    <definedName name="Proj_Spec_Site_Works">#REF!</definedName>
    <definedName name="Proj_Spec_Specialist_Electrical" localSheetId="4">#REF!</definedName>
    <definedName name="Proj_Spec_Specialist_Electrical">#REF!</definedName>
    <definedName name="Proj_Spec_Substructure" localSheetId="4">#REF!</definedName>
    <definedName name="Proj_Spec_Substructure">#REF!</definedName>
    <definedName name="Proj_Spec_Superstructure" localSheetId="4">#REF!</definedName>
    <definedName name="Proj_Spec_Superstructure">#REF!</definedName>
    <definedName name="Proj_Spec_Surface_Works" localSheetId="4">#REF!</definedName>
    <definedName name="Proj_Spec_Surface_Works">#REF!</definedName>
    <definedName name="Proj_Spec_TTS" localSheetId="4">#REF!</definedName>
    <definedName name="Proj_Spec_TTS">#REF!</definedName>
    <definedName name="Proj_SpecFees_Costs" localSheetId="4">#REF!</definedName>
    <definedName name="Proj_SpecFees_Costs">#REF!</definedName>
    <definedName name="Proj_title" localSheetId="0">#REF!</definedName>
    <definedName name="Proj_title" localSheetId="1">#REF!</definedName>
    <definedName name="Proj_title" localSheetId="4">#REF!</definedName>
    <definedName name="Proj_title">#REF!</definedName>
    <definedName name="Proj_Unit" localSheetId="0">#REF!</definedName>
    <definedName name="Proj_Unit" localSheetId="1">#REF!</definedName>
    <definedName name="Proj_Unit" localSheetId="4">#REF!</definedName>
    <definedName name="Proj_Unit">#REF!</definedName>
    <definedName name="projcum" localSheetId="0">OFFSET(#REF!,0,0,COUNTA(#REF!),1)</definedName>
    <definedName name="projcum" localSheetId="1">OFFSET(#REF!,0,0,COUNTA(#REF!),1)</definedName>
    <definedName name="projcum" localSheetId="4">OFFSET(#REF!,0,0,COUNTA(#REF!),1)</definedName>
    <definedName name="projcum">OFFSET(#REF!,0,0,COUNTA(#REF!),1)</definedName>
    <definedName name="projcum1" localSheetId="0">OFFSET(#REF!,0,0,COUNTA(#REF!),1)</definedName>
    <definedName name="projcum1" localSheetId="1">OFFSET(#REF!,0,0,COUNTA(#REF!),1)</definedName>
    <definedName name="projcum1" localSheetId="4">OFFSET(#REF!,0,0,COUNTA(#REF!),1)</definedName>
    <definedName name="projcum1">OFFSET(#REF!,0,0,COUNTA(#REF!),1)</definedName>
    <definedName name="project" localSheetId="0">#REF!</definedName>
    <definedName name="project" localSheetId="1">#REF!</definedName>
    <definedName name="project" localSheetId="4">#REF!</definedName>
    <definedName name="project">#REF!</definedName>
    <definedName name="Project_Name" localSheetId="0">#REF!</definedName>
    <definedName name="Project_Name" localSheetId="1">#REF!</definedName>
    <definedName name="Project_Name" localSheetId="4">#REF!</definedName>
    <definedName name="Project_Name">#REF!</definedName>
    <definedName name="projectedmonthly" localSheetId="0">OFFSET(#REF!,0,0,COUNTA(#REF!),1)</definedName>
    <definedName name="projectedmonthly" localSheetId="1">OFFSET(#REF!,0,0,COUNTA(#REF!),1)</definedName>
    <definedName name="projectedmonthly">OFFSET('[58]Cash Flow'!$D$53,0,0,COUNTA('[58]Cash Flow'!$D:$D),1)</definedName>
    <definedName name="ProjMgt" localSheetId="0">#REF!</definedName>
    <definedName name="ProjMgt" localSheetId="1">#REF!</definedName>
    <definedName name="ProjMgt" localSheetId="4">#REF!</definedName>
    <definedName name="ProjMgt">#REF!</definedName>
    <definedName name="projmonthly" localSheetId="0">OFFSET(#REF!,0,0,COUNTA(#REF!),1)</definedName>
    <definedName name="projmonthly" localSheetId="1">OFFSET(#REF!,0,0,COUNTA(#REF!),1)</definedName>
    <definedName name="projmonthly" localSheetId="4">OFFSET(#REF!,0,0,COUNTA(#REF!),1)</definedName>
    <definedName name="projmonthly">OFFSET(#REF!,0,0,COUNTA(#REF!),1)</definedName>
    <definedName name="projmonthly1" localSheetId="0">OFFSET(#REF!,0,0,COUNTA(#REF!),1)</definedName>
    <definedName name="projmonthly1" localSheetId="1">OFFSET(#REF!,0,0,COUNTA(#REF!),1)</definedName>
    <definedName name="projmonthly1" localSheetId="4">OFFSET(#REF!,0,0,COUNTA(#REF!),1)</definedName>
    <definedName name="projmonthly1">OFFSET(#REF!,0,0,COUNTA(#REF!),1)</definedName>
    <definedName name="projmonthmax" localSheetId="0">OFFSET(#REF!,0,0,MATCH(#REF!,#REF!,0),1)</definedName>
    <definedName name="projmonthmax" localSheetId="1">OFFSET(#REF!,0,0,MATCH(#REF!,#REF!,0),1)</definedName>
    <definedName name="projmonthmax" localSheetId="4">OFFSET(#REF!,0,0,MATCH(#REF!,#REF!,0),1)</definedName>
    <definedName name="projmonthmax">OFFSET(#REF!,0,0,MATCH(#REF!,#REF!,0),1)</definedName>
    <definedName name="prov_sums" localSheetId="0">#REF!</definedName>
    <definedName name="prov_sums" localSheetId="1">#REF!</definedName>
    <definedName name="prov_sums" localSheetId="4">#REF!</definedName>
    <definedName name="prov_sums">#REF!</definedName>
    <definedName name="Provforecastfinal" localSheetId="0">#REF!</definedName>
    <definedName name="Provforecastfinal" localSheetId="1">#REF!</definedName>
    <definedName name="Provforecastfinal" localSheetId="4">#REF!</definedName>
    <definedName name="Provforecastfinal">#REF!</definedName>
    <definedName name="ps" localSheetId="4">#REF!</definedName>
    <definedName name="ps">#REF!</definedName>
    <definedName name="Pst_Gross_sales" localSheetId="4">#REF!</definedName>
    <definedName name="Pst_Gross_sales">#REF!</definedName>
    <definedName name="puoip" localSheetId="0" hidden="1">{#N/A,#N/A,FALSE,"GERAL";#N/A,#N/A,FALSE,"012-96";#N/A,#N/A,FALSE,"018-96";#N/A,#N/A,FALSE,"027-96";#N/A,#N/A,FALSE,"059-96";#N/A,#N/A,FALSE,"076-96";#N/A,#N/A,FALSE,"019-97";#N/A,#N/A,FALSE,"021-97";#N/A,#N/A,FALSE,"022-97";#N/A,#N/A,FALSE,"028-97"}</definedName>
    <definedName name="puoip" localSheetId="1" hidden="1">{#N/A,#N/A,FALSE,"GERAL";#N/A,#N/A,FALSE,"012-96";#N/A,#N/A,FALSE,"018-96";#N/A,#N/A,FALSE,"027-96";#N/A,#N/A,FALSE,"059-96";#N/A,#N/A,FALSE,"076-96";#N/A,#N/A,FALSE,"019-97";#N/A,#N/A,FALSE,"021-97";#N/A,#N/A,FALSE,"022-97";#N/A,#N/A,FALSE,"028-97"}</definedName>
    <definedName name="puoip" localSheetId="4" hidden="1">{#N/A,#N/A,FALSE,"GERAL";#N/A,#N/A,FALSE,"012-96";#N/A,#N/A,FALSE,"018-96";#N/A,#N/A,FALSE,"027-96";#N/A,#N/A,FALSE,"059-96";#N/A,#N/A,FALSE,"076-96";#N/A,#N/A,FALSE,"019-97";#N/A,#N/A,FALSE,"021-97";#N/A,#N/A,FALSE,"022-97";#N/A,#N/A,FALSE,"028-97"}</definedName>
    <definedName name="puoip" hidden="1">{#N/A,#N/A,FALSE,"GERAL";#N/A,#N/A,FALSE,"012-96";#N/A,#N/A,FALSE,"018-96";#N/A,#N/A,FALSE,"027-96";#N/A,#N/A,FALSE,"059-96";#N/A,#N/A,FALSE,"076-96";#N/A,#N/A,FALSE,"019-97";#N/A,#N/A,FALSE,"021-97";#N/A,#N/A,FALSE,"022-97";#N/A,#N/A,FALSE,"028-97"}</definedName>
    <definedName name="Purchaser_costs" localSheetId="0">#REF!</definedName>
    <definedName name="Purchaser_costs" localSheetId="1">#REF!</definedName>
    <definedName name="Purchaser_costs" localSheetId="4">#REF!</definedName>
    <definedName name="Purchaser_costs">#REF!</definedName>
    <definedName name="PVCAus" localSheetId="0">#REF!</definedName>
    <definedName name="PVCAus" localSheetId="1">#REF!</definedName>
    <definedName name="PVCAus" localSheetId="4">#REF!</definedName>
    <definedName name="PVCAus">#REF!</definedName>
    <definedName name="PVCAusClass" localSheetId="0">#REF!</definedName>
    <definedName name="PVCAusClass" localSheetId="1">#REF!</definedName>
    <definedName name="PVCAusClass" localSheetId="4">#REF!</definedName>
    <definedName name="PVCAusClass">#REF!</definedName>
    <definedName name="PVCAusSize" localSheetId="4">#REF!</definedName>
    <definedName name="PVCAusSize">#REF!</definedName>
    <definedName name="PW" localSheetId="0">#REF!</definedName>
    <definedName name="PW" localSheetId="1">#REF!</definedName>
    <definedName name="PW">'[9]SUPPLEMENTARY SHEETS'!#REF!</definedName>
    <definedName name="QT" localSheetId="0">#REF!</definedName>
    <definedName name="QT" localSheetId="1">#REF!</definedName>
    <definedName name="QT" localSheetId="4">#REF!</definedName>
    <definedName name="QT">#REF!</definedName>
    <definedName name="Qtr_NPV" localSheetId="0">#REF!</definedName>
    <definedName name="Qtr_NPV" localSheetId="1">#REF!</definedName>
    <definedName name="Qtr_NPV" localSheetId="4">#REF!</definedName>
    <definedName name="Qtr_NPV">#REF!</definedName>
    <definedName name="Quantities" localSheetId="4">#REF!</definedName>
    <definedName name="Quantities">#REF!</definedName>
    <definedName name="Quantities1" localSheetId="4">#REF!</definedName>
    <definedName name="Quantities1">#REF!</definedName>
    <definedName name="qwe" localSheetId="0">#REF!</definedName>
    <definedName name="qwe" localSheetId="1">#REF!</definedName>
    <definedName name="qwe" localSheetId="4">#REF!</definedName>
    <definedName name="qwe">#REF!</definedName>
    <definedName name="RANew" localSheetId="0">#REF!</definedName>
    <definedName name="RANew" localSheetId="1">#REF!</definedName>
    <definedName name="RANew">[27]Income!$P$26</definedName>
    <definedName name="RAO" localSheetId="0">#REF!</definedName>
    <definedName name="RAO" localSheetId="1">#REF!</definedName>
    <definedName name="RAO" localSheetId="4">#REF!</definedName>
    <definedName name="RAO">#REF!</definedName>
    <definedName name="RATE" localSheetId="0">#REF!</definedName>
    <definedName name="RATE" localSheetId="1">#REF!</definedName>
    <definedName name="RATE">[55]Viability!#REF!</definedName>
    <definedName name="Rate1" localSheetId="0">#REF!</definedName>
    <definedName name="Rate1" localSheetId="1">#REF!</definedName>
    <definedName name="Rate1" localSheetId="4">#REF!</definedName>
    <definedName name="Rate1">#REF!</definedName>
    <definedName name="Ratenew2" localSheetId="0">#REF!</definedName>
    <definedName name="Ratenew2" localSheetId="1">#REF!</definedName>
    <definedName name="Ratenew2" localSheetId="4">#REF!</definedName>
    <definedName name="Ratenew2">#REF!</definedName>
    <definedName name="Rates" localSheetId="4">#REF!</definedName>
    <definedName name="Rates">#REF!</definedName>
    <definedName name="Rates1" localSheetId="4">#REF!</definedName>
    <definedName name="Rates1">#REF!</definedName>
    <definedName name="Rates2" localSheetId="4">#REF!</definedName>
    <definedName name="Rates2">#REF!</definedName>
    <definedName name="Rateschedule" localSheetId="4">#REF!</definedName>
    <definedName name="Rateschedule">#REF!</definedName>
    <definedName name="RCArea" localSheetId="4" hidden="1">#REF!</definedName>
    <definedName name="RCArea" hidden="1">#REF!</definedName>
    <definedName name="RCOV" localSheetId="0">#REF!</definedName>
    <definedName name="RCOV" localSheetId="1">#REF!</definedName>
    <definedName name="RCOV">'[9]SUPPLEMENTARY SHEETS'!#REF!</definedName>
    <definedName name="re" localSheetId="0">#REF!</definedName>
    <definedName name="re" localSheetId="1">#REF!</definedName>
    <definedName name="re">[22]INDEX!#REF!</definedName>
    <definedName name="Reduce" localSheetId="0">#REF!</definedName>
    <definedName name="Reduce" localSheetId="1">#REF!</definedName>
    <definedName name="Reduce">[59]Sheet1!$A$1:$A$11</definedName>
    <definedName name="ReefDevCapM" localSheetId="0">#REF!</definedName>
    <definedName name="ReefDevCapM" localSheetId="1">#REF!</definedName>
    <definedName name="ReefDevCapM" localSheetId="4">#REF!</definedName>
    <definedName name="ReefDevCapM">#REF!</definedName>
    <definedName name="ReefDevGrade" localSheetId="4">#REF!</definedName>
    <definedName name="ReefDevGrade">#REF!</definedName>
    <definedName name="ReefDevPGM" localSheetId="4">#REF!</definedName>
    <definedName name="ReefDevPGM">#REF!</definedName>
    <definedName name="ReefDevPriM" localSheetId="4">#REF!</definedName>
    <definedName name="ReefDevPriM">#REF!</definedName>
    <definedName name="ReefDevSecM" localSheetId="4">#REF!</definedName>
    <definedName name="ReefDevSecM">#REF!</definedName>
    <definedName name="ReefDevTotM" localSheetId="4">#REF!</definedName>
    <definedName name="ReefDevTotM">#REF!</definedName>
    <definedName name="ReefDevTotT" localSheetId="4">#REF!</definedName>
    <definedName name="ReefDevTotT">#REF!</definedName>
    <definedName name="ReefDevTperM" localSheetId="4">#REF!</definedName>
    <definedName name="ReefDevTperM">#REF!</definedName>
    <definedName name="ReefLossPC" localSheetId="4">#REF!</definedName>
    <definedName name="ReefLossPC">#REF!</definedName>
    <definedName name="REI_Act" localSheetId="4">#REF!</definedName>
    <definedName name="REI_Act">#REF!</definedName>
    <definedName name="RENE" localSheetId="4">#REF!</definedName>
    <definedName name="RENE">#REF!</definedName>
    <definedName name="rent_review_fee__new_passing" localSheetId="4">#REF!</definedName>
    <definedName name="rent_review_fee__new_passing">#REF!</definedName>
    <definedName name="report" localSheetId="4">#REF!</definedName>
    <definedName name="report">#REF!</definedName>
    <definedName name="reportno" localSheetId="4">#REF!</definedName>
    <definedName name="reportno">#REF!</definedName>
    <definedName name="Req" localSheetId="0">#REF!</definedName>
    <definedName name="Req" localSheetId="1">#REF!</definedName>
    <definedName name="Req">[2]Equip!#REF!</definedName>
    <definedName name="Res_Costs" localSheetId="0">#REF!</definedName>
    <definedName name="Res_Costs" localSheetId="1">#REF!</definedName>
    <definedName name="Res_Costs" localSheetId="4">#REF!</definedName>
    <definedName name="Res_Costs">#REF!</definedName>
    <definedName name="Res_Income1" localSheetId="0">#REF!</definedName>
    <definedName name="Res_Income1" localSheetId="1">#REF!</definedName>
    <definedName name="Res_Income1" localSheetId="4">#REF!</definedName>
    <definedName name="Res_Income1">#REF!</definedName>
    <definedName name="Res_Income2" localSheetId="4">#REF!</definedName>
    <definedName name="Res_Income2">#REF!</definedName>
    <definedName name="Res_Income3" localSheetId="4">#REF!</definedName>
    <definedName name="Res_Income3">#REF!</definedName>
    <definedName name="Res_IncomeG" localSheetId="4">#REF!</definedName>
    <definedName name="Res_IncomeG">#REF!</definedName>
    <definedName name="ResDisp" localSheetId="4">#REF!</definedName>
    <definedName name="ResDisp">#REF!</definedName>
    <definedName name="Residual_Risk_Rating" localSheetId="0">#REF!</definedName>
    <definedName name="Residual_Risk_Rating" localSheetId="1">#REF!</definedName>
    <definedName name="Residual_Risk_Rating" localSheetId="4">#REF!</definedName>
    <definedName name="Residual_Risk_Rating">#REF!</definedName>
    <definedName name="Resources" localSheetId="0">#REF!</definedName>
    <definedName name="Resources" localSheetId="1">#REF!</definedName>
    <definedName name="Resources" localSheetId="4">#REF!</definedName>
    <definedName name="Resources">#REF!</definedName>
    <definedName name="REST" localSheetId="0">#REF!</definedName>
    <definedName name="REST" localSheetId="1">#REF!</definedName>
    <definedName name="REST" localSheetId="4">#REF!</definedName>
    <definedName name="REST">#REF!</definedName>
    <definedName name="RET" localSheetId="0">#REF!</definedName>
    <definedName name="RET" localSheetId="1">#REF!</definedName>
    <definedName name="RET" localSheetId="4">#REF!</definedName>
    <definedName name="RET">#REF!</definedName>
    <definedName name="retention" localSheetId="0">#REF!</definedName>
    <definedName name="retention" localSheetId="1">#REF!</definedName>
    <definedName name="retention">[60]Front!$J$21</definedName>
    <definedName name="Retention_percentage" localSheetId="0">#REF!</definedName>
    <definedName name="Retention_percentage" localSheetId="1">#REF!</definedName>
    <definedName name="Retention_percentage">[32]Cashflow!$E$13</definedName>
    <definedName name="Retention_percentage1" localSheetId="0">#REF!</definedName>
    <definedName name="Retention_percentage1" localSheetId="1">#REF!</definedName>
    <definedName name="Retention_percentage1" localSheetId="4">#REF!</definedName>
    <definedName name="Retention_percentage1">#REF!</definedName>
    <definedName name="Retention_period" localSheetId="0">#REF!</definedName>
    <definedName name="Retention_period" localSheetId="1">#REF!</definedName>
    <definedName name="Retention_period">[32]Cashflow!$E$14</definedName>
    <definedName name="Retention_period1" localSheetId="0">#REF!</definedName>
    <definedName name="Retention_period1" localSheetId="1">#REF!</definedName>
    <definedName name="Retention_period1" localSheetId="4">#REF!</definedName>
    <definedName name="Retention_period1">#REF!</definedName>
    <definedName name="Rev" localSheetId="0">#REF!</definedName>
    <definedName name="Rev" localSheetId="1">#REF!</definedName>
    <definedName name="Rev" localSheetId="4">#REF!</definedName>
    <definedName name="Rev">#REF!</definedName>
    <definedName name="ReviewDate_Text" localSheetId="4">#REF!</definedName>
    <definedName name="ReviewDate_Text">#REF!</definedName>
    <definedName name="Revision" localSheetId="4">#REF!</definedName>
    <definedName name="Revision">#REF!</definedName>
    <definedName name="Revolving" localSheetId="0">#REF!</definedName>
    <definedName name="Revolving" localSheetId="1">#REF!</definedName>
    <definedName name="Revolving">[19]BOQ!$C$439</definedName>
    <definedName name="RFP" localSheetId="0">#REF!</definedName>
    <definedName name="RFP" localSheetId="1">#REF!</definedName>
    <definedName name="RFP" localSheetId="4">#REF!</definedName>
    <definedName name="RFP">#REF!</definedName>
    <definedName name="RHose" localSheetId="0">#REF!</definedName>
    <definedName name="RHose" localSheetId="1">#REF!</definedName>
    <definedName name="RHose" localSheetId="4">#REF!</definedName>
    <definedName name="RHose">#REF!</definedName>
    <definedName name="RHoseClass" localSheetId="4">#REF!</definedName>
    <definedName name="RHoseClass">#REF!</definedName>
    <definedName name="RHoseSize" localSheetId="4">#REF!</definedName>
    <definedName name="RHoseSize">#REF!</definedName>
    <definedName name="risk" localSheetId="4">#REF!</definedName>
    <definedName name="risk">#REF!</definedName>
    <definedName name="RiskAfterRecalcMacro" hidden="1">""</definedName>
    <definedName name="RiskAfterSimMacro" hidden="1">""</definedName>
    <definedName name="RiskAutoStopPercChange">1.5</definedName>
    <definedName name="RiskBeforeRecalcMacro" hidden="1">""</definedName>
    <definedName name="RiskBeforeSimMacro" hidden="1">""</definedName>
    <definedName name="RiskCollectDistributionSamples">2</definedName>
    <definedName name="RiskCorrelationSheet" localSheetId="0">#REF!</definedName>
    <definedName name="RiskCorrelationSheet" localSheetId="1">#REF!</definedName>
    <definedName name="RiskCorrelationSheet" localSheetId="4">#REF!</definedName>
    <definedName name="RiskCorrelationSheet">#REF!</definedName>
    <definedName name="RiskExcelReportsGoInNewWorkbook">TRUE</definedName>
    <definedName name="RiskExcelReportsToGenerate">0</definedName>
    <definedName name="RiskFixedSeed">1</definedName>
    <definedName name="RiskGenerateExcelReportsAtEndOfSimulation">FALSE</definedName>
    <definedName name="RiskHasSettings" localSheetId="0" hidden="1">5</definedName>
    <definedName name="RiskHasSettings" localSheetId="1" hidden="1">5</definedName>
    <definedName name="RiskHasSettings">TRUE</definedName>
    <definedName name="RiskIsInput" localSheetId="0">RiskCellHasTokens(512)</definedName>
    <definedName name="RiskIsInput" localSheetId="1">RiskCellHasTokens(512)</definedName>
    <definedName name="RiskIsInput" localSheetId="4">RiskCellHasTokens(512)</definedName>
    <definedName name="RiskIsInput">RiskCellHasTokens(512)</definedName>
    <definedName name="RiskIsOutput" localSheetId="0">RiskCellHasTokens(1024)</definedName>
    <definedName name="RiskIsOutput" localSheetId="1">RiskCellHasTokens(1024)</definedName>
    <definedName name="RiskIsOutput" localSheetId="4">RiskCellHasTokens(1024)</definedName>
    <definedName name="RiskIsOutput">RiskCellHasTokens(1024)</definedName>
    <definedName name="RiskMinimizeOnStart">FALSE</definedName>
    <definedName name="RiskMonitorConvergence">FALSE</definedName>
    <definedName name="RiskMultipleCPUSupportEnabled" hidden="1">TRUE</definedName>
    <definedName name="RiskNumIterations" localSheetId="0" hidden="1">5000</definedName>
    <definedName name="RiskNumIterations" localSheetId="1" hidden="1">5000</definedName>
    <definedName name="RiskNumIterations">1000</definedName>
    <definedName name="RiskNumSimulations">1</definedName>
    <definedName name="RiskPauseOnError">FALSE</definedName>
    <definedName name="RiskRealTimeResults">FALSE</definedName>
    <definedName name="RiskReportGraphFormat">0</definedName>
    <definedName name="RiskResultsUpdateFreq">100</definedName>
    <definedName name="RiskRunAfterRecalcMacro">FALSE</definedName>
    <definedName name="RiskRunAfterSimMacro">FALSE</definedName>
    <definedName name="RiskRunBeforeRecalcMacro">FALSE</definedName>
    <definedName name="RiskRunBeforeSimMacro">FALSE</definedName>
    <definedName name="RiskSamplingType" localSheetId="0" hidden="1">3</definedName>
    <definedName name="RiskSamplingType" localSheetId="1" hidden="1">3</definedName>
    <definedName name="RiskSamplingType">2</definedName>
    <definedName name="RiskShowRiskWindowAtEndOfSimulation">TRUE</definedName>
    <definedName name="RiskStandardRecalc">2</definedName>
    <definedName name="RiskStatFunctionsUpdateFreq">1</definedName>
    <definedName name="RiskSwapState" hidden="1">FALSE</definedName>
    <definedName name="RiskTemplateSheetName">"myTemplate"</definedName>
    <definedName name="RiskUpdateDisplay" localSheetId="0" hidden="1">TRUE</definedName>
    <definedName name="RiskUpdateDisplay" localSheetId="1" hidden="1">TRUE</definedName>
    <definedName name="RiskUpdateDisplay">FALSE</definedName>
    <definedName name="RiskUpdateStatFunctions">TRUE</definedName>
    <definedName name="RiskUseDifferentSeedForEachSim">FALSE</definedName>
    <definedName name="RiskUseFixedSeed">FALSE</definedName>
    <definedName name="RiskUseMultipleCPUs">FALSE</definedName>
    <definedName name="RIY" localSheetId="0">#REF!</definedName>
    <definedName name="RIY" localSheetId="1">#REF!</definedName>
    <definedName name="RIY" localSheetId="4">#REF!</definedName>
    <definedName name="RIY">#REF!</definedName>
    <definedName name="rl" localSheetId="0" hidden="1">{#N/A,#N/A,TRUE,"COVER";#N/A,#N/A,TRUE,"DETAILS";#N/A,#N/A,TRUE,"SUMMARY";#N/A,#N/A,TRUE,"EXP MON";#N/A,#N/A,TRUE,"APPENDIX A";#N/A,#N/A,TRUE,"APPENDIX B";#N/A,#N/A,TRUE,"APPENDIX C";#N/A,#N/A,TRUE,"APPENDIX D";#N/A,#N/A,TRUE,"APPENDIX E";#N/A,#N/A,TRUE,"APPENDIX F";#N/A,#N/A,TRUE,"APPENDIX G"}</definedName>
    <definedName name="rl" localSheetId="1" hidden="1">{#N/A,#N/A,TRUE,"COVER";#N/A,#N/A,TRUE,"DETAILS";#N/A,#N/A,TRUE,"SUMMARY";#N/A,#N/A,TRUE,"EXP MON";#N/A,#N/A,TRUE,"APPENDIX A";#N/A,#N/A,TRUE,"APPENDIX B";#N/A,#N/A,TRUE,"APPENDIX C";#N/A,#N/A,TRUE,"APPENDIX D";#N/A,#N/A,TRUE,"APPENDIX E";#N/A,#N/A,TRUE,"APPENDIX F";#N/A,#N/A,TRUE,"APPENDIX G"}</definedName>
    <definedName name="rl" localSheetId="4" hidden="1">{#N/A,#N/A,TRUE,"COVER";#N/A,#N/A,TRUE,"DETAILS";#N/A,#N/A,TRUE,"SUMMARY";#N/A,#N/A,TRUE,"EXP MON";#N/A,#N/A,TRUE,"APPENDIX A";#N/A,#N/A,TRUE,"APPENDIX B";#N/A,#N/A,TRUE,"APPENDIX C";#N/A,#N/A,TRUE,"APPENDIX D";#N/A,#N/A,TRUE,"APPENDIX E";#N/A,#N/A,TRUE,"APPENDIX F";#N/A,#N/A,TRUE,"APPENDIX G"}</definedName>
    <definedName name="rl" hidden="1">{#N/A,#N/A,TRUE,"COVER";#N/A,#N/A,TRUE,"DETAILS";#N/A,#N/A,TRUE,"SUMMARY";#N/A,#N/A,TRUE,"EXP MON";#N/A,#N/A,TRUE,"APPENDIX A";#N/A,#N/A,TRUE,"APPENDIX B";#N/A,#N/A,TRUE,"APPENDIX C";#N/A,#N/A,TRUE,"APPENDIX D";#N/A,#N/A,TRUE,"APPENDIX E";#N/A,#N/A,TRUE,"APPENDIX F";#N/A,#N/A,TRUE,"APPENDIX G"}</definedName>
    <definedName name="Rng" localSheetId="0">#REF!</definedName>
    <definedName name="Rng" localSheetId="1">#REF!</definedName>
    <definedName name="Rng" localSheetId="4">#REF!</definedName>
    <definedName name="Rng">#REF!</definedName>
    <definedName name="RngAvgKW" localSheetId="0">#REF!</definedName>
    <definedName name="RngAvgKW" localSheetId="1">#REF!</definedName>
    <definedName name="RngAvgKW" localSheetId="4">#REF!</definedName>
    <definedName name="RngAvgKW">#REF!</definedName>
    <definedName name="RngBtmRow" localSheetId="0">#REF!</definedName>
    <definedName name="RngBtmRow" localSheetId="1">#REF!</definedName>
    <definedName name="RngBtmRow" localSheetId="4">#REF!</definedName>
    <definedName name="RngBtmRow">#REF!</definedName>
    <definedName name="RngCommentsStyle" localSheetId="0">#REF!</definedName>
    <definedName name="RngCommentsStyle" localSheetId="1">#REF!</definedName>
    <definedName name="RngCommentsStyle" localSheetId="4">#REF!</definedName>
    <definedName name="RngCommentsStyle">#REF!</definedName>
    <definedName name="RngDutyPt" localSheetId="0">#REF!</definedName>
    <definedName name="RngDutyPt" localSheetId="1">#REF!</definedName>
    <definedName name="RngDutyPt" localSheetId="4">#REF!</definedName>
    <definedName name="RngDutyPt">#REF!</definedName>
    <definedName name="RngDutyPtStyle" localSheetId="0">#REF!</definedName>
    <definedName name="RngDutyPtStyle" localSheetId="1">#REF!</definedName>
    <definedName name="RngDutyPtStyle" localSheetId="4">#REF!</definedName>
    <definedName name="RngDutyPtStyle">#REF!</definedName>
    <definedName name="RngEqptLst" localSheetId="0">#REF!</definedName>
    <definedName name="RngEqptLst" localSheetId="1">#REF!</definedName>
    <definedName name="RngEqptLst" localSheetId="4">#REF!</definedName>
    <definedName name="RngEqptLst">#REF!</definedName>
    <definedName name="RngGeneric2" localSheetId="0">#REF!</definedName>
    <definedName name="RngGeneric2" localSheetId="1">#REF!</definedName>
    <definedName name="RngGeneric2" localSheetId="4">#REF!</definedName>
    <definedName name="RngGeneric2">#REF!</definedName>
    <definedName name="RngPeakKW" localSheetId="0">#REF!</definedName>
    <definedName name="RngPeakKW" localSheetId="1">#REF!</definedName>
    <definedName name="RngPeakKW" localSheetId="4">#REF!</definedName>
    <definedName name="RngPeakKW">#REF!</definedName>
    <definedName name="RngSize" localSheetId="0">#REF!</definedName>
    <definedName name="RngSize" localSheetId="1">#REF!</definedName>
    <definedName name="RngSize" localSheetId="4">#REF!</definedName>
    <definedName name="RngSize">#REF!</definedName>
    <definedName name="RngSizeStyle" localSheetId="0">#REF!</definedName>
    <definedName name="RngSizeStyle" localSheetId="1">#REF!</definedName>
    <definedName name="RngSizeStyle" localSheetId="4">#REF!</definedName>
    <definedName name="RngSizeStyle">#REF!</definedName>
    <definedName name="RngTotKW" localSheetId="0">#REF!</definedName>
    <definedName name="RngTotKW" localSheetId="1">#REF!</definedName>
    <definedName name="RngTotKW" localSheetId="4">#REF!</definedName>
    <definedName name="RngTotKW">#REF!</definedName>
    <definedName name="roads" localSheetId="0">#REF!</definedName>
    <definedName name="roads" localSheetId="1">#REF!</definedName>
    <definedName name="roads">[26]hoarding!#REF!</definedName>
    <definedName name="ROD" localSheetId="0">#REF!</definedName>
    <definedName name="ROD" localSheetId="1">#REF!</definedName>
    <definedName name="ROD" localSheetId="4">#REF!</definedName>
    <definedName name="ROD">#REF!</definedName>
    <definedName name="RowIndex" localSheetId="0">#REF!</definedName>
    <definedName name="RowIndex" localSheetId="1">#REF!</definedName>
    <definedName name="RowIndex" localSheetId="4">#REF!</definedName>
    <definedName name="RowIndex">#REF!</definedName>
    <definedName name="rp" localSheetId="4">#REF!</definedName>
    <definedName name="rp">#REF!</definedName>
    <definedName name="rpd" localSheetId="4">#REF!</definedName>
    <definedName name="rpd">#REF!</definedName>
    <definedName name="RR" localSheetId="4">#REF!</definedName>
    <definedName name="RR">#REF!</definedName>
    <definedName name="s" localSheetId="4">#REF!</definedName>
    <definedName name="s">#REF!</definedName>
    <definedName name="S_curve" localSheetId="0">#REF!</definedName>
    <definedName name="S_curve" localSheetId="1">#REF!</definedName>
    <definedName name="S_curve">'[61]Input - S-curve Severity'!$B$38:$C$138</definedName>
    <definedName name="SAG_INPUTS" localSheetId="0">#REF!</definedName>
    <definedName name="SAG_INPUTS" localSheetId="1">#REF!</definedName>
    <definedName name="SAG_INPUTS" localSheetId="4">#REF!</definedName>
    <definedName name="SAG_INPUTS">#REF!</definedName>
    <definedName name="Salary" localSheetId="0">#REF!</definedName>
    <definedName name="Salary" localSheetId="1">#REF!</definedName>
    <definedName name="Salary" localSheetId="4">#REF!</definedName>
    <definedName name="Salary">#REF!</definedName>
    <definedName name="Sales_Cat" localSheetId="0">#REF!</definedName>
    <definedName name="Sales_Cat" localSheetId="1">#REF!</definedName>
    <definedName name="Sales_Cat" localSheetId="4">#REF!</definedName>
    <definedName name="Sales_Cat">#REF!</definedName>
    <definedName name="sales_income" localSheetId="0">#REF!</definedName>
    <definedName name="sales_income" localSheetId="1">#REF!</definedName>
    <definedName name="sales_income">'[24]Devco Cashflow'!#REF!</definedName>
    <definedName name="SAPBEXdnldView" hidden="1">"BVIXNBSJWNF4VBQUKMHFUBDCW"</definedName>
    <definedName name="SAPBEXsysID" hidden="1">"B3P"</definedName>
    <definedName name="SAR" localSheetId="0">#REF!</definedName>
    <definedName name="SAR" localSheetId="1">#REF!</definedName>
    <definedName name="SAR" localSheetId="4">#REF!</definedName>
    <definedName name="SAR">#REF!</definedName>
    <definedName name="sas" localSheetId="0" hidden="1">{#N/A,#N/A,FALSE,"GERAL";#N/A,#N/A,FALSE,"012-96";#N/A,#N/A,FALSE,"018-96";#N/A,#N/A,FALSE,"027-96";#N/A,#N/A,FALSE,"059-96";#N/A,#N/A,FALSE,"076-96";#N/A,#N/A,FALSE,"019-97";#N/A,#N/A,FALSE,"021-97";#N/A,#N/A,FALSE,"022-97";#N/A,#N/A,FALSE,"028-97"}</definedName>
    <definedName name="sas" localSheetId="1" hidden="1">{#N/A,#N/A,FALSE,"GERAL";#N/A,#N/A,FALSE,"012-96";#N/A,#N/A,FALSE,"018-96";#N/A,#N/A,FALSE,"027-96";#N/A,#N/A,FALSE,"059-96";#N/A,#N/A,FALSE,"076-96";#N/A,#N/A,FALSE,"019-97";#N/A,#N/A,FALSE,"021-97";#N/A,#N/A,FALSE,"022-97";#N/A,#N/A,FALSE,"028-97"}</definedName>
    <definedName name="sas" localSheetId="4" hidden="1">{#N/A,#N/A,FALSE,"GERAL";#N/A,#N/A,FALSE,"012-96";#N/A,#N/A,FALSE,"018-96";#N/A,#N/A,FALSE,"027-96";#N/A,#N/A,FALSE,"059-96";#N/A,#N/A,FALSE,"076-96";#N/A,#N/A,FALSE,"019-97";#N/A,#N/A,FALSE,"021-97";#N/A,#N/A,FALSE,"022-97";#N/A,#N/A,FALSE,"028-97"}</definedName>
    <definedName name="sas" hidden="1">{#N/A,#N/A,FALSE,"GERAL";#N/A,#N/A,FALSE,"012-96";#N/A,#N/A,FALSE,"018-96";#N/A,#N/A,FALSE,"027-96";#N/A,#N/A,FALSE,"059-96";#N/A,#N/A,FALSE,"076-96";#N/A,#N/A,FALSE,"019-97";#N/A,#N/A,FALSE,"021-97";#N/A,#N/A,FALSE,"022-97";#N/A,#N/A,FALSE,"028-97"}</definedName>
    <definedName name="Sb" localSheetId="4">#REF!</definedName>
    <definedName name="Sb">#REF!</definedName>
    <definedName name="SBalustrade" localSheetId="0">#REF!</definedName>
    <definedName name="SBalustrade" localSheetId="1">#REF!</definedName>
    <definedName name="SBalustrade">'[19]Val breakdown'!$C$27</definedName>
    <definedName name="SBuilderWork" localSheetId="0">#REF!</definedName>
    <definedName name="SBuilderWork" localSheetId="1">#REF!</definedName>
    <definedName name="SBuilderWork">'[19]Val breakdown'!$C$57</definedName>
    <definedName name="SBW" localSheetId="0">#REF!</definedName>
    <definedName name="SBW" localSheetId="1">#REF!</definedName>
    <definedName name="SBW">'[9]SUPPLEMENTARY SHEETS'!#REF!</definedName>
    <definedName name="sc" localSheetId="0">#REF!</definedName>
    <definedName name="sc" localSheetId="1">#REF!</definedName>
    <definedName name="sc" localSheetId="4">#REF!</definedName>
    <definedName name="sc">#REF!</definedName>
    <definedName name="scaffold" localSheetId="0">#REF!</definedName>
    <definedName name="scaffold" localSheetId="1">#REF!</definedName>
    <definedName name="scaffold">[26]plant!#REF!</definedName>
    <definedName name="ScalpGrade" localSheetId="0">#REF!</definedName>
    <definedName name="ScalpGrade" localSheetId="1">#REF!</definedName>
    <definedName name="ScalpGrade" localSheetId="4">#REF!</definedName>
    <definedName name="ScalpGrade">#REF!</definedName>
    <definedName name="ScalpPGM" localSheetId="4">#REF!</definedName>
    <definedName name="ScalpPGM">#REF!</definedName>
    <definedName name="ScalpTons" localSheetId="4">#REF!</definedName>
    <definedName name="ScalpTons">#REF!</definedName>
    <definedName name="SCarpentry" localSheetId="0">#REF!</definedName>
    <definedName name="SCarpentry" localSheetId="1">#REF!</definedName>
    <definedName name="SCarpentry">'[19]Val breakdown'!$C$21</definedName>
    <definedName name="SCeilings" localSheetId="0">#REF!</definedName>
    <definedName name="SCeilings" localSheetId="1">#REF!</definedName>
    <definedName name="SCeilings">'[19]Val breakdown'!$C$22</definedName>
    <definedName name="Scenario" localSheetId="0">#REF!</definedName>
    <definedName name="Scenario" localSheetId="1">#REF!</definedName>
    <definedName name="Scenario" localSheetId="4">#REF!</definedName>
    <definedName name="Scenario">#REF!</definedName>
    <definedName name="SCHED1" localSheetId="0">#REF!</definedName>
    <definedName name="SCHED1" localSheetId="1">#REF!</definedName>
    <definedName name="SCHED1" localSheetId="4">#REF!</definedName>
    <definedName name="SCHED1">#REF!</definedName>
    <definedName name="SCHED2" localSheetId="4">#REF!</definedName>
    <definedName name="SCHED2">#REF!</definedName>
    <definedName name="SConc" localSheetId="0">#REF!</definedName>
    <definedName name="SConc" localSheetId="1">#REF!</definedName>
    <definedName name="SConc">'[19]Val breakdown'!$C$13</definedName>
    <definedName name="Scurry" localSheetId="0">#REF!</definedName>
    <definedName name="Scurry" localSheetId="1">#REF!</definedName>
    <definedName name="Scurry" localSheetId="4">#REF!</definedName>
    <definedName name="Scurry">#REF!</definedName>
    <definedName name="sdf" localSheetId="0" hidden="1">{#N/A,#N/A,FALSE,"GERAL";#N/A,#N/A,FALSE,"012-96";#N/A,#N/A,FALSE,"018-96";#N/A,#N/A,FALSE,"027-96";#N/A,#N/A,FALSE,"059-96";#N/A,#N/A,FALSE,"076-96";#N/A,#N/A,FALSE,"019-97";#N/A,#N/A,FALSE,"021-97";#N/A,#N/A,FALSE,"022-97";#N/A,#N/A,FALSE,"028-97"}</definedName>
    <definedName name="sdf" localSheetId="1" hidden="1">{#N/A,#N/A,FALSE,"GERAL";#N/A,#N/A,FALSE,"012-96";#N/A,#N/A,FALSE,"018-96";#N/A,#N/A,FALSE,"027-96";#N/A,#N/A,FALSE,"059-96";#N/A,#N/A,FALSE,"076-96";#N/A,#N/A,FALSE,"019-97";#N/A,#N/A,FALSE,"021-97";#N/A,#N/A,FALSE,"022-97";#N/A,#N/A,FALSE,"028-97"}</definedName>
    <definedName name="sdf" localSheetId="4" hidden="1">{#N/A,#N/A,FALSE,"GERAL";#N/A,#N/A,FALSE,"012-96";#N/A,#N/A,FALSE,"018-96";#N/A,#N/A,FALSE,"027-96";#N/A,#N/A,FALSE,"059-96";#N/A,#N/A,FALSE,"076-96";#N/A,#N/A,FALSE,"019-97";#N/A,#N/A,FALSE,"021-97";#N/A,#N/A,FALSE,"022-97";#N/A,#N/A,FALSE,"028-97"}</definedName>
    <definedName name="sdf" hidden="1">{#N/A,#N/A,FALSE,"GERAL";#N/A,#N/A,FALSE,"012-96";#N/A,#N/A,FALSE,"018-96";#N/A,#N/A,FALSE,"027-96";#N/A,#N/A,FALSE,"059-96";#N/A,#N/A,FALSE,"076-96";#N/A,#N/A,FALSE,"019-97";#N/A,#N/A,FALSE,"021-97";#N/A,#N/A,FALSE,"022-97";#N/A,#N/A,FALSE,"028-97"}</definedName>
    <definedName name="SDrainage" localSheetId="0">#REF!</definedName>
    <definedName name="SDrainage" localSheetId="1">#REF!</definedName>
    <definedName name="SDrainage">'[19]Val breakdown'!$C$16</definedName>
    <definedName name="SE" localSheetId="0">#REF!</definedName>
    <definedName name="SE" localSheetId="1">#REF!</definedName>
    <definedName name="SE" localSheetId="4">#REF!</definedName>
    <definedName name="SE">#REF!</definedName>
    <definedName name="SEarthworks" localSheetId="0">#REF!</definedName>
    <definedName name="SEarthworks" localSheetId="1">#REF!</definedName>
    <definedName name="SEarthworks">'[19]Val breakdown'!$C$12</definedName>
    <definedName name="second" localSheetId="0">#REF!</definedName>
    <definedName name="second" localSheetId="1">#REF!</definedName>
    <definedName name="second" localSheetId="4">#REF!</definedName>
    <definedName name="second">#REF!</definedName>
    <definedName name="secondFloor" localSheetId="4">#REF!</definedName>
    <definedName name="secondFloor">#REF!</definedName>
    <definedName name="SECT" localSheetId="0">#REF!</definedName>
    <definedName name="SECT" localSheetId="1">#REF!</definedName>
    <definedName name="SECT">[2]Equip!#REF!</definedName>
    <definedName name="SECTP" localSheetId="0">#REF!</definedName>
    <definedName name="SECTP" localSheetId="1">#REF!</definedName>
    <definedName name="SECTP" localSheetId="4">#REF!</definedName>
    <definedName name="SECTP">#REF!</definedName>
    <definedName name="SECTY" localSheetId="0">#REF!</definedName>
    <definedName name="SECTY" localSheetId="1">#REF!</definedName>
    <definedName name="SECTY" localSheetId="4">#REF!</definedName>
    <definedName name="SECTY">#REF!</definedName>
    <definedName name="SEDR" localSheetId="0">#REF!</definedName>
    <definedName name="SEDR" localSheetId="1">#REF!</definedName>
    <definedName name="SEDR">[22]INDEX!#REF!</definedName>
    <definedName name="sef" localSheetId="0" hidden="1">{#N/A,#N/A,TRUE,"COVER";#N/A,#N/A,TRUE,"DETAILS";#N/A,#N/A,TRUE,"SUMMARY";#N/A,#N/A,TRUE,"EXP MON";#N/A,#N/A,TRUE,"APPENDIX A";#N/A,#N/A,TRUE,"APPENDIX B";#N/A,#N/A,TRUE,"APPENDIX C";#N/A,#N/A,TRUE,"APPENDIX D";#N/A,#N/A,TRUE,"APPENDIX E";#N/A,#N/A,TRUE,"APPENDIX F";#N/A,#N/A,TRUE,"APPENDIX G"}</definedName>
    <definedName name="sef" localSheetId="1" hidden="1">{#N/A,#N/A,TRUE,"COVER";#N/A,#N/A,TRUE,"DETAILS";#N/A,#N/A,TRUE,"SUMMARY";#N/A,#N/A,TRUE,"EXP MON";#N/A,#N/A,TRUE,"APPENDIX A";#N/A,#N/A,TRUE,"APPENDIX B";#N/A,#N/A,TRUE,"APPENDIX C";#N/A,#N/A,TRUE,"APPENDIX D";#N/A,#N/A,TRUE,"APPENDIX E";#N/A,#N/A,TRUE,"APPENDIX F";#N/A,#N/A,TRUE,"APPENDIX G"}</definedName>
    <definedName name="sef" localSheetId="4" hidden="1">{#N/A,#N/A,TRUE,"COVER";#N/A,#N/A,TRUE,"DETAILS";#N/A,#N/A,TRUE,"SUMMARY";#N/A,#N/A,TRUE,"EXP MON";#N/A,#N/A,TRUE,"APPENDIX A";#N/A,#N/A,TRUE,"APPENDIX B";#N/A,#N/A,TRUE,"APPENDIX C";#N/A,#N/A,TRUE,"APPENDIX D";#N/A,#N/A,TRUE,"APPENDIX E";#N/A,#N/A,TRUE,"APPENDIX F";#N/A,#N/A,TRUE,"APPENDIX G"}</definedName>
    <definedName name="sef" hidden="1">{#N/A,#N/A,TRUE,"COVER";#N/A,#N/A,TRUE,"DETAILS";#N/A,#N/A,TRUE,"SUMMARY";#N/A,#N/A,TRUE,"EXP MON";#N/A,#N/A,TRUE,"APPENDIX A";#N/A,#N/A,TRUE,"APPENDIX B";#N/A,#N/A,TRUE,"APPENDIX C";#N/A,#N/A,TRUE,"APPENDIX D";#N/A,#N/A,TRUE,"APPENDIX E";#N/A,#N/A,TRUE,"APPENDIX F";#N/A,#N/A,TRUE,"APPENDIX G"}</definedName>
    <definedName name="SElectrical" localSheetId="0">#REF!</definedName>
    <definedName name="SElectrical" localSheetId="1">#REF!</definedName>
    <definedName name="SElectrical">'[19]Val breakdown'!$C$32</definedName>
    <definedName name="SElectronic" localSheetId="0">#REF!</definedName>
    <definedName name="SElectronic" localSheetId="1">#REF!</definedName>
    <definedName name="SElectronic">'[19]Val breakdown'!$C$33</definedName>
    <definedName name="Seller_Costs" localSheetId="0">#REF!</definedName>
    <definedName name="Seller_Costs" localSheetId="1">#REF!</definedName>
    <definedName name="Seller_Costs" localSheetId="4">#REF!</definedName>
    <definedName name="Seller_Costs">#REF!</definedName>
    <definedName name="SellExp" localSheetId="0">#REF!</definedName>
    <definedName name="SellExp" localSheetId="1">#REF!</definedName>
    <definedName name="SellExp" localSheetId="4">#REF!</definedName>
    <definedName name="SellExp">#REF!</definedName>
    <definedName name="sencount" hidden="1">1</definedName>
    <definedName name="Serv" localSheetId="0">#REF!</definedName>
    <definedName name="Serv" localSheetId="1">#REF!</definedName>
    <definedName name="Serv" localSheetId="4">#REF!</definedName>
    <definedName name="Serv">#REF!</definedName>
    <definedName name="settingout" localSheetId="0">#REF!</definedName>
    <definedName name="settingout" localSheetId="1">#REF!</definedName>
    <definedName name="settingout">[26]hoarding!#REF!</definedName>
    <definedName name="SetUpCosts" localSheetId="0">#REF!</definedName>
    <definedName name="SetUpCosts" localSheetId="1">#REF!</definedName>
    <definedName name="SetUpCosts" localSheetId="4">#REF!</definedName>
    <definedName name="SetUpCosts">#REF!</definedName>
    <definedName name="SETWIDTHS" localSheetId="0">#REF!</definedName>
    <definedName name="SETWIDTHS" localSheetId="1">#REF!</definedName>
    <definedName name="SETWIDTHS" localSheetId="4">#REF!</definedName>
    <definedName name="SETWIDTHS">#REF!</definedName>
    <definedName name="sevycf" localSheetId="4">#REF!</definedName>
    <definedName name="sevycf">#REF!</definedName>
    <definedName name="SExternal" localSheetId="0">#REF!</definedName>
    <definedName name="SExternal" localSheetId="1">#REF!</definedName>
    <definedName name="SExternal">'[19]Val breakdown'!$C$42</definedName>
    <definedName name="SF" localSheetId="0">#REF!</definedName>
    <definedName name="SF" localSheetId="1">#REF!</definedName>
    <definedName name="SF">'[9]SUPPLEMENTARY SHEETS'!#REF!</definedName>
    <definedName name="SFire" localSheetId="0">#REF!</definedName>
    <definedName name="SFire" localSheetId="1">#REF!</definedName>
    <definedName name="SFire">'[19]Val breakdown'!$C$38</definedName>
    <definedName name="SFloorCov" localSheetId="0">#REF!</definedName>
    <definedName name="SFloorCov" localSheetId="1">#REF!</definedName>
    <definedName name="SFloorCov">'[19]Val breakdown'!$C$23</definedName>
    <definedName name="SG" localSheetId="0">#REF!</definedName>
    <definedName name="SG" localSheetId="1">#REF!</definedName>
    <definedName name="SG">'[9]SUPPLEMENTARY SHEETS'!#REF!</definedName>
    <definedName name="SGarage" localSheetId="0">#REF!</definedName>
    <definedName name="SGarage" localSheetId="1">#REF!</definedName>
    <definedName name="SGarage">'[19]Val breakdown'!$C$28</definedName>
    <definedName name="SGBroken" localSheetId="0">#REF!</definedName>
    <definedName name="SGBroken" localSheetId="1">#REF!</definedName>
    <definedName name="SGBroken" localSheetId="4">#REF!</definedName>
    <definedName name="SGBroken">#REF!</definedName>
    <definedName name="SGlazing" localSheetId="0">#REF!</definedName>
    <definedName name="SGlazing" localSheetId="1">#REF!</definedName>
    <definedName name="SGlazing">'[19]Val breakdown'!$C$39</definedName>
    <definedName name="SGSolid" localSheetId="0">#REF!</definedName>
    <definedName name="SGSolid" localSheetId="1">#REF!</definedName>
    <definedName name="SGSolid" localSheetId="4">#REF!</definedName>
    <definedName name="SGSolid">#REF!</definedName>
    <definedName name="ShaftCapacityT" localSheetId="4">#REF!</definedName>
    <definedName name="ShaftCapacityT">#REF!</definedName>
    <definedName name="ShaftHeadGrade" localSheetId="4">#REF!</definedName>
    <definedName name="ShaftHeadGrade">#REF!</definedName>
    <definedName name="Shift_Panels" localSheetId="0">#REF!</definedName>
    <definedName name="Shift_Panels" localSheetId="1">#REF!</definedName>
    <definedName name="Shift_Panels" localSheetId="4">#REF!</definedName>
    <definedName name="Shift_Panels">#REF!</definedName>
    <definedName name="SHORE" localSheetId="0">#REF!</definedName>
    <definedName name="SHORE" localSheetId="1">#REF!</definedName>
    <definedName name="SHORE">[2]Equip!#REF!</definedName>
    <definedName name="SHORE_LU" localSheetId="0">#REF!</definedName>
    <definedName name="SHORE_LU" localSheetId="1">#REF!</definedName>
    <definedName name="SHORE_LU" localSheetId="4">#REF!</definedName>
    <definedName name="SHORE_LU">#REF!</definedName>
    <definedName name="SHOREB" localSheetId="0">#REF!</definedName>
    <definedName name="SHOREB" localSheetId="1">#REF!</definedName>
    <definedName name="SHOREB" localSheetId="4">#REF!</definedName>
    <definedName name="SHOREB">#REF!</definedName>
    <definedName name="SHOREC" localSheetId="4">#REF!</definedName>
    <definedName name="SHOREC">#REF!</definedName>
    <definedName name="ShoreCode" localSheetId="4">#REF!</definedName>
    <definedName name="ShoreCode">#REF!</definedName>
    <definedName name="SHOREE" localSheetId="4">#REF!</definedName>
    <definedName name="SHOREE">#REF!</definedName>
    <definedName name="SHOREI" localSheetId="4">#REF!</definedName>
    <definedName name="SHOREI">#REF!</definedName>
    <definedName name="SHOREN" localSheetId="4">#REF!</definedName>
    <definedName name="SHOREN">#REF!</definedName>
    <definedName name="shorep" localSheetId="4">#REF!</definedName>
    <definedName name="shorep">#REF!</definedName>
    <definedName name="SHORER" localSheetId="4">#REF!</definedName>
    <definedName name="SHORER">#REF!</definedName>
    <definedName name="SHORES" localSheetId="4">#REF!</definedName>
    <definedName name="SHORES">#REF!</definedName>
    <definedName name="SHORET" localSheetId="4">#REF!</definedName>
    <definedName name="SHORET">#REF!</definedName>
    <definedName name="SHOREV" localSheetId="4">#REF!</definedName>
    <definedName name="SHOREV">#REF!</definedName>
    <definedName name="short_sub_heads" localSheetId="0">#REF!</definedName>
    <definedName name="short_sub_heads" localSheetId="1">#REF!</definedName>
    <definedName name="short_sub_heads" localSheetId="4">#REF!</definedName>
    <definedName name="short_sub_heads">#REF!</definedName>
    <definedName name="Showers" localSheetId="0">#REF!</definedName>
    <definedName name="Showers" localSheetId="1">#REF!</definedName>
    <definedName name="Showers">[19]BOQ!$C$421</definedName>
    <definedName name="Signage" localSheetId="0">#REF!</definedName>
    <definedName name="Signage" localSheetId="1">#REF!</definedName>
    <definedName name="Signage">[19]BOQ!$C$445</definedName>
    <definedName name="SIronmong" localSheetId="0">#REF!</definedName>
    <definedName name="SIronmong" localSheetId="1">#REF!</definedName>
    <definedName name="SIronmong">'[19]Val breakdown'!$C$24</definedName>
    <definedName name="SJ" localSheetId="0">#REF!</definedName>
    <definedName name="SJ" localSheetId="1">#REF!</definedName>
    <definedName name="SJ">'[9]SUPPLEMENTARY SHEETS'!#REF!</definedName>
    <definedName name="skey" localSheetId="0">#REF!</definedName>
    <definedName name="skey" localSheetId="1">#REF!</definedName>
    <definedName name="skey" localSheetId="4">#REF!</definedName>
    <definedName name="skey">#REF!</definedName>
    <definedName name="SL" localSheetId="0">#REF!</definedName>
    <definedName name="SL" localSheetId="1">#REF!</definedName>
    <definedName name="SL">'[9]SUPPLEMENTARY SHEETS'!#REF!</definedName>
    <definedName name="SLandscaping" localSheetId="0">#REF!</definedName>
    <definedName name="SLandscaping" localSheetId="1">#REF!</definedName>
    <definedName name="SLandscaping">'[19]Val breakdown'!$C$41</definedName>
    <definedName name="SLiftArc" localSheetId="0">#REF!</definedName>
    <definedName name="SLiftArc" localSheetId="1">#REF!</definedName>
    <definedName name="SLiftArc">'[19]Val breakdown'!$C$35</definedName>
    <definedName name="SLifts" localSheetId="0">#REF!</definedName>
    <definedName name="SLifts" localSheetId="1">#REF!</definedName>
    <definedName name="SLifts">'[19]Val breakdown'!$C$34</definedName>
    <definedName name="Slippage_at_start" localSheetId="0">#REF!</definedName>
    <definedName name="Slippage_at_start" localSheetId="1">#REF!</definedName>
    <definedName name="Slippage_at_start">[35]Schedule!$B$12</definedName>
    <definedName name="SlurryDataSheet" localSheetId="0">#REF!</definedName>
    <definedName name="SlurryDataSheet" localSheetId="1">#REF!</definedName>
    <definedName name="SlurryDataSheet" localSheetId="4">#REF!</definedName>
    <definedName name="SlurryDataSheet">#REF!</definedName>
    <definedName name="SM" localSheetId="0">#REF!</definedName>
    <definedName name="SM" localSheetId="1">#REF!</definedName>
    <definedName name="SM">'[9]SUPPLEMENTARY SHEETS'!#REF!</definedName>
    <definedName name="SMasonry" localSheetId="0">#REF!</definedName>
    <definedName name="SMasonry" localSheetId="1">#REF!</definedName>
    <definedName name="SMasonry">'[19]Val breakdown'!$C$14</definedName>
    <definedName name="SMaterials" localSheetId="0">#REF!</definedName>
    <definedName name="SMaterials" localSheetId="1">#REF!</definedName>
    <definedName name="SMaterials">'[19]Val breakdown'!$C$60</definedName>
    <definedName name="SMech" localSheetId="0">#REF!</definedName>
    <definedName name="SMech" localSheetId="1">#REF!</definedName>
    <definedName name="SMech">'[19]Val breakdown'!$C$36</definedName>
    <definedName name="SMEtalwork" localSheetId="0">#REF!</definedName>
    <definedName name="SMEtalwork" localSheetId="1">#REF!</definedName>
    <definedName name="SMEtalwork">'[19]Val breakdown'!$C$26</definedName>
    <definedName name="solids_rd" localSheetId="0">#REF!</definedName>
    <definedName name="solids_rd" localSheetId="1">#REF!</definedName>
    <definedName name="solids_rd" localSheetId="4">#REF!</definedName>
    <definedName name="solids_rd">#REF!</definedName>
    <definedName name="SolnDataSheet" localSheetId="0">#REF!</definedName>
    <definedName name="SolnDataSheet" localSheetId="1">#REF!</definedName>
    <definedName name="SolnDataSheet" localSheetId="4">#REF!</definedName>
    <definedName name="SolnDataSheet">#REF!</definedName>
    <definedName name="solver" localSheetId="0" hidden="1">#REF!</definedName>
    <definedName name="solver" localSheetId="1" hidden="1">#REF!</definedName>
    <definedName name="solver" localSheetId="4" hidden="1">#REF!</definedName>
    <definedName name="solver" hidden="1">#REF!</definedName>
    <definedName name="solver_adj" localSheetId="0" hidden="1">#REF!</definedName>
    <definedName name="solver_adj" localSheetId="1" hidden="1">#REF!</definedName>
    <definedName name="solver_adj" localSheetId="4" hidden="1">#REF!</definedName>
    <definedName name="solver_adj" hidden="1">#REF!</definedName>
    <definedName name="solver_lhs1" localSheetId="0" hidden="1">#REF!</definedName>
    <definedName name="solver_lhs1" localSheetId="1" hidden="1">#REF!</definedName>
    <definedName name="solver_lhs1" localSheetId="4" hidden="1">#REF!</definedName>
    <definedName name="solver_lhs1" hidden="1">#REF!</definedName>
    <definedName name="solver_lin" hidden="1">0</definedName>
    <definedName name="solver_num" hidden="1">0</definedName>
    <definedName name="solver_opt" localSheetId="0" hidden="1">#REF!</definedName>
    <definedName name="solver_opt" localSheetId="1" hidden="1">#REF!</definedName>
    <definedName name="solver_opt" localSheetId="4" hidden="1">#REF!</definedName>
    <definedName name="solver_opt" hidden="1">#REF!</definedName>
    <definedName name="solver_rel1" hidden="1">3</definedName>
    <definedName name="solver_rhs1" hidden="1">0</definedName>
    <definedName name="solver_tmp" hidden="1">0</definedName>
    <definedName name="solver_typ" hidden="1">1</definedName>
    <definedName name="solver_val" hidden="1">0</definedName>
    <definedName name="solver1" localSheetId="0" hidden="1">#REF!</definedName>
    <definedName name="solver1" localSheetId="1" hidden="1">#REF!</definedName>
    <definedName name="solver1" localSheetId="4" hidden="1">#REF!</definedName>
    <definedName name="solver1" hidden="1">#REF!</definedName>
    <definedName name="SolvingFlowsheet" localSheetId="0">#REF!</definedName>
    <definedName name="SolvingFlowsheet" localSheetId="1">#REF!</definedName>
    <definedName name="SolvingFlowsheet" localSheetId="4">#REF!</definedName>
    <definedName name="SolvingFlowsheet">#REF!</definedName>
    <definedName name="sources_hide_flag" localSheetId="0">#REF!,#REF!</definedName>
    <definedName name="sources_hide_flag" localSheetId="1">#REF!,#REF!</definedName>
    <definedName name="sources_hide_flag">[30]Construction!$M$274:$M$294,[30]Construction!$M$298:$M$309</definedName>
    <definedName name="sp" localSheetId="0">#REF!</definedName>
    <definedName name="sp" localSheetId="1">#REF!</definedName>
    <definedName name="sp" localSheetId="4">#REF!</definedName>
    <definedName name="sp">#REF!</definedName>
    <definedName name="SPainting" localSheetId="0">#REF!</definedName>
    <definedName name="SPainting" localSheetId="1">#REF!</definedName>
    <definedName name="SPainting">'[19]Val breakdown'!$C$18</definedName>
    <definedName name="SpecialJoinery" localSheetId="0">#REF!</definedName>
    <definedName name="SpecialJoinery" localSheetId="1">#REF!</definedName>
    <definedName name="SpecialJoinery">[19]BOQ!$C$449</definedName>
    <definedName name="SpecialPrice" localSheetId="0" hidden="1">#REF!</definedName>
    <definedName name="SpecialPrice" localSheetId="1" hidden="1">#REF!</definedName>
    <definedName name="SpecialPrice" localSheetId="4" hidden="1">#REF!</definedName>
    <definedName name="SpecialPrice" hidden="1">#REF!</definedName>
    <definedName name="Speeds" localSheetId="0">#REF!</definedName>
    <definedName name="Speeds" localSheetId="1">#REF!</definedName>
    <definedName name="Speeds" localSheetId="4">#REF!</definedName>
    <definedName name="Speeds">#REF!</definedName>
    <definedName name="SPlastering" localSheetId="0">#REF!</definedName>
    <definedName name="SPlastering" localSheetId="1">#REF!</definedName>
    <definedName name="SPlastering">'[19]Val breakdown'!$C$17</definedName>
    <definedName name="SPlumbing" localSheetId="0">#REF!</definedName>
    <definedName name="SPlumbing" localSheetId="1">#REF!</definedName>
    <definedName name="SPlumbing">'[19]Val breakdown'!$C$30</definedName>
    <definedName name="SPools" localSheetId="0">#REF!</definedName>
    <definedName name="SPools" localSheetId="1">#REF!</definedName>
    <definedName name="SPools">'[19]Val breakdown'!$C$44</definedName>
    <definedName name="SPostTen" localSheetId="0">#REF!</definedName>
    <definedName name="SPostTen" localSheetId="1">#REF!</definedName>
    <definedName name="SPostTen">'[19]Val breakdown'!$C$20</definedName>
    <definedName name="SPrelims" localSheetId="0">#REF!</definedName>
    <definedName name="SPrelims" localSheetId="1">#REF!</definedName>
    <definedName name="SPrelims">'[19]Val breakdown'!$C$10</definedName>
    <definedName name="SProfit" localSheetId="0">#REF!</definedName>
    <definedName name="SProfit" localSheetId="1">#REF!</definedName>
    <definedName name="SProfit">'[19]Val breakdown'!$C$58</definedName>
    <definedName name="sr" localSheetId="0">#REF!</definedName>
    <definedName name="sr" localSheetId="1">#REF!</definedName>
    <definedName name="sr" localSheetId="4">#REF!</definedName>
    <definedName name="sr">#REF!</definedName>
    <definedName name="SRevolving" localSheetId="0">#REF!</definedName>
    <definedName name="SRevolving" localSheetId="1">#REF!</definedName>
    <definedName name="SRevolving">'[19]Val breakdown'!$C$40</definedName>
    <definedName name="SSANSI" localSheetId="0">#REF!</definedName>
    <definedName name="SSANSI" localSheetId="1">#REF!</definedName>
    <definedName name="SSANSI" localSheetId="4">#REF!</definedName>
    <definedName name="SSANSI">#REF!</definedName>
    <definedName name="SSANSIClass" localSheetId="0">#REF!</definedName>
    <definedName name="SSANSIClass" localSheetId="1">#REF!</definedName>
    <definedName name="SSANSIClass" localSheetId="4">#REF!</definedName>
    <definedName name="SSANSIClass">#REF!</definedName>
    <definedName name="SSANSISize" localSheetId="0">#REF!</definedName>
    <definedName name="SSANSISize" localSheetId="1">#REF!</definedName>
    <definedName name="SSANSISize" localSheetId="4">#REF!</definedName>
    <definedName name="SSANSISize">#REF!</definedName>
    <definedName name="SSD" localSheetId="0">#REF!</definedName>
    <definedName name="SSD" localSheetId="1">#REF!</definedName>
    <definedName name="SSD">'[9]SUPPLEMENTARY SHEETS'!#REF!</definedName>
    <definedName name="SShowers" localSheetId="0">#REF!</definedName>
    <definedName name="SShowers" localSheetId="1">#REF!</definedName>
    <definedName name="SShowers">'[19]Val breakdown'!$C$31</definedName>
    <definedName name="SSignage" localSheetId="0">#REF!</definedName>
    <definedName name="SSignage" localSheetId="1">#REF!</definedName>
    <definedName name="SSignage">'[19]Val breakdown'!$C$43</definedName>
    <definedName name="SSpecial" localSheetId="0">#REF!</definedName>
    <definedName name="SSpecial" localSheetId="1">#REF!</definedName>
    <definedName name="SSpecial">'[19]Val breakdown'!$C$45</definedName>
    <definedName name="SST" localSheetId="0">#REF!</definedName>
    <definedName name="SST" localSheetId="1">#REF!</definedName>
    <definedName name="SST">'[9]SUPPLEMENTARY SHEETS'!#REF!</definedName>
    <definedName name="SSteel" localSheetId="0">#REF!</definedName>
    <definedName name="SSteel" localSheetId="1">#REF!</definedName>
    <definedName name="SSteel">'[19]Val breakdown'!$C$25</definedName>
    <definedName name="Stacker" localSheetId="0">#REF!</definedName>
    <definedName name="Stacker" localSheetId="1">#REF!</definedName>
    <definedName name="Stacker">[12]Variations!$E$27</definedName>
    <definedName name="Stamp" localSheetId="0">#REF!</definedName>
    <definedName name="Stamp" localSheetId="1">#REF!</definedName>
    <definedName name="Stamp" localSheetId="4">#REF!</definedName>
    <definedName name="Stamp">#REF!</definedName>
    <definedName name="Start" localSheetId="0">#REF!</definedName>
    <definedName name="Start" localSheetId="1">#REF!</definedName>
    <definedName name="Start">[35]Schedule!$B$13</definedName>
    <definedName name="Start_date" localSheetId="0">#REF!</definedName>
    <definedName name="Start_date" localSheetId="1">#REF!</definedName>
    <definedName name="Start_date">[32]Cashflow!$E$15</definedName>
    <definedName name="Start_date1" localSheetId="0">#REF!</definedName>
    <definedName name="Start_date1" localSheetId="1">#REF!</definedName>
    <definedName name="Start_date1" localSheetId="4">#REF!</definedName>
    <definedName name="Start_date1">#REF!</definedName>
    <definedName name="State" localSheetId="0">#REF!</definedName>
    <definedName name="State" localSheetId="1">#REF!</definedName>
    <definedName name="State" localSheetId="4">#REF!</definedName>
    <definedName name="State">#REF!</definedName>
    <definedName name="Steel" localSheetId="4">#REF!</definedName>
    <definedName name="Steel">#REF!</definedName>
    <definedName name="SteelANSI" localSheetId="4">#REF!</definedName>
    <definedName name="SteelANSI">#REF!</definedName>
    <definedName name="SteelANSIClass" localSheetId="4">#REF!</definedName>
    <definedName name="SteelANSIClass">#REF!</definedName>
    <definedName name="SteelANSISize" localSheetId="4">#REF!</definedName>
    <definedName name="SteelANSISize">#REF!</definedName>
    <definedName name="SteelSA" localSheetId="4">#REF!</definedName>
    <definedName name="SteelSA">#REF!</definedName>
    <definedName name="SteelSAClass" localSheetId="4">#REF!</definedName>
    <definedName name="SteelSAClass">#REF!</definedName>
    <definedName name="SteelSASize" localSheetId="4">#REF!</definedName>
    <definedName name="SteelSASize">#REF!</definedName>
    <definedName name="Step1Dimensions" localSheetId="4" hidden="1">#REF!</definedName>
    <definedName name="Step1Dimensions" hidden="1">#REF!</definedName>
    <definedName name="Step2Manual" localSheetId="4" hidden="1">#REF!</definedName>
    <definedName name="Step2Manual" hidden="1">#REF!</definedName>
    <definedName name="Step2NumSizes" localSheetId="4" hidden="1">#REF!</definedName>
    <definedName name="Step2NumSizes" hidden="1">#REF!</definedName>
    <definedName name="Step2Ratio" localSheetId="4" hidden="1">#REF!</definedName>
    <definedName name="Step2Ratio" hidden="1">#REF!</definedName>
    <definedName name="Step2TopSize" localSheetId="4" hidden="1">#REF!</definedName>
    <definedName name="Step2TopSize" hidden="1">#REF!</definedName>
    <definedName name="Step2VertMassNames" localSheetId="4" hidden="1">#REF!</definedName>
    <definedName name="Step2VertMassNames" hidden="1">#REF!</definedName>
    <definedName name="Step3LowSG" localSheetId="4" hidden="1">#REF!</definedName>
    <definedName name="Step3LowSG" hidden="1">#REF!</definedName>
    <definedName name="Step3Manual" localSheetId="4" hidden="1">#REF!</definedName>
    <definedName name="Step3Manual" hidden="1">#REF!</definedName>
    <definedName name="Step3NumSGs" localSheetId="4" hidden="1">#REF!</definedName>
    <definedName name="Step3NumSGs" hidden="1">#REF!</definedName>
    <definedName name="Step3SGInterval" localSheetId="4" hidden="1">#REF!</definedName>
    <definedName name="Step3SGInterval" hidden="1">#REF!</definedName>
    <definedName name="Step4NumItems" localSheetId="4" hidden="1">#REF!</definedName>
    <definedName name="Step4NumItems" hidden="1">#REF!</definedName>
    <definedName name="Step4StreamNames" localSheetId="4" hidden="1">#REF!</definedName>
    <definedName name="Step4StreamNames" hidden="1">#REF!</definedName>
    <definedName name="Step5NumItems" localSheetId="4" hidden="1">#REF!</definedName>
    <definedName name="Step5NumItems" hidden="1">#REF!</definedName>
    <definedName name="Step5UnitNames" localSheetId="4" hidden="1">#REF!</definedName>
    <definedName name="Step5UnitNames" hidden="1">#REF!</definedName>
    <definedName name="Step6NumItems" localSheetId="4" hidden="1">#REF!</definedName>
    <definedName name="Step6NumItems" hidden="1">#REF!</definedName>
    <definedName name="STiling" localSheetId="0">#REF!</definedName>
    <definedName name="STiling" localSheetId="1">#REF!</definedName>
    <definedName name="STiling">'[19]Val breakdown'!$C$29</definedName>
    <definedName name="StopeOreTons" localSheetId="0">#REF!</definedName>
    <definedName name="StopeOreTons" localSheetId="1">#REF!</definedName>
    <definedName name="StopeOreTons" localSheetId="4">#REF!</definedName>
    <definedName name="StopeOreTons">#REF!</definedName>
    <definedName name="StopePGMkg" localSheetId="4">#REF!</definedName>
    <definedName name="StopePGMkg">#REF!</definedName>
    <definedName name="StopeTotTons" localSheetId="4">#REF!</definedName>
    <definedName name="StopeTotTons">#REF!</definedName>
    <definedName name="StopeWidth" localSheetId="4">#REF!</definedName>
    <definedName name="StopeWidth">#REF!</definedName>
    <definedName name="Stores" localSheetId="0">#REF!</definedName>
    <definedName name="Stores" localSheetId="1">#REF!</definedName>
    <definedName name="Stores">[12]Variations!$E$35</definedName>
    <definedName name="StreamSummaryLabels" localSheetId="0" hidden="1">#REF!</definedName>
    <definedName name="StreamSummaryLabels" localSheetId="1" hidden="1">#REF!</definedName>
    <definedName name="StreamSummaryLabels" localSheetId="4" hidden="1">#REF!</definedName>
    <definedName name="StreamSummaryLabels" hidden="1">#REF!</definedName>
    <definedName name="Subcontracts" localSheetId="0">#REF!</definedName>
    <definedName name="Subcontracts" localSheetId="1">#REF!</definedName>
    <definedName name="Subcontracts">[62]Subcontracts!$C$11:$C$78</definedName>
    <definedName name="subheads" localSheetId="0">#REF!</definedName>
    <definedName name="subheads" localSheetId="1">#REF!</definedName>
    <definedName name="subheads" localSheetId="4">#REF!</definedName>
    <definedName name="subheads">#REF!</definedName>
    <definedName name="SUBS">#N/A</definedName>
    <definedName name="SUBTOTALS" localSheetId="0">#REF!</definedName>
    <definedName name="SUBTOTALS" localSheetId="1">#REF!</definedName>
    <definedName name="SUBTOTALS" localSheetId="4">#REF!</definedName>
    <definedName name="SUBTOTALS">#REF!</definedName>
    <definedName name="SUBTOTALS_12">"$#REF!.$M$8:$IV$8108"</definedName>
    <definedName name="SUBTOTALS_18">"$#REF!.$N$7:$IV$8093"</definedName>
    <definedName name="SUBTOTALS_2">"$#REF!.$M$8:$IV$8108"</definedName>
    <definedName name="SUBTOTALS_3">"$#REF!.$M$8:$IV$8108"</definedName>
    <definedName name="SUBTOTALS_38">"$#REF!.$M$8:$IV$7374"</definedName>
    <definedName name="SUBTOTALS_4">"$#REF!.$M$8:$IV$8108"</definedName>
    <definedName name="SUBTOTALS_5">"$#REF!.$M$8:$IV$8108"</definedName>
    <definedName name="SUBTOTALS_6">"$#REF!.$M$8:$IV$8108"</definedName>
    <definedName name="SUBTOTALS_7">"$#REF!.$M$8:$IV$8108"</definedName>
    <definedName name="SUBTOTALS_8">"$#REF!.$M$8:$IV$8108"</definedName>
    <definedName name="subtotals1" localSheetId="0">#REF!</definedName>
    <definedName name="subtotals1" localSheetId="1">#REF!</definedName>
    <definedName name="subtotals1" localSheetId="4">#REF!</definedName>
    <definedName name="subtotals1">#REF!</definedName>
    <definedName name="Sum" localSheetId="0">#REF!</definedName>
    <definedName name="Sum" localSheetId="1">#REF!</definedName>
    <definedName name="Sum" localSheetId="4">#REF!</definedName>
    <definedName name="Sum">#REF!</definedName>
    <definedName name="summary" localSheetId="4">#REF!</definedName>
    <definedName name="summary">#REF!</definedName>
    <definedName name="sundry_costs" localSheetId="4">#REF!</definedName>
    <definedName name="sundry_costs">#REF!</definedName>
    <definedName name="Sundry_costs_growth" localSheetId="4">#REF!</definedName>
    <definedName name="Sundry_costs_growth">#REF!</definedName>
    <definedName name="Sunk_npv" localSheetId="4">#REF!</definedName>
    <definedName name="Sunk_npv">#REF!</definedName>
    <definedName name="sunk_post_tax_irr" localSheetId="4">#REF!</definedName>
    <definedName name="sunk_post_tax_irr">#REF!</definedName>
    <definedName name="sunk_pre_tax_irr" localSheetId="4">#REF!</definedName>
    <definedName name="sunk_pre_tax_irr">#REF!</definedName>
    <definedName name="Surface_Other_rate" localSheetId="0">#REF!</definedName>
    <definedName name="Surface_Other_rate" localSheetId="1">#REF!</definedName>
    <definedName name="Surface_Other_rate">[12]Variations!$E$31</definedName>
    <definedName name="Surface_Water_Management" localSheetId="0">#REF!</definedName>
    <definedName name="Surface_Water_Management" localSheetId="1">#REF!</definedName>
    <definedName name="Surface_Water_Management">[12]Variations!$E$23</definedName>
    <definedName name="Sust_Occ" localSheetId="0">#REF!</definedName>
    <definedName name="Sust_Occ" localSheetId="1">#REF!</definedName>
    <definedName name="Sust_Occ" localSheetId="4">#REF!</definedName>
    <definedName name="Sust_Occ">#REF!</definedName>
    <definedName name="sv" localSheetId="0">#REF!</definedName>
    <definedName name="sv" localSheetId="1">#REF!</definedName>
    <definedName name="sv" localSheetId="4">#REF!</definedName>
    <definedName name="sv">#REF!</definedName>
    <definedName name="SVentilation" localSheetId="0">#REF!</definedName>
    <definedName name="SVentilation" localSheetId="1">#REF!</definedName>
    <definedName name="SVentilation">'[19]Val breakdown'!$C$37</definedName>
    <definedName name="SWaterproofing" localSheetId="0">#REF!</definedName>
    <definedName name="SWaterproofing" localSheetId="1">#REF!</definedName>
    <definedName name="SWaterproofing">'[19]Val breakdown'!$C$15</definedName>
    <definedName name="SweepGrade" localSheetId="0">#REF!</definedName>
    <definedName name="SweepGrade" localSheetId="1">#REF!</definedName>
    <definedName name="SweepGrade" localSheetId="4">#REF!</definedName>
    <definedName name="SweepGrade">#REF!</definedName>
    <definedName name="SweepPGM" localSheetId="4">#REF!</definedName>
    <definedName name="SweepPGM">#REF!</definedName>
    <definedName name="SweepTons" localSheetId="4">#REF!</definedName>
    <definedName name="SweepTons">#REF!</definedName>
    <definedName name="SWERT" localSheetId="4">#REF!</definedName>
    <definedName name="SWERT">#REF!</definedName>
    <definedName name="SWF" localSheetId="4">#REF!</definedName>
    <definedName name="SWF">#REF!</definedName>
    <definedName name="t" localSheetId="0">#REF!</definedName>
    <definedName name="t" localSheetId="1">#REF!</definedName>
    <definedName name="T">'[3]Estimate Warehouse'!#REF!</definedName>
    <definedName name="t_o_rent_growth" localSheetId="4">#REF!</definedName>
    <definedName name="t_o_rent_growth">#REF!</definedName>
    <definedName name="TA" localSheetId="0">#REF!</definedName>
    <definedName name="TA" localSheetId="1">#REF!</definedName>
    <definedName name="TA">'[9]SUPPLEMENTARY SHEETS'!#REF!</definedName>
    <definedName name="Target_IRR" localSheetId="0">#REF!</definedName>
    <definedName name="Target_IRR" localSheetId="1">#REF!</definedName>
    <definedName name="Target_IRR" localSheetId="4">#REF!</definedName>
    <definedName name="Target_IRR">#REF!</definedName>
    <definedName name="Target_Max_Gearing" localSheetId="0">#REF!</definedName>
    <definedName name="Target_Max_Gearing" localSheetId="1">#REF!</definedName>
    <definedName name="Target_Max_Gearing" localSheetId="4">#REF!</definedName>
    <definedName name="Target_Max_Gearing">#REF!</definedName>
    <definedName name="Target_NPV" localSheetId="4">#REF!</definedName>
    <definedName name="Target_NPV">#REF!</definedName>
    <definedName name="Tax_Exp_HY" localSheetId="4">#REF!</definedName>
    <definedName name="Tax_Exp_HY">#REF!</definedName>
    <definedName name="Tax_Exp_LY" localSheetId="4">#REF!</definedName>
    <definedName name="Tax_Exp_LY">#REF!</definedName>
    <definedName name="tax_rate" localSheetId="4">#REF!</definedName>
    <definedName name="tax_rate">#REF!</definedName>
    <definedName name="tbl_ProdInfo" localSheetId="4" hidden="1">#REF!</definedName>
    <definedName name="tbl_ProdInfo" hidden="1">#REF!</definedName>
    <definedName name="TCC" localSheetId="0">#REF!</definedName>
    <definedName name="TCC" localSheetId="1">#REF!</definedName>
    <definedName name="TCC">'[9]SUPPLEMENTARY SHEETS'!#REF!</definedName>
    <definedName name="tee" localSheetId="0">#REF!</definedName>
    <definedName name="tee" localSheetId="1">#REF!</definedName>
    <definedName name="tee">[22]INDEX!#REF!</definedName>
    <definedName name="temp" localSheetId="0">#REF!</definedName>
    <definedName name="temp" localSheetId="1">#REF!</definedName>
    <definedName name="temp">'[35]@RISK Correlations'!$1:$1</definedName>
    <definedName name="tenycf" localSheetId="0">#REF!</definedName>
    <definedName name="tenycf" localSheetId="1">#REF!</definedName>
    <definedName name="tenycf" localSheetId="4">#REF!</definedName>
    <definedName name="tenycf">#REF!</definedName>
    <definedName name="Terminal_Airfield_Pavements" localSheetId="0">#REF!</definedName>
    <definedName name="Terminal_Airfield_Pavements" localSheetId="1">#REF!</definedName>
    <definedName name="Terminal_Airfield_Pavements">[63]FAC1!#REF!</definedName>
    <definedName name="Terminal_Baggage_Systems" localSheetId="0">#REF!</definedName>
    <definedName name="Terminal_Baggage_Systems" localSheetId="1">#REF!</definedName>
    <definedName name="Terminal_Baggage_Systems">[63]FAC1!#REF!</definedName>
    <definedName name="Terminal_External_Structures" localSheetId="0">#REF!</definedName>
    <definedName name="Terminal_External_Structures" localSheetId="1">#REF!</definedName>
    <definedName name="Terminal_External_Structures">[63]FAC1!#REF!</definedName>
    <definedName name="Terminal_Landscaping" localSheetId="0">#REF!</definedName>
    <definedName name="Terminal_Landscaping" localSheetId="1">#REF!</definedName>
    <definedName name="Terminal_Landscaping">[63]FAC1!#REF!</definedName>
    <definedName name="Terminal_Preliminaries" localSheetId="0">#REF!</definedName>
    <definedName name="Terminal_Preliminaries" localSheetId="1">#REF!</definedName>
    <definedName name="Terminal_Preliminaries">[63]FAC1!#REF!</definedName>
    <definedName name="TERMINAL_PRELIMINARIES__" localSheetId="0">#REF!</definedName>
    <definedName name="TERMINAL_PRELIMINARIES__" localSheetId="1">#REF!</definedName>
    <definedName name="TERMINAL_PRELIMINARIES__">[63]FAC1!#REF!</definedName>
    <definedName name="Terminal_Rail" localSheetId="0">#REF!</definedName>
    <definedName name="Terminal_Rail" localSheetId="1">#REF!</definedName>
    <definedName name="Terminal_Rail">[63]FAC1!#REF!</definedName>
    <definedName name="Terminal_Surface_Works" localSheetId="0">#REF!</definedName>
    <definedName name="Terminal_Surface_Works" localSheetId="1">#REF!</definedName>
    <definedName name="Terminal_Surface_Works">[63]FAC1!#REF!</definedName>
    <definedName name="Terminal_TTS" localSheetId="0">#REF!</definedName>
    <definedName name="Terminal_TTS" localSheetId="1">#REF!</definedName>
    <definedName name="Terminal_TTS">[63]FAC1!#REF!</definedName>
    <definedName name="Terrain" localSheetId="0">#REF!</definedName>
    <definedName name="Terrain" localSheetId="1">#REF!</definedName>
    <definedName name="Terrain" localSheetId="4">#REF!</definedName>
    <definedName name="Terrain">#REF!</definedName>
    <definedName name="TerRet" localSheetId="0">#REF!</definedName>
    <definedName name="TerRet" localSheetId="1">#REF!</definedName>
    <definedName name="TerRet" localSheetId="4">#REF!</definedName>
    <definedName name="TerRet">#REF!</definedName>
    <definedName name="threeycf" localSheetId="4">#REF!</definedName>
    <definedName name="threeycf">#REF!</definedName>
    <definedName name="Tiling" localSheetId="0">#REF!</definedName>
    <definedName name="Tiling" localSheetId="1">#REF!</definedName>
    <definedName name="Tiling">[19]BOQ!$C$395</definedName>
    <definedName name="Time_stamp">34345.65111875</definedName>
    <definedName name="Title" localSheetId="0">#REF!</definedName>
    <definedName name="Title" localSheetId="1">#REF!</definedName>
    <definedName name="Title" localSheetId="4">#REF!</definedName>
    <definedName name="Title">#REF!</definedName>
    <definedName name="Tot_Pre_Proj_Rent" localSheetId="0">#REF!</definedName>
    <definedName name="Tot_Pre_Proj_Rent" localSheetId="1">#REF!</definedName>
    <definedName name="Tot_Pre_Proj_Rent" localSheetId="4">#REF!</definedName>
    <definedName name="Tot_Pre_Proj_Rent">#REF!</definedName>
    <definedName name="TOTAL" localSheetId="0">#REF!</definedName>
    <definedName name="TOTAL" localSheetId="1">#REF!</definedName>
    <definedName name="TOTAL">[2]Equip!#REF!</definedName>
    <definedName name="Total_Cash_Bank" localSheetId="0">#REF!</definedName>
    <definedName name="Total_Cash_Bank" localSheetId="1">#REF!</definedName>
    <definedName name="Total_Cash_Bank" localSheetId="4">#REF!</definedName>
    <definedName name="Total_Cash_Bank">#REF!</definedName>
    <definedName name="Total_Cash_STMM" localSheetId="0">#REF!</definedName>
    <definedName name="Total_Cash_STMM" localSheetId="1">#REF!</definedName>
    <definedName name="Total_Cash_STMM" localSheetId="4">#REF!</definedName>
    <definedName name="Total_Cash_STMM">#REF!</definedName>
    <definedName name="total_cost" localSheetId="0">#REF!</definedName>
    <definedName name="total_cost" localSheetId="1">#REF!</definedName>
    <definedName name="total_cost">'[24]Devco Cashflow'!#REF!</definedName>
    <definedName name="Total_Creditors" localSheetId="0">#REF!</definedName>
    <definedName name="Total_Creditors" localSheetId="1">#REF!</definedName>
    <definedName name="Total_Creditors" localSheetId="4">#REF!</definedName>
    <definedName name="Total_Creditors">#REF!</definedName>
    <definedName name="Total_Inv_Const" localSheetId="0">#REF!</definedName>
    <definedName name="Total_Inv_Const" localSheetId="1">#REF!</definedName>
    <definedName name="Total_Inv_Const" localSheetId="4">#REF!</definedName>
    <definedName name="Total_Inv_Const">#REF!</definedName>
    <definedName name="Total_Inv_Devlpmnt" localSheetId="4">#REF!</definedName>
    <definedName name="Total_Inv_Devlpmnt">#REF!</definedName>
    <definedName name="Total_Inv_Intrst" localSheetId="4">#REF!</definedName>
    <definedName name="Total_Inv_Intrst">#REF!</definedName>
    <definedName name="Total_Inv_Land" localSheetId="4">#REF!</definedName>
    <definedName name="Total_Inv_Land">#REF!</definedName>
    <definedName name="Total_Inv_Rates" localSheetId="4">#REF!</definedName>
    <definedName name="Total_Inv_Rates">#REF!</definedName>
    <definedName name="Total_Inv_Rev" localSheetId="4">#REF!</definedName>
    <definedName name="Total_Inv_Rev">#REF!</definedName>
    <definedName name="Total_Inventories" localSheetId="4">#REF!</definedName>
    <definedName name="Total_Inventories">#REF!</definedName>
    <definedName name="total_net_rent_for_cashflow" localSheetId="0">#REF!</definedName>
    <definedName name="total_net_rent_for_cashflow" localSheetId="1">#REF!</definedName>
    <definedName name="total_net_rent_for_cashflow">'[17]Net rent analysis'!$J$190:$X$191</definedName>
    <definedName name="Total_Recvbl_Drs" localSheetId="0">#REF!</definedName>
    <definedName name="Total_Recvbl_Drs" localSheetId="1">#REF!</definedName>
    <definedName name="Total_Recvbl_Drs" localSheetId="4">#REF!</definedName>
    <definedName name="Total_Recvbl_Drs">#REF!</definedName>
    <definedName name="Total_Recvbl_Prepay" localSheetId="0">#REF!</definedName>
    <definedName name="Total_Recvbl_Prepay" localSheetId="1">#REF!</definedName>
    <definedName name="Total_Recvbl_Prepay" localSheetId="4">#REF!</definedName>
    <definedName name="Total_Recvbl_Prepay">#REF!</definedName>
    <definedName name="total_value" localSheetId="0">#REF!</definedName>
    <definedName name="total_value" localSheetId="1">#REF!</definedName>
    <definedName name="total_value">'[24]Devco Cashflow'!#REF!</definedName>
    <definedName name="TOTALITEM" localSheetId="0">#REF!</definedName>
    <definedName name="TOTALITEM" localSheetId="1">#REF!</definedName>
    <definedName name="TOTALITEM" localSheetId="4">#REF!</definedName>
    <definedName name="TOTALITEM">#REF!</definedName>
    <definedName name="TotalLots" localSheetId="0">#REF!</definedName>
    <definedName name="TotalLots" localSheetId="1">#REF!</definedName>
    <definedName name="TotalLots" localSheetId="4">#REF!</definedName>
    <definedName name="TotalLots">#REF!</definedName>
    <definedName name="TOTCB" localSheetId="4">#REF!</definedName>
    <definedName name="TOTCB">#REF!</definedName>
    <definedName name="TOTCN" localSheetId="4">#REF!</definedName>
    <definedName name="TOTCN">#REF!</definedName>
    <definedName name="TOTCS" localSheetId="4">#REF!</definedName>
    <definedName name="TOTCS">#REF!</definedName>
    <definedName name="TOTCT" localSheetId="4">#REF!</definedName>
    <definedName name="TOTCT">#REF!</definedName>
    <definedName name="TOTCV" localSheetId="4">#REF!</definedName>
    <definedName name="TOTCV">#REF!</definedName>
    <definedName name="TOTMC" localSheetId="4">#REF!</definedName>
    <definedName name="TOTMC">#REF!</definedName>
    <definedName name="TOTME" localSheetId="4">#REF!</definedName>
    <definedName name="TOTME">#REF!</definedName>
    <definedName name="TOTMI" localSheetId="4">#REF!</definedName>
    <definedName name="TOTMI">#REF!</definedName>
    <definedName name="TOTMM" localSheetId="4">#REF!</definedName>
    <definedName name="TOTMM">#REF!</definedName>
    <definedName name="TOTMP" localSheetId="4">#REF!</definedName>
    <definedName name="TOTMP">#REF!</definedName>
    <definedName name="TOTMR" localSheetId="4">#REF!</definedName>
    <definedName name="TOTMR">#REF!</definedName>
    <definedName name="TOTMS" localSheetId="4">#REF!</definedName>
    <definedName name="TOTMS">#REF!</definedName>
    <definedName name="Townhouse_area" localSheetId="4">#REF!</definedName>
    <definedName name="Townhouse_area">#REF!</definedName>
    <definedName name="TownHouse_Rate" localSheetId="4">#REF!</definedName>
    <definedName name="TownHouse_Rate">#REF!</definedName>
    <definedName name="Trad_npv" localSheetId="4">#REF!</definedName>
    <definedName name="Trad_npv">#REF!</definedName>
    <definedName name="trad_post_tax_irr" localSheetId="4">#REF!</definedName>
    <definedName name="trad_post_tax_irr">#REF!</definedName>
    <definedName name="trad_pre_tax_irr" localSheetId="4">#REF!</definedName>
    <definedName name="trad_pre_tax_irr">#REF!</definedName>
    <definedName name="Trades" localSheetId="0">#REF!</definedName>
    <definedName name="Trades" localSheetId="1">#REF!</definedName>
    <definedName name="Trades">[62]Trades!$C$11:$C$68</definedName>
    <definedName name="TRANSFER" localSheetId="0">#REF!</definedName>
    <definedName name="TRANSFER" localSheetId="1">#REF!</definedName>
    <definedName name="TRANSFER" localSheetId="4">#REF!</definedName>
    <definedName name="TRANSFER">#REF!</definedName>
    <definedName name="TRANSFER_10">"$BASEMENT.$#REF!$#REF!"</definedName>
    <definedName name="TRANSFER_12">"$#REF!.$#REF!$#REF!"</definedName>
    <definedName name="TRANSFER_13">"$'BASEMENT_ Vault _ Extraction_ '.$#REF!$#REF!"</definedName>
    <definedName name="TRANSFER_15">"$'ESTIMATE SUMMARY'.$#REF!$#REF!"</definedName>
    <definedName name="TRANSFER_16">"$'GROUND _ FIRST FLOOR'.$#REF!$#REF!"</definedName>
    <definedName name="TRANSFER_18">"$#REF!.$#REF!$#REF!"</definedName>
    <definedName name="TRANSFER_19">"$'SECOND FLOOR'.$#REF!$#REF!"</definedName>
    <definedName name="TRANSFER_2">"$#REF!.$#REF!$#REF!"</definedName>
    <definedName name="TRANSFER_21">"$'THIRD FLOOR'.$#REF!$#REF!"</definedName>
    <definedName name="TRANSFER_23">"$'FOURTH FLOOR _Offices_'.$#REF!$#REF!"</definedName>
    <definedName name="TRANSFER_25">"$'FOURTH FLOOR _Hotel rooms_'.$#REF!$#REF!"</definedName>
    <definedName name="TRANSFER_27">"$'FIFTH FLOOR'.$#REF!$#REF!"</definedName>
    <definedName name="TRANSFER_29">"$'SIXTH FLOOR _ ROOF'.$#REF!$#REF!"</definedName>
    <definedName name="TRANSFER_3">"$#REF!.$#REF!$#REF!"</definedName>
    <definedName name="TRANSFER_32">"$'_FACADE _ RETICULATION'.$#REF!$#REF!"</definedName>
    <definedName name="TRANSFER_34">"$'EXTERNAL WORKS'.$#REF!$#REF!"</definedName>
    <definedName name="TRANSFER_36">"$'EXTERNAL WORKS _Access roads_'.$#REF!$#REF!"</definedName>
    <definedName name="TRANSFER_38">"$#REF!.$#REF!$#REF!"</definedName>
    <definedName name="TRANSFER_4">"$#REF!.$#REF!$#REF!"</definedName>
    <definedName name="TRANSFER_5">"$#REF!.$#REF!$#REF!"</definedName>
    <definedName name="TRANSFER_6">"$#REF!.$#REF!$#REF!"</definedName>
    <definedName name="TRANSFER_7">"$#REF!.$#REF!$#REF!"</definedName>
    <definedName name="TRANSFER_8">"$#REF!.$#REF!$#REF!"</definedName>
    <definedName name="TRANSFER1" localSheetId="0">#REF!</definedName>
    <definedName name="TRANSFER1" localSheetId="1">#REF!</definedName>
    <definedName name="TRANSFER1" localSheetId="4">#REF!</definedName>
    <definedName name="TRANSFER1">#REF!</definedName>
    <definedName name="TrigenCorr" localSheetId="0">#REF!</definedName>
    <definedName name="TrigenCorr" localSheetId="1">#REF!</definedName>
    <definedName name="TrigenCorr">[12]Correlation!$B$3:$AD$31</definedName>
    <definedName name="TSA_CN" localSheetId="0" hidden="1">{#N/A,#N/A,FALSE,"GERAL";#N/A,#N/A,FALSE,"012-96";#N/A,#N/A,FALSE,"018-96";#N/A,#N/A,FALSE,"027-96";#N/A,#N/A,FALSE,"059-96";#N/A,#N/A,FALSE,"076-96";#N/A,#N/A,FALSE,"019-97";#N/A,#N/A,FALSE,"021-97";#N/A,#N/A,FALSE,"022-97";#N/A,#N/A,FALSE,"028-97"}</definedName>
    <definedName name="TSA_CN" localSheetId="1" hidden="1">{#N/A,#N/A,FALSE,"GERAL";#N/A,#N/A,FALSE,"012-96";#N/A,#N/A,FALSE,"018-96";#N/A,#N/A,FALSE,"027-96";#N/A,#N/A,FALSE,"059-96";#N/A,#N/A,FALSE,"076-96";#N/A,#N/A,FALSE,"019-97";#N/A,#N/A,FALSE,"021-97";#N/A,#N/A,FALSE,"022-97";#N/A,#N/A,FALSE,"028-97"}</definedName>
    <definedName name="TSA_CN" localSheetId="4" hidden="1">{#N/A,#N/A,FALSE,"GERAL";#N/A,#N/A,FALSE,"012-96";#N/A,#N/A,FALSE,"018-96";#N/A,#N/A,FALSE,"027-96";#N/A,#N/A,FALSE,"059-96";#N/A,#N/A,FALSE,"076-96";#N/A,#N/A,FALSE,"019-97";#N/A,#N/A,FALSE,"021-97";#N/A,#N/A,FALSE,"022-97";#N/A,#N/A,FALSE,"028-97"}</definedName>
    <definedName name="TSA_CN" hidden="1">{#N/A,#N/A,FALSE,"GERAL";#N/A,#N/A,FALSE,"012-96";#N/A,#N/A,FALSE,"018-96";#N/A,#N/A,FALSE,"027-96";#N/A,#N/A,FALSE,"059-96";#N/A,#N/A,FALSE,"076-96";#N/A,#N/A,FALSE,"019-97";#N/A,#N/A,FALSE,"021-97";#N/A,#N/A,FALSE,"022-97";#N/A,#N/A,FALSE,"028-97"}</definedName>
    <definedName name="tsa_sr" localSheetId="0" hidden="1">{#N/A,#N/A,FALSE,"GERAL";#N/A,#N/A,FALSE,"012-96";#N/A,#N/A,FALSE,"018-96";#N/A,#N/A,FALSE,"027-96";#N/A,#N/A,FALSE,"059-96";#N/A,#N/A,FALSE,"076-96";#N/A,#N/A,FALSE,"019-97";#N/A,#N/A,FALSE,"021-97";#N/A,#N/A,FALSE,"022-97";#N/A,#N/A,FALSE,"028-97"}</definedName>
    <definedName name="tsa_sr" localSheetId="1" hidden="1">{#N/A,#N/A,FALSE,"GERAL";#N/A,#N/A,FALSE,"012-96";#N/A,#N/A,FALSE,"018-96";#N/A,#N/A,FALSE,"027-96";#N/A,#N/A,FALSE,"059-96";#N/A,#N/A,FALSE,"076-96";#N/A,#N/A,FALSE,"019-97";#N/A,#N/A,FALSE,"021-97";#N/A,#N/A,FALSE,"022-97";#N/A,#N/A,FALSE,"028-97"}</definedName>
    <definedName name="tsa_sr" localSheetId="4" hidden="1">{#N/A,#N/A,FALSE,"GERAL";#N/A,#N/A,FALSE,"012-96";#N/A,#N/A,FALSE,"018-96";#N/A,#N/A,FALSE,"027-96";#N/A,#N/A,FALSE,"059-96";#N/A,#N/A,FALSE,"076-96";#N/A,#N/A,FALSE,"019-97";#N/A,#N/A,FALSE,"021-97";#N/A,#N/A,FALSE,"022-97";#N/A,#N/A,FALSE,"028-97"}</definedName>
    <definedName name="tsa_sr" hidden="1">{#N/A,#N/A,FALSE,"GERAL";#N/A,#N/A,FALSE,"012-96";#N/A,#N/A,FALSE,"018-96";#N/A,#N/A,FALSE,"027-96";#N/A,#N/A,FALSE,"059-96";#N/A,#N/A,FALSE,"076-96";#N/A,#N/A,FALSE,"019-97";#N/A,#N/A,FALSE,"021-97";#N/A,#N/A,FALSE,"022-97";#N/A,#N/A,FALSE,"028-97"}</definedName>
    <definedName name="tt" localSheetId="0">#REF!</definedName>
    <definedName name="tt" localSheetId="1">#REF!</definedName>
    <definedName name="tt">[22]COVER!#REF!</definedName>
    <definedName name="ttr" localSheetId="0">#REF!</definedName>
    <definedName name="ttr" localSheetId="1">#REF!</definedName>
    <definedName name="ttr">[22]COVER!#REF!</definedName>
    <definedName name="tuiop" localSheetId="0" hidden="1">{#N/A,#N/A,FALSE,"SUBS";#N/A,#N/A,FALSE,"SUPERS";#N/A,#N/A,FALSE,"FINISHES";#N/A,#N/A,FALSE,"FITTINGS";#N/A,#N/A,FALSE,"SERVICES";#N/A,#N/A,FALSE,"SITEWORKS"}</definedName>
    <definedName name="tuiop" localSheetId="1" hidden="1">{#N/A,#N/A,FALSE,"SUBS";#N/A,#N/A,FALSE,"SUPERS";#N/A,#N/A,FALSE,"FINISHES";#N/A,#N/A,FALSE,"FITTINGS";#N/A,#N/A,FALSE,"SERVICES";#N/A,#N/A,FALSE,"SITEWORKS"}</definedName>
    <definedName name="tuiop" localSheetId="4" hidden="1">{#N/A,#N/A,FALSE,"SUBS";#N/A,#N/A,FALSE,"SUPERS";#N/A,#N/A,FALSE,"FINISHES";#N/A,#N/A,FALSE,"FITTINGS";#N/A,#N/A,FALSE,"SERVICES";#N/A,#N/A,FALSE,"SITEWORKS"}</definedName>
    <definedName name="tuiop" hidden="1">{#N/A,#N/A,FALSE,"SUBS";#N/A,#N/A,FALSE,"SUPERS";#N/A,#N/A,FALSE,"FINISHES";#N/A,#N/A,FALSE,"FITTINGS";#N/A,#N/A,FALSE,"SERVICES";#N/A,#N/A,FALSE,"SITEWORKS"}</definedName>
    <definedName name="Tunnels_rate" localSheetId="0">#REF!</definedName>
    <definedName name="Tunnels_rate" localSheetId="1">#REF!</definedName>
    <definedName name="Tunnels_rate">[12]Variations!$E$30</definedName>
    <definedName name="Turnover_Yr1" localSheetId="0">#REF!</definedName>
    <definedName name="Turnover_Yr1" localSheetId="1">#REF!</definedName>
    <definedName name="Turnover_Yr1" localSheetId="4">#REF!</definedName>
    <definedName name="Turnover_Yr1">#REF!</definedName>
    <definedName name="Turnover_Yr2" localSheetId="0">#REF!</definedName>
    <definedName name="Turnover_Yr2" localSheetId="1">#REF!</definedName>
    <definedName name="Turnover_Yr2" localSheetId="4">#REF!</definedName>
    <definedName name="Turnover_Yr2">#REF!</definedName>
    <definedName name="Turnover_Yr3" localSheetId="4">#REF!</definedName>
    <definedName name="Turnover_Yr3">#REF!</definedName>
    <definedName name="Turnover_Yr4" localSheetId="4">#REF!</definedName>
    <definedName name="Turnover_Yr4">#REF!</definedName>
    <definedName name="Turnover_Yr5" localSheetId="4">#REF!</definedName>
    <definedName name="Turnover_Yr5">#REF!</definedName>
    <definedName name="Turnover_Yr6" localSheetId="4">#REF!</definedName>
    <definedName name="Turnover_Yr6">#REF!</definedName>
    <definedName name="ty" localSheetId="0" hidden="1">{#N/A,#N/A,FALSE,"SUBS";#N/A,#N/A,FALSE,"SUPERS";#N/A,#N/A,FALSE,"FINISHES";#N/A,#N/A,FALSE,"FITTINGS";#N/A,#N/A,FALSE,"SERVICES";#N/A,#N/A,FALSE,"SITEWORKS"}</definedName>
    <definedName name="ty" localSheetId="1" hidden="1">{#N/A,#N/A,FALSE,"SUBS";#N/A,#N/A,FALSE,"SUPERS";#N/A,#N/A,FALSE,"FINISHES";#N/A,#N/A,FALSE,"FITTINGS";#N/A,#N/A,FALSE,"SERVICES";#N/A,#N/A,FALSE,"SITEWORKS"}</definedName>
    <definedName name="ty" localSheetId="4" hidden="1">{#N/A,#N/A,FALSE,"SUBS";#N/A,#N/A,FALSE,"SUPERS";#N/A,#N/A,FALSE,"FINISHES";#N/A,#N/A,FALSE,"FITTINGS";#N/A,#N/A,FALSE,"SERVICES";#N/A,#N/A,FALSE,"SITEWORKS"}</definedName>
    <definedName name="ty" hidden="1">{#N/A,#N/A,FALSE,"SUBS";#N/A,#N/A,FALSE,"SUPERS";#N/A,#N/A,FALSE,"FINISHES";#N/A,#N/A,FALSE,"FITTINGS";#N/A,#N/A,FALSE,"SERVICES";#N/A,#N/A,FALSE,"SITEWORKS"}</definedName>
    <definedName name="tyg" localSheetId="0">#REF!</definedName>
    <definedName name="tyg" localSheetId="1">#REF!</definedName>
    <definedName name="tyg" localSheetId="4">#REF!</definedName>
    <definedName name="tyg">#REF!</definedName>
    <definedName name="type" localSheetId="0">#REF!</definedName>
    <definedName name="type" localSheetId="1">#REF!</definedName>
    <definedName name="type" localSheetId="4">#REF!</definedName>
    <definedName name="type">#REF!</definedName>
    <definedName name="type2" localSheetId="0">#REF!</definedName>
    <definedName name="type2" localSheetId="1">#REF!</definedName>
    <definedName name="type2">[2]Equip!#REF!</definedName>
    <definedName name="tyu" localSheetId="0" hidden="1">{#N/A,#N/A,TRUE,"COVER";#N/A,#N/A,TRUE,"DETAILS";#N/A,#N/A,TRUE,"SUMMARY";#N/A,#N/A,TRUE,"EXP MON";#N/A,#N/A,TRUE,"APPENDIX A";#N/A,#N/A,TRUE,"APPENDIX B";#N/A,#N/A,TRUE,"APPENDIX C";#N/A,#N/A,TRUE,"APPENDIX D";#N/A,#N/A,TRUE,"APPENDIX E";#N/A,#N/A,TRUE,"APPENDIX F";#N/A,#N/A,TRUE,"APPENDIX G"}</definedName>
    <definedName name="tyu" localSheetId="1" hidden="1">{#N/A,#N/A,TRUE,"COVER";#N/A,#N/A,TRUE,"DETAILS";#N/A,#N/A,TRUE,"SUMMARY";#N/A,#N/A,TRUE,"EXP MON";#N/A,#N/A,TRUE,"APPENDIX A";#N/A,#N/A,TRUE,"APPENDIX B";#N/A,#N/A,TRUE,"APPENDIX C";#N/A,#N/A,TRUE,"APPENDIX D";#N/A,#N/A,TRUE,"APPENDIX E";#N/A,#N/A,TRUE,"APPENDIX F";#N/A,#N/A,TRUE,"APPENDIX G"}</definedName>
    <definedName name="tyu" localSheetId="4" hidden="1">{#N/A,#N/A,TRUE,"COVER";#N/A,#N/A,TRUE,"DETAILS";#N/A,#N/A,TRUE,"SUMMARY";#N/A,#N/A,TRUE,"EXP MON";#N/A,#N/A,TRUE,"APPENDIX A";#N/A,#N/A,TRUE,"APPENDIX B";#N/A,#N/A,TRUE,"APPENDIX C";#N/A,#N/A,TRUE,"APPENDIX D";#N/A,#N/A,TRUE,"APPENDIX E";#N/A,#N/A,TRUE,"APPENDIX F";#N/A,#N/A,TRUE,"APPENDIX G"}</definedName>
    <definedName name="tyu" hidden="1">{#N/A,#N/A,TRUE,"COVER";#N/A,#N/A,TRUE,"DETAILS";#N/A,#N/A,TRUE,"SUMMARY";#N/A,#N/A,TRUE,"EXP MON";#N/A,#N/A,TRUE,"APPENDIX A";#N/A,#N/A,TRUE,"APPENDIX B";#N/A,#N/A,TRUE,"APPENDIX C";#N/A,#N/A,TRUE,"APPENDIX D";#N/A,#N/A,TRUE,"APPENDIX E";#N/A,#N/A,TRUE,"APPENDIX F";#N/A,#N/A,TRUE,"APPENDIX G"}</definedName>
    <definedName name="u" localSheetId="0">RiskCellHasTokens(1024)</definedName>
    <definedName name="u" localSheetId="1">RiskCellHasTokens(1024)</definedName>
    <definedName name="u" localSheetId="4">RiskCellHasTokens(1024)</definedName>
    <definedName name="u">RiskCellHasTokens(1024)</definedName>
    <definedName name="UG_Fleet_rate" localSheetId="0">#REF!</definedName>
    <definedName name="UG_Fleet_rate" localSheetId="1">#REF!</definedName>
    <definedName name="UG_Fleet_rate">[12]Variations!$E$7</definedName>
    <definedName name="uiop" localSheetId="0" hidden="1">{#N/A,#N/A,TRUE,"COVER";#N/A,#N/A,TRUE,"DETAILS";#N/A,#N/A,TRUE,"SUMMARY";#N/A,#N/A,TRUE,"EXP MON";#N/A,#N/A,TRUE,"APPENDIX A";#N/A,#N/A,TRUE,"APPENDIX B";#N/A,#N/A,TRUE,"APPENDIX C";#N/A,#N/A,TRUE,"APPENDIX D";#N/A,#N/A,TRUE,"APPENDIX E";#N/A,#N/A,TRUE,"APPENDIX F";#N/A,#N/A,TRUE,"APPENDIX G"}</definedName>
    <definedName name="uiop" localSheetId="1" hidden="1">{#N/A,#N/A,TRUE,"COVER";#N/A,#N/A,TRUE,"DETAILS";#N/A,#N/A,TRUE,"SUMMARY";#N/A,#N/A,TRUE,"EXP MON";#N/A,#N/A,TRUE,"APPENDIX A";#N/A,#N/A,TRUE,"APPENDIX B";#N/A,#N/A,TRUE,"APPENDIX C";#N/A,#N/A,TRUE,"APPENDIX D";#N/A,#N/A,TRUE,"APPENDIX E";#N/A,#N/A,TRUE,"APPENDIX F";#N/A,#N/A,TRUE,"APPENDIX G"}</definedName>
    <definedName name="uiop" localSheetId="4" hidden="1">{#N/A,#N/A,TRUE,"COVER";#N/A,#N/A,TRUE,"DETAILS";#N/A,#N/A,TRUE,"SUMMARY";#N/A,#N/A,TRUE,"EXP MON";#N/A,#N/A,TRUE,"APPENDIX A";#N/A,#N/A,TRUE,"APPENDIX B";#N/A,#N/A,TRUE,"APPENDIX C";#N/A,#N/A,TRUE,"APPENDIX D";#N/A,#N/A,TRUE,"APPENDIX E";#N/A,#N/A,TRUE,"APPENDIX F";#N/A,#N/A,TRUE,"APPENDIX G"}</definedName>
    <definedName name="uiop" hidden="1">{#N/A,#N/A,TRUE,"COVER";#N/A,#N/A,TRUE,"DETAILS";#N/A,#N/A,TRUE,"SUMMARY";#N/A,#N/A,TRUE,"EXP MON";#N/A,#N/A,TRUE,"APPENDIX A";#N/A,#N/A,TRUE,"APPENDIX B";#N/A,#N/A,TRUE,"APPENDIX C";#N/A,#N/A,TRUE,"APPENDIX D";#N/A,#N/A,TRUE,"APPENDIX E";#N/A,#N/A,TRUE,"APPENDIX F";#N/A,#N/A,TRUE,"APPENDIX G"}</definedName>
    <definedName name="uiopbn" localSheetId="0" hidden="1">{#N/A,#N/A,FALSE,"SUBS";#N/A,#N/A,FALSE,"SUPERS";#N/A,#N/A,FALSE,"FINISHES";#N/A,#N/A,FALSE,"FITTINGS";#N/A,#N/A,FALSE,"SERVICES";#N/A,#N/A,FALSE,"SITEWORKS"}</definedName>
    <definedName name="uiopbn" localSheetId="1" hidden="1">{#N/A,#N/A,FALSE,"SUBS";#N/A,#N/A,FALSE,"SUPERS";#N/A,#N/A,FALSE,"FINISHES";#N/A,#N/A,FALSE,"FITTINGS";#N/A,#N/A,FALSE,"SERVICES";#N/A,#N/A,FALSE,"SITEWORKS"}</definedName>
    <definedName name="uiopbn" localSheetId="4" hidden="1">{#N/A,#N/A,FALSE,"SUBS";#N/A,#N/A,FALSE,"SUPERS";#N/A,#N/A,FALSE,"FINISHES";#N/A,#N/A,FALSE,"FITTINGS";#N/A,#N/A,FALSE,"SERVICES";#N/A,#N/A,FALSE,"SITEWORKS"}</definedName>
    <definedName name="uiopbn" hidden="1">{#N/A,#N/A,FALSE,"SUBS";#N/A,#N/A,FALSE,"SUPERS";#N/A,#N/A,FALSE,"FINISHES";#N/A,#N/A,FALSE,"FITTINGS";#N/A,#N/A,FALSE,"SERVICES";#N/A,#N/A,FALSE,"SITEWORKS"}</definedName>
    <definedName name="uiopl" localSheetId="0" hidden="1">{#N/A,#N/A,TRUE,"COVER";#N/A,#N/A,TRUE,"DETAILS";#N/A,#N/A,TRUE,"SUMMARY";#N/A,#N/A,TRUE,"EXP MON";#N/A,#N/A,TRUE,"APPENDIX A";#N/A,#N/A,TRUE,"APPENDIX B";#N/A,#N/A,TRUE,"APPENDIX C";#N/A,#N/A,TRUE,"APPENDIX D";#N/A,#N/A,TRUE,"APPENDIX E";#N/A,#N/A,TRUE,"APPENDIX F";#N/A,#N/A,TRUE,"APPENDIX G"}</definedName>
    <definedName name="uiopl" localSheetId="1" hidden="1">{#N/A,#N/A,TRUE,"COVER";#N/A,#N/A,TRUE,"DETAILS";#N/A,#N/A,TRUE,"SUMMARY";#N/A,#N/A,TRUE,"EXP MON";#N/A,#N/A,TRUE,"APPENDIX A";#N/A,#N/A,TRUE,"APPENDIX B";#N/A,#N/A,TRUE,"APPENDIX C";#N/A,#N/A,TRUE,"APPENDIX D";#N/A,#N/A,TRUE,"APPENDIX E";#N/A,#N/A,TRUE,"APPENDIX F";#N/A,#N/A,TRUE,"APPENDIX G"}</definedName>
    <definedName name="uiopl" localSheetId="4" hidden="1">{#N/A,#N/A,TRUE,"COVER";#N/A,#N/A,TRUE,"DETAILS";#N/A,#N/A,TRUE,"SUMMARY";#N/A,#N/A,TRUE,"EXP MON";#N/A,#N/A,TRUE,"APPENDIX A";#N/A,#N/A,TRUE,"APPENDIX B";#N/A,#N/A,TRUE,"APPENDIX C";#N/A,#N/A,TRUE,"APPENDIX D";#N/A,#N/A,TRUE,"APPENDIX E";#N/A,#N/A,TRUE,"APPENDIX F";#N/A,#N/A,TRUE,"APPENDIX G"}</definedName>
    <definedName name="uiopl" hidden="1">{#N/A,#N/A,TRUE,"COVER";#N/A,#N/A,TRUE,"DETAILS";#N/A,#N/A,TRUE,"SUMMARY";#N/A,#N/A,TRUE,"EXP MON";#N/A,#N/A,TRUE,"APPENDIX A";#N/A,#N/A,TRUE,"APPENDIX B";#N/A,#N/A,TRUE,"APPENDIX C";#N/A,#N/A,TRUE,"APPENDIX D";#N/A,#N/A,TRUE,"APPENDIX E";#N/A,#N/A,TRUE,"APPENDIX F";#N/A,#N/A,TRUE,"APPENDIX G"}</definedName>
    <definedName name="urftyrit" localSheetId="0">#REF!</definedName>
    <definedName name="urftyrit" localSheetId="1">#REF!</definedName>
    <definedName name="urftyrit" localSheetId="4">#REF!</definedName>
    <definedName name="urftyrit">#REF!</definedName>
    <definedName name="USD" localSheetId="0">#REF!</definedName>
    <definedName name="USD" localSheetId="1">#REF!</definedName>
    <definedName name="USD" localSheetId="4">#REF!</definedName>
    <definedName name="USD">#REF!</definedName>
    <definedName name="uu" localSheetId="0">#REF!</definedName>
    <definedName name="uu" localSheetId="1">#REF!</definedName>
    <definedName name="uu">[22]INDEX!#REF!</definedName>
    <definedName name="uygulg" localSheetId="0">#REF!</definedName>
    <definedName name="uygulg" localSheetId="1">#REF!</definedName>
    <definedName name="uygulg">[22]INDEX!#REF!</definedName>
    <definedName name="v" localSheetId="0" hidden="1">{#N/A,#N/A,TRUE,"Cover";#N/A,#N/A,TRUE,"Conts";#N/A,#N/A,TRUE,"VOS";#N/A,#N/A,TRUE,"Warrington";#N/A,#N/A,TRUE,"Widnes"}</definedName>
    <definedName name="v" localSheetId="1" hidden="1">{#N/A,#N/A,TRUE,"Cover";#N/A,#N/A,TRUE,"Conts";#N/A,#N/A,TRUE,"VOS";#N/A,#N/A,TRUE,"Warrington";#N/A,#N/A,TRUE,"Widnes"}</definedName>
    <definedName name="v" localSheetId="4" hidden="1">{#N/A,#N/A,TRUE,"Cover";#N/A,#N/A,TRUE,"Conts";#N/A,#N/A,TRUE,"VOS";#N/A,#N/A,TRUE,"Warrington";#N/A,#N/A,TRUE,"Widnes"}</definedName>
    <definedName name="v" hidden="1">{#N/A,#N/A,TRUE,"Cover";#N/A,#N/A,TRUE,"Conts";#N/A,#N/A,TRUE,"VOS";#N/A,#N/A,TRUE,"Warrington";#N/A,#N/A,TRUE,"Widnes"}</definedName>
    <definedName name="Vacant_Possession" localSheetId="0">#REF!</definedName>
    <definedName name="Vacant_Possession" localSheetId="1">#REF!</definedName>
    <definedName name="Vacant_Possession" localSheetId="4">#REF!</definedName>
    <definedName name="Vacant_Possession">#REF!</definedName>
    <definedName name="ValidOptions" localSheetId="0">#REF!</definedName>
    <definedName name="ValidOptions" localSheetId="1">#REF!</definedName>
    <definedName name="ValidOptions">[64]Sheet2!$A$1:$A$2</definedName>
    <definedName name="Variant" localSheetId="0">#REF!</definedName>
    <definedName name="Variant" localSheetId="1">#REF!</definedName>
    <definedName name="Variant">[51]Control!$B$15</definedName>
    <definedName name="VCDE" localSheetId="0">#REF!</definedName>
    <definedName name="VCDE" localSheetId="1">#REF!</definedName>
    <definedName name="VCDE">[19]WORKINGS!$A$1:$N$3</definedName>
    <definedName name="vchkfh" localSheetId="0">#REF!</definedName>
    <definedName name="vchkfh" localSheetId="1">#REF!</definedName>
    <definedName name="vchkfh">[22]INDEX!#REF!</definedName>
    <definedName name="ve" localSheetId="0">#REF!</definedName>
    <definedName name="ve" localSheetId="1">#REF!</definedName>
    <definedName name="ve" localSheetId="4">#REF!</definedName>
    <definedName name="ve">#REF!</definedName>
    <definedName name="Vehicle_rate" localSheetId="0">#REF!</definedName>
    <definedName name="Vehicle_rate" localSheetId="1">#REF!</definedName>
    <definedName name="Vehicle_rate">[12]Variations!$E$9</definedName>
    <definedName name="Vendors_007" localSheetId="0">#REF!</definedName>
    <definedName name="Vendors_007" localSheetId="1">#REF!</definedName>
    <definedName name="Vendors_007" localSheetId="4">#REF!</definedName>
    <definedName name="Vendors_007">#REF!</definedName>
    <definedName name="Vendors_012" localSheetId="0">#REF!</definedName>
    <definedName name="Vendors_012" localSheetId="1">#REF!</definedName>
    <definedName name="Vendors_012" localSheetId="4">#REF!</definedName>
    <definedName name="Vendors_012">#REF!</definedName>
    <definedName name="Vendors_019" localSheetId="4">#REF!</definedName>
    <definedName name="Vendors_019">#REF!</definedName>
    <definedName name="Vendors_023" localSheetId="4">#REF!</definedName>
    <definedName name="Vendors_023">#REF!</definedName>
    <definedName name="Ventilation" localSheetId="0">#REF!</definedName>
    <definedName name="Ventilation" localSheetId="1">#REF!</definedName>
    <definedName name="Ventilation">[19]BOQ!$C$433</definedName>
    <definedName name="Version" localSheetId="0">#REF!</definedName>
    <definedName name="Version" localSheetId="1">#REF!</definedName>
    <definedName name="Version">[2]Equip!#REF!</definedName>
    <definedName name="vgf" localSheetId="0">#REF!</definedName>
    <definedName name="vgf" localSheetId="1">#REF!</definedName>
    <definedName name="vgf">[22]INDEX!#REF!</definedName>
    <definedName name="vhjg" localSheetId="0">#REF!</definedName>
    <definedName name="vhjg" localSheetId="1">#REF!</definedName>
    <definedName name="vhjg">[49]AREAS!$A$6:$I$41</definedName>
    <definedName name="VI" localSheetId="0" hidden="1">{#N/A,#N/A,FALSE,"GERAL";#N/A,#N/A,FALSE,"012-96";#N/A,#N/A,FALSE,"018-96";#N/A,#N/A,FALSE,"027-96";#N/A,#N/A,FALSE,"059-96";#N/A,#N/A,FALSE,"076-96";#N/A,#N/A,FALSE,"019-97";#N/A,#N/A,FALSE,"021-97";#N/A,#N/A,FALSE,"022-97";#N/A,#N/A,FALSE,"028-97"}</definedName>
    <definedName name="VI" localSheetId="1" hidden="1">{#N/A,#N/A,FALSE,"GERAL";#N/A,#N/A,FALSE,"012-96";#N/A,#N/A,FALSE,"018-96";#N/A,#N/A,FALSE,"027-96";#N/A,#N/A,FALSE,"059-96";#N/A,#N/A,FALSE,"076-96";#N/A,#N/A,FALSE,"019-97";#N/A,#N/A,FALSE,"021-97";#N/A,#N/A,FALSE,"022-97";#N/A,#N/A,FALSE,"028-97"}</definedName>
    <definedName name="VI" localSheetId="4" hidden="1">{#N/A,#N/A,FALSE,"GERAL";#N/A,#N/A,FALSE,"012-96";#N/A,#N/A,FALSE,"018-96";#N/A,#N/A,FALSE,"027-96";#N/A,#N/A,FALSE,"059-96";#N/A,#N/A,FALSE,"076-96";#N/A,#N/A,FALSE,"019-97";#N/A,#N/A,FALSE,"021-97";#N/A,#N/A,FALSE,"022-97";#N/A,#N/A,FALSE,"028-97"}</definedName>
    <definedName name="VI" hidden="1">{#N/A,#N/A,FALSE,"GERAL";#N/A,#N/A,FALSE,"012-96";#N/A,#N/A,FALSE,"018-96";#N/A,#N/A,FALSE,"027-96";#N/A,#N/A,FALSE,"059-96";#N/A,#N/A,FALSE,"076-96";#N/A,#N/A,FALSE,"019-97";#N/A,#N/A,FALSE,"021-97";#N/A,#N/A,FALSE,"022-97";#N/A,#N/A,FALSE,"028-97"}</definedName>
    <definedName name="vjkog" localSheetId="0">#REF!</definedName>
    <definedName name="vjkog" localSheetId="1">#REF!</definedName>
    <definedName name="vjkog">[41]WORKINGS!$A$1:$N$3</definedName>
    <definedName name="vkhvhj" localSheetId="0">#REF!</definedName>
    <definedName name="vkhvhj" localSheetId="1">#REF!</definedName>
    <definedName name="vkhvhj">[49]AREAS!$A$1:$I$5</definedName>
    <definedName name="vlfuyfuyfrl" localSheetId="0">#REF!</definedName>
    <definedName name="vlfuyfuyfrl" localSheetId="1">#REF!</definedName>
    <definedName name="vlfuyfuyfrl" localSheetId="4">#REF!</definedName>
    <definedName name="vlfuyfuyfrl">#REF!</definedName>
    <definedName name="vlp" localSheetId="0">#REF!</definedName>
    <definedName name="vlp" localSheetId="1">#REF!</definedName>
    <definedName name="vlp" localSheetId="4">#REF!</definedName>
    <definedName name="vlp">#REF!</definedName>
    <definedName name="vvsr" localSheetId="0">#REF!</definedName>
    <definedName name="vvsr" localSheetId="1">#REF!</definedName>
    <definedName name="vvsr">[38]WORKINGS!$A$1:$M$3</definedName>
    <definedName name="vvv" localSheetId="0">#REF!,#REF!,#REF!,#REF!,#REF!,#REF!</definedName>
    <definedName name="vvv" localSheetId="1">#REF!,#REF!,#REF!,#REF!,#REF!,#REF!</definedName>
    <definedName name="vvv" localSheetId="4">#REF!,#REF!,#REF!,#REF!,#REF!,#REF!</definedName>
    <definedName name="vvv">#REF!,#REF!,#REF!,#REF!,#REF!,#REF!</definedName>
    <definedName name="vvvvvvv" localSheetId="0">#REF!</definedName>
    <definedName name="vvvvvvv" localSheetId="1">#REF!</definedName>
    <definedName name="vvvvvvv">[19]AREAS!$A$6:$I$47</definedName>
    <definedName name="w" localSheetId="0">#REF!</definedName>
    <definedName name="w" localSheetId="1">#REF!</definedName>
    <definedName name="w" localSheetId="4">#REF!</definedName>
    <definedName name="w">#REF!</definedName>
    <definedName name="wbs" localSheetId="0">#REF!</definedName>
    <definedName name="wbs" localSheetId="1">#REF!</definedName>
    <definedName name="wbs" localSheetId="4">#REF!</definedName>
    <definedName name="wbs">#REF!</definedName>
    <definedName name="wbsExt" localSheetId="0">#REF!</definedName>
    <definedName name="wbsExt" localSheetId="1">#REF!</definedName>
    <definedName name="wbsExt" localSheetId="4">#REF!</definedName>
    <definedName name="wbsExt">#REF!</definedName>
    <definedName name="WDevCapM" localSheetId="0">#REF!</definedName>
    <definedName name="WDevCapM" localSheetId="1">#REF!</definedName>
    <definedName name="WDevCapM" localSheetId="4">#REF!</definedName>
    <definedName name="WDevCapM">#REF!</definedName>
    <definedName name="WDevPriM" localSheetId="4">#REF!</definedName>
    <definedName name="WDevPriM">#REF!</definedName>
    <definedName name="WDevSecM" localSheetId="4">#REF!</definedName>
    <definedName name="WDevSecM">#REF!</definedName>
    <definedName name="WDevTotM" localSheetId="4">#REF!</definedName>
    <definedName name="WDevTotM">#REF!</definedName>
    <definedName name="WDevTotT" localSheetId="4">#REF!</definedName>
    <definedName name="WDevTotT">#REF!</definedName>
    <definedName name="WDevTperM" localSheetId="4">#REF!</definedName>
    <definedName name="WDevTperM">#REF!</definedName>
    <definedName name="Weather_Duration" localSheetId="4">#REF!</definedName>
    <definedName name="Weather_Duration">#REF!</definedName>
    <definedName name="wert" localSheetId="0" hidden="1">{#N/A,#N/A,TRUE,"COVER";#N/A,#N/A,TRUE,"DETAILS";#N/A,#N/A,TRUE,"SUMMARY";#N/A,#N/A,TRUE,"EXP MON";#N/A,#N/A,TRUE,"APPENDIX A";#N/A,#N/A,TRUE,"APPENDIX B";#N/A,#N/A,TRUE,"APPENDIX C";#N/A,#N/A,TRUE,"APPENDIX D";#N/A,#N/A,TRUE,"APPENDIX E";#N/A,#N/A,TRUE,"APPENDIX F";#N/A,#N/A,TRUE,"APPENDIX G"}</definedName>
    <definedName name="wert" localSheetId="1" hidden="1">{#N/A,#N/A,TRUE,"COVER";#N/A,#N/A,TRUE,"DETAILS";#N/A,#N/A,TRUE,"SUMMARY";#N/A,#N/A,TRUE,"EXP MON";#N/A,#N/A,TRUE,"APPENDIX A";#N/A,#N/A,TRUE,"APPENDIX B";#N/A,#N/A,TRUE,"APPENDIX C";#N/A,#N/A,TRUE,"APPENDIX D";#N/A,#N/A,TRUE,"APPENDIX E";#N/A,#N/A,TRUE,"APPENDIX F";#N/A,#N/A,TRUE,"APPENDIX G"}</definedName>
    <definedName name="wert" localSheetId="4" hidden="1">{#N/A,#N/A,TRUE,"COVER";#N/A,#N/A,TRUE,"DETAILS";#N/A,#N/A,TRUE,"SUMMARY";#N/A,#N/A,TRUE,"EXP MON";#N/A,#N/A,TRUE,"APPENDIX A";#N/A,#N/A,TRUE,"APPENDIX B";#N/A,#N/A,TRUE,"APPENDIX C";#N/A,#N/A,TRUE,"APPENDIX D";#N/A,#N/A,TRUE,"APPENDIX E";#N/A,#N/A,TRUE,"APPENDIX F";#N/A,#N/A,TRUE,"APPENDIX G"}</definedName>
    <definedName name="wert" hidden="1">{#N/A,#N/A,TRUE,"COVER";#N/A,#N/A,TRUE,"DETAILS";#N/A,#N/A,TRUE,"SUMMARY";#N/A,#N/A,TRUE,"EXP MON";#N/A,#N/A,TRUE,"APPENDIX A";#N/A,#N/A,TRUE,"APPENDIX B";#N/A,#N/A,TRUE,"APPENDIX C";#N/A,#N/A,TRUE,"APPENDIX D";#N/A,#N/A,TRUE,"APPENDIX E";#N/A,#N/A,TRUE,"APPENDIX F";#N/A,#N/A,TRUE,"APPENDIX G"}</definedName>
    <definedName name="WF" localSheetId="0">#REF!</definedName>
    <definedName name="WF" localSheetId="1">#REF!</definedName>
    <definedName name="WF">'[9]SUPPLEMENTARY SHEETS'!#REF!</definedName>
    <definedName name="wnr" localSheetId="0" hidden="1">{#N/A,#N/A,FALSE,"GERAL";#N/A,#N/A,FALSE,"012-96";#N/A,#N/A,FALSE,"018-96";#N/A,#N/A,FALSE,"027-96";#N/A,#N/A,FALSE,"059-96";#N/A,#N/A,FALSE,"076-96";#N/A,#N/A,FALSE,"019-97";#N/A,#N/A,FALSE,"021-97";#N/A,#N/A,FALSE,"022-97";#N/A,#N/A,FALSE,"028-97"}</definedName>
    <definedName name="wnr" localSheetId="1" hidden="1">{#N/A,#N/A,FALSE,"GERAL";#N/A,#N/A,FALSE,"012-96";#N/A,#N/A,FALSE,"018-96";#N/A,#N/A,FALSE,"027-96";#N/A,#N/A,FALSE,"059-96";#N/A,#N/A,FALSE,"076-96";#N/A,#N/A,FALSE,"019-97";#N/A,#N/A,FALSE,"021-97";#N/A,#N/A,FALSE,"022-97";#N/A,#N/A,FALSE,"028-97"}</definedName>
    <definedName name="wnr" localSheetId="4" hidden="1">{#N/A,#N/A,FALSE,"GERAL";#N/A,#N/A,FALSE,"012-96";#N/A,#N/A,FALSE,"018-96";#N/A,#N/A,FALSE,"027-96";#N/A,#N/A,FALSE,"059-96";#N/A,#N/A,FALSE,"076-96";#N/A,#N/A,FALSE,"019-97";#N/A,#N/A,FALSE,"021-97";#N/A,#N/A,FALSE,"022-97";#N/A,#N/A,FALSE,"028-97"}</definedName>
    <definedName name="wnr" hidden="1">{#N/A,#N/A,FALSE,"GERAL";#N/A,#N/A,FALSE,"012-96";#N/A,#N/A,FALSE,"018-96";#N/A,#N/A,FALSE,"027-96";#N/A,#N/A,FALSE,"059-96";#N/A,#N/A,FALSE,"076-96";#N/A,#N/A,FALSE,"019-97";#N/A,#N/A,FALSE,"021-97";#N/A,#N/A,FALSE,"022-97";#N/A,#N/A,FALSE,"028-97"}</definedName>
    <definedName name="wordbox" localSheetId="0">#REF!</definedName>
    <definedName name="wordbox" localSheetId="1">#REF!</definedName>
    <definedName name="wordbox">[27]Uniliever!#REF!</definedName>
    <definedName name="WORDS" localSheetId="0">#REF!</definedName>
    <definedName name="WORDS" localSheetId="1">#REF!</definedName>
    <definedName name="WORDS">[27]Uniliever!#REF!</definedName>
    <definedName name="Wordstart" localSheetId="0">#REF!</definedName>
    <definedName name="Wordstart" localSheetId="1">#REF!</definedName>
    <definedName name="Wordstart">[27]Uniliever!#REF!</definedName>
    <definedName name="WORKHEAD" localSheetId="0">#REF!</definedName>
    <definedName name="WORKHEAD" localSheetId="1">#REF!</definedName>
    <definedName name="WORKHEAD" localSheetId="4">#REF!</definedName>
    <definedName name="WORKHEAD">#REF!</definedName>
    <definedName name="wp" localSheetId="0">#REF!</definedName>
    <definedName name="wp" localSheetId="1">#REF!</definedName>
    <definedName name="wp" localSheetId="4">#REF!</definedName>
    <definedName name="wp">#REF!</definedName>
    <definedName name="wrn.Backup." localSheetId="0" hidden="1">{#N/A,#N/A,FALSE,"SUBS";#N/A,#N/A,FALSE,"SUPERS";#N/A,#N/A,FALSE,"FINISHES";#N/A,#N/A,FALSE,"FITTINGS";#N/A,#N/A,FALSE,"SERVICES";#N/A,#N/A,FALSE,"SITEWORKS"}</definedName>
    <definedName name="wrn.Backup." localSheetId="1" hidden="1">{#N/A,#N/A,FALSE,"SUBS";#N/A,#N/A,FALSE,"SUPERS";#N/A,#N/A,FALSE,"FINISHES";#N/A,#N/A,FALSE,"FITTINGS";#N/A,#N/A,FALSE,"SERVICES";#N/A,#N/A,FALSE,"SITEWORKS"}</definedName>
    <definedName name="wrn.Backup." localSheetId="4" hidden="1">{#N/A,#N/A,FALSE,"SUBS";#N/A,#N/A,FALSE,"SUPERS";#N/A,#N/A,FALSE,"FINISHES";#N/A,#N/A,FALSE,"FITTINGS";#N/A,#N/A,FALSE,"SERVICES";#N/A,#N/A,FALSE,"SITEWORKS"}</definedName>
    <definedName name="wrn.Backup." hidden="1">{#N/A,#N/A,FALSE,"SUBS";#N/A,#N/A,FALSE,"SUPERS";#N/A,#N/A,FALSE,"FINISHES";#N/A,#N/A,FALSE,"FITTINGS";#N/A,#N/A,FALSE,"SERVICES";#N/A,#N/A,FALSE,"SITEWORKS"}</definedName>
    <definedName name="wrn.backup1" localSheetId="0" hidden="1">{#N/A,#N/A,FALSE,"SUBS";#N/A,#N/A,FALSE,"SUPERS";#N/A,#N/A,FALSE,"FINISHES";#N/A,#N/A,FALSE,"FITTINGS";#N/A,#N/A,FALSE,"SERVICES";#N/A,#N/A,FALSE,"SITEWORKS"}</definedName>
    <definedName name="wrn.backup1" localSheetId="1" hidden="1">{#N/A,#N/A,FALSE,"SUBS";#N/A,#N/A,FALSE,"SUPERS";#N/A,#N/A,FALSE,"FINISHES";#N/A,#N/A,FALSE,"FITTINGS";#N/A,#N/A,FALSE,"SERVICES";#N/A,#N/A,FALSE,"SITEWORKS"}</definedName>
    <definedName name="wrn.backup1" localSheetId="4" hidden="1">{#N/A,#N/A,FALSE,"SUBS";#N/A,#N/A,FALSE,"SUPERS";#N/A,#N/A,FALSE,"FINISHES";#N/A,#N/A,FALSE,"FITTINGS";#N/A,#N/A,FALSE,"SERVICES";#N/A,#N/A,FALSE,"SITEWORKS"}</definedName>
    <definedName name="wrn.backup1" hidden="1">{#N/A,#N/A,FALSE,"SUBS";#N/A,#N/A,FALSE,"SUPERS";#N/A,#N/A,FALSE,"FINISHES";#N/A,#N/A,FALSE,"FITTINGS";#N/A,#N/A,FALSE,"SERVICES";#N/A,#N/A,FALSE,"SITEWORKS"}</definedName>
    <definedName name="wrn.Cert." localSheetId="0" hidden="1">{#N/A,#N/A,FALSE,"Cert"}</definedName>
    <definedName name="wrn.Cert." localSheetId="1" hidden="1">{#N/A,#N/A,FALSE,"Cert"}</definedName>
    <definedName name="wrn.Cert." localSheetId="4" hidden="1">{#N/A,#N/A,FALSE,"Cert"}</definedName>
    <definedName name="wrn.Cert." hidden="1">{#N/A,#N/A,FALSE,"Cert"}</definedName>
    <definedName name="wrn.Cost._.Report." localSheetId="0" hidden="1">{#N/A,#N/A,TRUE,"COVER";#N/A,#N/A,TRUE,"DETAILS";#N/A,#N/A,TRUE,"SUMMARY";#N/A,#N/A,TRUE,"EXP MON";#N/A,#N/A,TRUE,"APPENDIX A";#N/A,#N/A,TRUE,"APPENDIX B";#N/A,#N/A,TRUE,"APPENDIX C";#N/A,#N/A,TRUE,"APPENDIX D";#N/A,#N/A,TRUE,"APPENDIX E";#N/A,#N/A,TRUE,"APPENDIX F";#N/A,#N/A,TRUE,"APPENDIX G"}</definedName>
    <definedName name="wrn.Cost._.Report." localSheetId="1" hidden="1">{#N/A,#N/A,TRUE,"COVER";#N/A,#N/A,TRUE,"DETAILS";#N/A,#N/A,TRUE,"SUMMARY";#N/A,#N/A,TRUE,"EXP MON";#N/A,#N/A,TRUE,"APPENDIX A";#N/A,#N/A,TRUE,"APPENDIX B";#N/A,#N/A,TRUE,"APPENDIX C";#N/A,#N/A,TRUE,"APPENDIX D";#N/A,#N/A,TRUE,"APPENDIX E";#N/A,#N/A,TRUE,"APPENDIX F";#N/A,#N/A,TRUE,"APPENDIX G"}</definedName>
    <definedName name="wrn.Cost._.Report." localSheetId="4" hidden="1">{#N/A,#N/A,TRUE,"COVER";#N/A,#N/A,TRUE,"DETAILS";#N/A,#N/A,TRUE,"SUMMARY";#N/A,#N/A,TRUE,"EXP MON";#N/A,#N/A,TRUE,"APPENDIX A";#N/A,#N/A,TRUE,"APPENDIX B";#N/A,#N/A,TRUE,"APPENDIX C";#N/A,#N/A,TRUE,"APPENDIX D";#N/A,#N/A,TRUE,"APPENDIX E";#N/A,#N/A,TRUE,"APPENDIX F";#N/A,#N/A,TRUE,"APPENDIX G"}</definedName>
    <definedName name="wrn.Cost._.Report." hidden="1">{#N/A,#N/A,TRUE,"COVER";#N/A,#N/A,TRUE,"DETAILS";#N/A,#N/A,TRUE,"SUMMARY";#N/A,#N/A,TRUE,"EXP MON";#N/A,#N/A,TRUE,"APPENDIX A";#N/A,#N/A,TRUE,"APPENDIX B";#N/A,#N/A,TRUE,"APPENDIX C";#N/A,#N/A,TRUE,"APPENDIX D";#N/A,#N/A,TRUE,"APPENDIX E";#N/A,#N/A,TRUE,"APPENDIX F";#N/A,#N/A,TRUE,"APPENDIX G"}</definedName>
    <definedName name="wrn.GERAL." localSheetId="0" hidden="1">{#N/A,#N/A,FALSE,"ET-CAPA";#N/A,#N/A,FALSE,"ET-PAG1";#N/A,#N/A,FALSE,"ET-PAG2";#N/A,#N/A,FALSE,"ET-PAG3";#N/A,#N/A,FALSE,"ET-PAG4";#N/A,#N/A,FALSE,"ET-PAG5"}</definedName>
    <definedName name="wrn.GERAL." localSheetId="1" hidden="1">{#N/A,#N/A,FALSE,"ET-CAPA";#N/A,#N/A,FALSE,"ET-PAG1";#N/A,#N/A,FALSE,"ET-PAG2";#N/A,#N/A,FALSE,"ET-PAG3";#N/A,#N/A,FALSE,"ET-PAG4";#N/A,#N/A,FALSE,"ET-PAG5"}</definedName>
    <definedName name="wrn.GERAL." localSheetId="4" hidden="1">{#N/A,#N/A,FALSE,"ET-CAPA";#N/A,#N/A,FALSE,"ET-PAG1";#N/A,#N/A,FALSE,"ET-PAG2";#N/A,#N/A,FALSE,"ET-PAG3";#N/A,#N/A,FALSE,"ET-PAG4";#N/A,#N/A,FALSE,"ET-PAG5"}</definedName>
    <definedName name="wrn.GERAL." hidden="1">{#N/A,#N/A,FALSE,"ET-CAPA";#N/A,#N/A,FALSE,"ET-PAG1";#N/A,#N/A,FALSE,"ET-PAG2";#N/A,#N/A,FALSE,"ET-PAG3";#N/A,#N/A,FALSE,"ET-PAG4";#N/A,#N/A,FALSE,"ET-PAG5"}</definedName>
    <definedName name="WRN.PEND" localSheetId="0" hidden="1">{#N/A,#N/A,FALSE,"GERAL";#N/A,#N/A,FALSE,"012-96";#N/A,#N/A,FALSE,"018-96";#N/A,#N/A,FALSE,"027-96";#N/A,#N/A,FALSE,"059-96";#N/A,#N/A,FALSE,"076-96";#N/A,#N/A,FALSE,"019-97";#N/A,#N/A,FALSE,"021-97";#N/A,#N/A,FALSE,"022-97";#N/A,#N/A,FALSE,"028-97"}</definedName>
    <definedName name="WRN.PEND" localSheetId="1" hidden="1">{#N/A,#N/A,FALSE,"GERAL";#N/A,#N/A,FALSE,"012-96";#N/A,#N/A,FALSE,"018-96";#N/A,#N/A,FALSE,"027-96";#N/A,#N/A,FALSE,"059-96";#N/A,#N/A,FALSE,"076-96";#N/A,#N/A,FALSE,"019-97";#N/A,#N/A,FALSE,"021-97";#N/A,#N/A,FALSE,"022-97";#N/A,#N/A,FALSE,"028-97"}</definedName>
    <definedName name="WRN.PEND" localSheetId="4" hidden="1">{#N/A,#N/A,FALSE,"GERAL";#N/A,#N/A,FALSE,"012-96";#N/A,#N/A,FALSE,"018-96";#N/A,#N/A,FALSE,"027-96";#N/A,#N/A,FALSE,"059-96";#N/A,#N/A,FALSE,"076-96";#N/A,#N/A,FALSE,"019-97";#N/A,#N/A,FALSE,"021-97";#N/A,#N/A,FALSE,"022-97";#N/A,#N/A,FALSE,"028-97"}</definedName>
    <definedName name="WRN.PEND" hidden="1">{#N/A,#N/A,FALSE,"GERAL";#N/A,#N/A,FALSE,"012-96";#N/A,#N/A,FALSE,"018-96";#N/A,#N/A,FALSE,"027-96";#N/A,#N/A,FALSE,"059-96";#N/A,#N/A,FALSE,"076-96";#N/A,#N/A,FALSE,"019-97";#N/A,#N/A,FALSE,"021-97";#N/A,#N/A,FALSE,"022-97";#N/A,#N/A,FALSE,"028-97"}</definedName>
    <definedName name="WRN.PEND2" localSheetId="0" hidden="1">{#N/A,#N/A,FALSE,"GERAL";#N/A,#N/A,FALSE,"012-96";#N/A,#N/A,FALSE,"018-96";#N/A,#N/A,FALSE,"027-96";#N/A,#N/A,FALSE,"059-96";#N/A,#N/A,FALSE,"076-96";#N/A,#N/A,FALSE,"019-97";#N/A,#N/A,FALSE,"021-97";#N/A,#N/A,FALSE,"022-97";#N/A,#N/A,FALSE,"028-97"}</definedName>
    <definedName name="WRN.PEND2" localSheetId="1" hidden="1">{#N/A,#N/A,FALSE,"GERAL";#N/A,#N/A,FALSE,"012-96";#N/A,#N/A,FALSE,"018-96";#N/A,#N/A,FALSE,"027-96";#N/A,#N/A,FALSE,"059-96";#N/A,#N/A,FALSE,"076-96";#N/A,#N/A,FALSE,"019-97";#N/A,#N/A,FALSE,"021-97";#N/A,#N/A,FALSE,"022-97";#N/A,#N/A,FALSE,"028-97"}</definedName>
    <definedName name="WRN.PEND2" localSheetId="4" hidden="1">{#N/A,#N/A,FALSE,"GERAL";#N/A,#N/A,FALSE,"012-96";#N/A,#N/A,FALSE,"018-96";#N/A,#N/A,FALSE,"027-96";#N/A,#N/A,FALSE,"059-96";#N/A,#N/A,FALSE,"076-96";#N/A,#N/A,FALSE,"019-97";#N/A,#N/A,FALSE,"021-97";#N/A,#N/A,FALSE,"022-97";#N/A,#N/A,FALSE,"028-97"}</definedName>
    <definedName name="WRN.PEND2" hidden="1">{#N/A,#N/A,FALSE,"GERAL";#N/A,#N/A,FALSE,"012-96";#N/A,#N/A,FALSE,"018-96";#N/A,#N/A,FALSE,"027-96";#N/A,#N/A,FALSE,"059-96";#N/A,#N/A,FALSE,"076-96";#N/A,#N/A,FALSE,"019-97";#N/A,#N/A,FALSE,"021-97";#N/A,#N/A,FALSE,"022-97";#N/A,#N/A,FALSE,"028-97"}</definedName>
    <definedName name="WRN.PEND3" localSheetId="0" hidden="1">{#N/A,#N/A,FALSE,"GERAL";#N/A,#N/A,FALSE,"012-96";#N/A,#N/A,FALSE,"018-96";#N/A,#N/A,FALSE,"027-96";#N/A,#N/A,FALSE,"059-96";#N/A,#N/A,FALSE,"076-96";#N/A,#N/A,FALSE,"019-97";#N/A,#N/A,FALSE,"021-97";#N/A,#N/A,FALSE,"022-97";#N/A,#N/A,FALSE,"028-97"}</definedName>
    <definedName name="WRN.PEND3" localSheetId="1" hidden="1">{#N/A,#N/A,FALSE,"GERAL";#N/A,#N/A,FALSE,"012-96";#N/A,#N/A,FALSE,"018-96";#N/A,#N/A,FALSE,"027-96";#N/A,#N/A,FALSE,"059-96";#N/A,#N/A,FALSE,"076-96";#N/A,#N/A,FALSE,"019-97";#N/A,#N/A,FALSE,"021-97";#N/A,#N/A,FALSE,"022-97";#N/A,#N/A,FALSE,"028-97"}</definedName>
    <definedName name="WRN.PEND3" localSheetId="4" hidden="1">{#N/A,#N/A,FALSE,"GERAL";#N/A,#N/A,FALSE,"012-96";#N/A,#N/A,FALSE,"018-96";#N/A,#N/A,FALSE,"027-96";#N/A,#N/A,FALSE,"059-96";#N/A,#N/A,FALSE,"076-96";#N/A,#N/A,FALSE,"019-97";#N/A,#N/A,FALSE,"021-97";#N/A,#N/A,FALSE,"022-97";#N/A,#N/A,FALSE,"028-97"}</definedName>
    <definedName name="WRN.PEND3" hidden="1">{#N/A,#N/A,FALSE,"GERAL";#N/A,#N/A,FALSE,"012-96";#N/A,#N/A,FALSE,"018-96";#N/A,#N/A,FALSE,"027-96";#N/A,#N/A,FALSE,"059-96";#N/A,#N/A,FALSE,"076-96";#N/A,#N/A,FALSE,"019-97";#N/A,#N/A,FALSE,"021-97";#N/A,#N/A,FALSE,"022-97";#N/A,#N/A,FALSE,"028-97"}</definedName>
    <definedName name="WRN.PEND4" localSheetId="0" hidden="1">{#N/A,#N/A,FALSE,"GERAL";#N/A,#N/A,FALSE,"012-96";#N/A,#N/A,FALSE,"018-96";#N/A,#N/A,FALSE,"027-96";#N/A,#N/A,FALSE,"059-96";#N/A,#N/A,FALSE,"076-96";#N/A,#N/A,FALSE,"019-97";#N/A,#N/A,FALSE,"021-97";#N/A,#N/A,FALSE,"022-97";#N/A,#N/A,FALSE,"028-97"}</definedName>
    <definedName name="WRN.PEND4" localSheetId="1" hidden="1">{#N/A,#N/A,FALSE,"GERAL";#N/A,#N/A,FALSE,"012-96";#N/A,#N/A,FALSE,"018-96";#N/A,#N/A,FALSE,"027-96";#N/A,#N/A,FALSE,"059-96";#N/A,#N/A,FALSE,"076-96";#N/A,#N/A,FALSE,"019-97";#N/A,#N/A,FALSE,"021-97";#N/A,#N/A,FALSE,"022-97";#N/A,#N/A,FALSE,"028-97"}</definedName>
    <definedName name="WRN.PEND4" localSheetId="4" hidden="1">{#N/A,#N/A,FALSE,"GERAL";#N/A,#N/A,FALSE,"012-96";#N/A,#N/A,FALSE,"018-96";#N/A,#N/A,FALSE,"027-96";#N/A,#N/A,FALSE,"059-96";#N/A,#N/A,FALSE,"076-96";#N/A,#N/A,FALSE,"019-97";#N/A,#N/A,FALSE,"021-97";#N/A,#N/A,FALSE,"022-97";#N/A,#N/A,FALSE,"028-97"}</definedName>
    <definedName name="WRN.PEND4" hidden="1">{#N/A,#N/A,FALSE,"GERAL";#N/A,#N/A,FALSE,"012-96";#N/A,#N/A,FALSE,"018-96";#N/A,#N/A,FALSE,"027-96";#N/A,#N/A,FALSE,"059-96";#N/A,#N/A,FALSE,"076-96";#N/A,#N/A,FALSE,"019-97";#N/A,#N/A,FALSE,"021-97";#N/A,#N/A,FALSE,"022-97";#N/A,#N/A,FALSE,"028-97"}</definedName>
    <definedName name="wrn.PENDENCIAS." localSheetId="0" hidden="1">{#N/A,#N/A,FALSE,"GERAL";#N/A,#N/A,FALSE,"012-96";#N/A,#N/A,FALSE,"018-96";#N/A,#N/A,FALSE,"027-96";#N/A,#N/A,FALSE,"059-96";#N/A,#N/A,FALSE,"076-96";#N/A,#N/A,FALSE,"019-97";#N/A,#N/A,FALSE,"021-97";#N/A,#N/A,FALSE,"022-97";#N/A,#N/A,FALSE,"028-97"}</definedName>
    <definedName name="wrn.PENDENCIAS." localSheetId="1" hidden="1">{#N/A,#N/A,FALSE,"GERAL";#N/A,#N/A,FALSE,"012-96";#N/A,#N/A,FALSE,"018-96";#N/A,#N/A,FALSE,"027-96";#N/A,#N/A,FALSE,"059-96";#N/A,#N/A,FALSE,"076-96";#N/A,#N/A,FALSE,"019-97";#N/A,#N/A,FALSE,"021-97";#N/A,#N/A,FALSE,"022-97";#N/A,#N/A,FALSE,"028-97"}</definedName>
    <definedName name="wrn.PENDENCIAS." localSheetId="4" hidden="1">{#N/A,#N/A,FALSE,"GERAL";#N/A,#N/A,FALSE,"012-96";#N/A,#N/A,FALSE,"018-96";#N/A,#N/A,FALSE,"027-96";#N/A,#N/A,FALSE,"059-96";#N/A,#N/A,FALSE,"076-96";#N/A,#N/A,FALSE,"019-97";#N/A,#N/A,FALSE,"021-97";#N/A,#N/A,FALSE,"022-97";#N/A,#N/A,FALSE,"028-97"}</definedName>
    <definedName name="wrn.PENDENCIAS." hidden="1">{#N/A,#N/A,FALSE,"GERAL";#N/A,#N/A,FALSE,"012-96";#N/A,#N/A,FALSE,"018-96";#N/A,#N/A,FALSE,"027-96";#N/A,#N/A,FALSE,"059-96";#N/A,#N/A,FALSE,"076-96";#N/A,#N/A,FALSE,"019-97";#N/A,#N/A,FALSE,"021-97";#N/A,#N/A,FALSE,"022-97";#N/A,#N/A,FALSE,"028-97"}</definedName>
    <definedName name="wrn.Turnaround." localSheetId="0" hidden="1">{#N/A,#N/A,FALSE,"Cert"}</definedName>
    <definedName name="wrn.Turnaround." localSheetId="1" hidden="1">{#N/A,#N/A,FALSE,"Cert"}</definedName>
    <definedName name="wrn.Turnaround." localSheetId="4" hidden="1">{#N/A,#N/A,FALSE,"Cert"}</definedName>
    <definedName name="wrn.Turnaround." hidden="1">{#N/A,#N/A,FALSE,"Cert"}</definedName>
    <definedName name="wrn.Warrington._.Widnes._.QS._.Costs." localSheetId="0" hidden="1">{#N/A,#N/A,TRUE,"Cover";#N/A,#N/A,TRUE,"Conts";#N/A,#N/A,TRUE,"VOS";#N/A,#N/A,TRUE,"Warrington";#N/A,#N/A,TRUE,"Widnes"}</definedName>
    <definedName name="wrn.Warrington._.Widnes._.QS._.Costs." localSheetId="1" hidden="1">{#N/A,#N/A,TRUE,"Cover";#N/A,#N/A,TRUE,"Conts";#N/A,#N/A,TRUE,"VOS";#N/A,#N/A,TRUE,"Warrington";#N/A,#N/A,TRUE,"Widnes"}</definedName>
    <definedName name="wrn.Warrington._.Widnes._.QS._.Costs." localSheetId="4" hidden="1">{#N/A,#N/A,TRUE,"Cover";#N/A,#N/A,TRUE,"Conts";#N/A,#N/A,TRUE,"VOS";#N/A,#N/A,TRUE,"Warrington";#N/A,#N/A,TRUE,"Widnes"}</definedName>
    <definedName name="wrn.Warrington._.Widnes._.QS._.Costs." hidden="1">{#N/A,#N/A,TRUE,"Cover";#N/A,#N/A,TRUE,"Conts";#N/A,#N/A,TRUE,"VOS";#N/A,#N/A,TRUE,"Warrington";#N/A,#N/A,TRUE,"Widnes"}</definedName>
    <definedName name="WW" localSheetId="0">#REF!</definedName>
    <definedName name="WW" localSheetId="1">#REF!</definedName>
    <definedName name="ww" localSheetId="4" hidden="1">{#N/A,#N/A,FALSE,"SUBS";#N/A,#N/A,FALSE,"SUPERS";#N/A,#N/A,FALSE,"FINISHES";#N/A,#N/A,FALSE,"FITTINGS";#N/A,#N/A,FALSE,"SERVICES";#N/A,#N/A,FALSE,"SITEWORKS"}</definedName>
    <definedName name="ww" hidden="1">{#N/A,#N/A,FALSE,"SUBS";#N/A,#N/A,FALSE,"SUPERS";#N/A,#N/A,FALSE,"FINISHES";#N/A,#N/A,FALSE,"FITTINGS";#N/A,#N/A,FALSE,"SERVICES";#N/A,#N/A,FALSE,"SITEWORKS"}</definedName>
    <definedName name="X" localSheetId="0">#REF!</definedName>
    <definedName name="X" localSheetId="1">#REF!</definedName>
    <definedName name="x" localSheetId="4">#REF!</definedName>
    <definedName name="x">#REF!</definedName>
    <definedName name="XRate" localSheetId="4">#REF!</definedName>
    <definedName name="XRate">#REF!</definedName>
    <definedName name="xxx" localSheetId="0">#REF!</definedName>
    <definedName name="xxx" localSheetId="1">#REF!</definedName>
    <definedName name="xxx" localSheetId="4">#REF!</definedName>
    <definedName name="xxx">#REF!</definedName>
    <definedName name="y10net" localSheetId="0">#REF!</definedName>
    <definedName name="y10net" localSheetId="1">#REF!</definedName>
    <definedName name="y10net" localSheetId="4">#REF!</definedName>
    <definedName name="y10net">#REF!</definedName>
    <definedName name="y10r" localSheetId="0">#REF!</definedName>
    <definedName name="y10r" localSheetId="1">#REF!</definedName>
    <definedName name="y10r" localSheetId="4">#REF!</definedName>
    <definedName name="y10r">#REF!</definedName>
    <definedName name="y1net" localSheetId="4">#REF!</definedName>
    <definedName name="y1net">#REF!</definedName>
    <definedName name="y1r" localSheetId="4">#REF!</definedName>
    <definedName name="y1r">#REF!</definedName>
    <definedName name="y2r" localSheetId="4">#REF!</definedName>
    <definedName name="y2r">#REF!</definedName>
    <definedName name="y3net" localSheetId="4">#REF!</definedName>
    <definedName name="y3net">#REF!</definedName>
    <definedName name="y3r" localSheetId="4">#REF!</definedName>
    <definedName name="y3r">#REF!</definedName>
    <definedName name="y5net" localSheetId="4">#REF!</definedName>
    <definedName name="y5net">#REF!</definedName>
    <definedName name="y5r" localSheetId="4">#REF!</definedName>
    <definedName name="y5r">#REF!</definedName>
    <definedName name="y7net" localSheetId="4">#REF!</definedName>
    <definedName name="y7net">#REF!</definedName>
    <definedName name="yd10a" localSheetId="4">#REF!</definedName>
    <definedName name="yd10a">#REF!</definedName>
    <definedName name="yd10b" localSheetId="4">#REF!</definedName>
    <definedName name="yd10b">#REF!</definedName>
    <definedName name="yd10c" localSheetId="4">#REF!</definedName>
    <definedName name="yd10c">#REF!</definedName>
    <definedName name="yd10d" localSheetId="4">#REF!</definedName>
    <definedName name="yd10d">#REF!</definedName>
    <definedName name="yd10e" localSheetId="4">#REF!</definedName>
    <definedName name="yd10e">#REF!</definedName>
    <definedName name="yd1a" localSheetId="4">#REF!</definedName>
    <definedName name="yd1a">#REF!</definedName>
    <definedName name="yd1b" localSheetId="4">#REF!</definedName>
    <definedName name="yd1b">#REF!</definedName>
    <definedName name="yd1c" localSheetId="4">#REF!</definedName>
    <definedName name="yd1c">#REF!</definedName>
    <definedName name="yd1d" localSheetId="4">#REF!</definedName>
    <definedName name="yd1d">#REF!</definedName>
    <definedName name="yd1e" localSheetId="4">#REF!</definedName>
    <definedName name="yd1e">#REF!</definedName>
    <definedName name="yd2a" localSheetId="4">#REF!</definedName>
    <definedName name="yd2a">#REF!</definedName>
    <definedName name="yd2b" localSheetId="4">#REF!</definedName>
    <definedName name="yd2b">#REF!</definedName>
    <definedName name="yd2c" localSheetId="4">#REF!</definedName>
    <definedName name="yd2c">#REF!</definedName>
    <definedName name="yd2d" localSheetId="4">#REF!</definedName>
    <definedName name="yd2d">#REF!</definedName>
    <definedName name="yd2e" localSheetId="4">#REF!</definedName>
    <definedName name="yd2e">#REF!</definedName>
    <definedName name="yd3a" localSheetId="4">#REF!</definedName>
    <definedName name="yd3a">#REF!</definedName>
    <definedName name="yd3b" localSheetId="4">#REF!</definedName>
    <definedName name="yd3b">#REF!</definedName>
    <definedName name="yd3c" localSheetId="4">#REF!</definedName>
    <definedName name="yd3c">#REF!</definedName>
    <definedName name="yd3d" localSheetId="4">#REF!</definedName>
    <definedName name="yd3d">#REF!</definedName>
    <definedName name="yd3e" localSheetId="4">#REF!</definedName>
    <definedName name="yd3e">#REF!</definedName>
    <definedName name="yd5a" localSheetId="4">#REF!</definedName>
    <definedName name="yd5a">#REF!</definedName>
    <definedName name="yd5b" localSheetId="4">#REF!</definedName>
    <definedName name="yd5b">#REF!</definedName>
    <definedName name="yd5c" localSheetId="4">#REF!</definedName>
    <definedName name="yd5c">#REF!</definedName>
    <definedName name="yd5d" localSheetId="4">#REF!</definedName>
    <definedName name="yd5d">#REF!</definedName>
    <definedName name="yd5e" localSheetId="4">#REF!</definedName>
    <definedName name="yd5e">#REF!</definedName>
    <definedName name="Year1_Fees" localSheetId="4">#REF!</definedName>
    <definedName name="Year1_Fees">#REF!</definedName>
    <definedName name="YEN" localSheetId="4">#REF!</definedName>
    <definedName name="YEN">#REF!</definedName>
    <definedName name="Yield" localSheetId="4">#REF!</definedName>
    <definedName name="Yield">#REF!</definedName>
    <definedName name="Yield_for_T_o" localSheetId="4">#REF!</definedName>
    <definedName name="Yield_for_T_o">#REF!</definedName>
    <definedName name="Yield_to_aboveERV" localSheetId="4">#REF!</definedName>
    <definedName name="Yield_to_aboveERV">#REF!</definedName>
    <definedName name="yieldprofile" localSheetId="4">#REF!</definedName>
    <definedName name="yieldprofile">#REF!</definedName>
    <definedName name="Yoeld_to_aboveERV" localSheetId="4">#REF!</definedName>
    <definedName name="Yoeld_to_aboveERV">#REF!</definedName>
    <definedName name="YR1_Prob" localSheetId="4">#REF!</definedName>
    <definedName name="YR1_Prob">#REF!</definedName>
    <definedName name="Yr2_Prob" localSheetId="4">#REF!</definedName>
    <definedName name="Yr2_Prob">#REF!</definedName>
    <definedName name="Yr3_Prob" localSheetId="4">#REF!</definedName>
    <definedName name="Yr3_Prob">#REF!</definedName>
    <definedName name="Yr4_Prob" localSheetId="4">#REF!</definedName>
    <definedName name="Yr4_Prob">#REF!</definedName>
    <definedName name="Yr5_Prob" localSheetId="4">#REF!</definedName>
    <definedName name="Yr5_Prob">#REF!</definedName>
    <definedName name="yui" localSheetId="0" hidden="1">{#N/A,#N/A,TRUE,"COVER";#N/A,#N/A,TRUE,"DETAILS";#N/A,#N/A,TRUE,"SUMMARY";#N/A,#N/A,TRUE,"EXP MON";#N/A,#N/A,TRUE,"APPENDIX A";#N/A,#N/A,TRUE,"APPENDIX B";#N/A,#N/A,TRUE,"APPENDIX C";#N/A,#N/A,TRUE,"APPENDIX D";#N/A,#N/A,TRUE,"APPENDIX E";#N/A,#N/A,TRUE,"APPENDIX F";#N/A,#N/A,TRUE,"APPENDIX G"}</definedName>
    <definedName name="yui" localSheetId="1" hidden="1">{#N/A,#N/A,TRUE,"COVER";#N/A,#N/A,TRUE,"DETAILS";#N/A,#N/A,TRUE,"SUMMARY";#N/A,#N/A,TRUE,"EXP MON";#N/A,#N/A,TRUE,"APPENDIX A";#N/A,#N/A,TRUE,"APPENDIX B";#N/A,#N/A,TRUE,"APPENDIX C";#N/A,#N/A,TRUE,"APPENDIX D";#N/A,#N/A,TRUE,"APPENDIX E";#N/A,#N/A,TRUE,"APPENDIX F";#N/A,#N/A,TRUE,"APPENDIX G"}</definedName>
    <definedName name="yui" localSheetId="4" hidden="1">{#N/A,#N/A,TRUE,"COVER";#N/A,#N/A,TRUE,"DETAILS";#N/A,#N/A,TRUE,"SUMMARY";#N/A,#N/A,TRUE,"EXP MON";#N/A,#N/A,TRUE,"APPENDIX A";#N/A,#N/A,TRUE,"APPENDIX B";#N/A,#N/A,TRUE,"APPENDIX C";#N/A,#N/A,TRUE,"APPENDIX D";#N/A,#N/A,TRUE,"APPENDIX E";#N/A,#N/A,TRUE,"APPENDIX F";#N/A,#N/A,TRUE,"APPENDIX G"}</definedName>
    <definedName name="yui" hidden="1">{#N/A,#N/A,TRUE,"COVER";#N/A,#N/A,TRUE,"DETAILS";#N/A,#N/A,TRUE,"SUMMARY";#N/A,#N/A,TRUE,"EXP MON";#N/A,#N/A,TRUE,"APPENDIX A";#N/A,#N/A,TRUE,"APPENDIX B";#N/A,#N/A,TRUE,"APPENDIX C";#N/A,#N/A,TRUE,"APPENDIX D";#N/A,#N/A,TRUE,"APPENDIX E";#N/A,#N/A,TRUE,"APPENDIX F";#N/A,#N/A,TRUE,"APPENDIX G"}</definedName>
    <definedName name="yy" localSheetId="0">#REF!</definedName>
    <definedName name="yy" localSheetId="1">#REF!</definedName>
    <definedName name="yy">[22]INDEX!#REF!</definedName>
    <definedName name="yyy" localSheetId="0">#REF!</definedName>
    <definedName name="yyy" localSheetId="1">#REF!</definedName>
    <definedName name="yyy">[54]AREAS!$A$1:$I$5</definedName>
    <definedName name="Z" localSheetId="0">#REF!</definedName>
    <definedName name="Z" localSheetId="1">#REF!</definedName>
    <definedName name="Z" localSheetId="4">#REF!</definedName>
    <definedName name="Z">#REF!</definedName>
    <definedName name="ZAR" localSheetId="0">#REF!</definedName>
    <definedName name="ZAR" localSheetId="1">#REF!</definedName>
    <definedName name="ZAR" localSheetId="4">#REF!</definedName>
    <definedName name="ZAR">#REF!</definedName>
    <definedName name="Zip" localSheetId="0">#REF!</definedName>
    <definedName name="Zip" localSheetId="1">#REF!</definedName>
    <definedName name="Zip" localSheetId="4">#REF!</definedName>
    <definedName name="Zip">#REF!</definedName>
    <definedName name="ZoneA_Cat" localSheetId="4">#REF!</definedName>
    <definedName name="ZoneA_Cat">#REF!</definedName>
    <definedName name="zzz" localSheetId="0" hidden="1">{#N/A,#N/A,TRUE,"COVER";#N/A,#N/A,TRUE,"DETAILS";#N/A,#N/A,TRUE,"SUMMARY";#N/A,#N/A,TRUE,"EXP MON";#N/A,#N/A,TRUE,"APPENDIX A";#N/A,#N/A,TRUE,"APPENDIX B";#N/A,#N/A,TRUE,"APPENDIX C";#N/A,#N/A,TRUE,"APPENDIX D";#N/A,#N/A,TRUE,"APPENDIX E";#N/A,#N/A,TRUE,"APPENDIX F";#N/A,#N/A,TRUE,"APPENDIX G"}</definedName>
    <definedName name="zzz" localSheetId="1" hidden="1">{#N/A,#N/A,TRUE,"COVER";#N/A,#N/A,TRUE,"DETAILS";#N/A,#N/A,TRUE,"SUMMARY";#N/A,#N/A,TRUE,"EXP MON";#N/A,#N/A,TRUE,"APPENDIX A";#N/A,#N/A,TRUE,"APPENDIX B";#N/A,#N/A,TRUE,"APPENDIX C";#N/A,#N/A,TRUE,"APPENDIX D";#N/A,#N/A,TRUE,"APPENDIX E";#N/A,#N/A,TRUE,"APPENDIX F";#N/A,#N/A,TRUE,"APPENDIX G"}</definedName>
    <definedName name="zzz" localSheetId="4" hidden="1">{#N/A,#N/A,TRUE,"COVER";#N/A,#N/A,TRUE,"DETAILS";#N/A,#N/A,TRUE,"SUMMARY";#N/A,#N/A,TRUE,"EXP MON";#N/A,#N/A,TRUE,"APPENDIX A";#N/A,#N/A,TRUE,"APPENDIX B";#N/A,#N/A,TRUE,"APPENDIX C";#N/A,#N/A,TRUE,"APPENDIX D";#N/A,#N/A,TRUE,"APPENDIX E";#N/A,#N/A,TRUE,"APPENDIX F";#N/A,#N/A,TRUE,"APPENDIX G"}</definedName>
    <definedName name="zzz" hidden="1">{#N/A,#N/A,TRUE,"COVER";#N/A,#N/A,TRUE,"DETAILS";#N/A,#N/A,TRUE,"SUMMARY";#N/A,#N/A,TRUE,"EXP MON";#N/A,#N/A,TRUE,"APPENDIX A";#N/A,#N/A,TRUE,"APPENDIX B";#N/A,#N/A,TRUE,"APPENDIX C";#N/A,#N/A,TRUE,"APPENDIX D";#N/A,#N/A,TRUE,"APPENDIX E";#N/A,#N/A,TRUE,"APPENDIX F";#N/A,#N/A,TRUE,"APPENDIX G"}</definedName>
    <definedName name="zzzzzz" localSheetId="0" hidden="1">{#N/A,#N/A,TRUE,"COVER";#N/A,#N/A,TRUE,"DETAILS";#N/A,#N/A,TRUE,"SUMMARY";#N/A,#N/A,TRUE,"EXP MON";#N/A,#N/A,TRUE,"APPENDIX A";#N/A,#N/A,TRUE,"APPENDIX B";#N/A,#N/A,TRUE,"APPENDIX C";#N/A,#N/A,TRUE,"APPENDIX D";#N/A,#N/A,TRUE,"APPENDIX E";#N/A,#N/A,TRUE,"APPENDIX F";#N/A,#N/A,TRUE,"APPENDIX G"}</definedName>
    <definedName name="zzzzzz" localSheetId="1" hidden="1">{#N/A,#N/A,TRUE,"COVER";#N/A,#N/A,TRUE,"DETAILS";#N/A,#N/A,TRUE,"SUMMARY";#N/A,#N/A,TRUE,"EXP MON";#N/A,#N/A,TRUE,"APPENDIX A";#N/A,#N/A,TRUE,"APPENDIX B";#N/A,#N/A,TRUE,"APPENDIX C";#N/A,#N/A,TRUE,"APPENDIX D";#N/A,#N/A,TRUE,"APPENDIX E";#N/A,#N/A,TRUE,"APPENDIX F";#N/A,#N/A,TRUE,"APPENDIX G"}</definedName>
    <definedName name="zzzzzz" localSheetId="4" hidden="1">{#N/A,#N/A,TRUE,"COVER";#N/A,#N/A,TRUE,"DETAILS";#N/A,#N/A,TRUE,"SUMMARY";#N/A,#N/A,TRUE,"EXP MON";#N/A,#N/A,TRUE,"APPENDIX A";#N/A,#N/A,TRUE,"APPENDIX B";#N/A,#N/A,TRUE,"APPENDIX C";#N/A,#N/A,TRUE,"APPENDIX D";#N/A,#N/A,TRUE,"APPENDIX E";#N/A,#N/A,TRUE,"APPENDIX F";#N/A,#N/A,TRUE,"APPENDIX G"}</definedName>
    <definedName name="zzzzzz" hidden="1">{#N/A,#N/A,TRUE,"COVER";#N/A,#N/A,TRUE,"DETAILS";#N/A,#N/A,TRUE,"SUMMARY";#N/A,#N/A,TRUE,"EXP MON";#N/A,#N/A,TRUE,"APPENDIX A";#N/A,#N/A,TRUE,"APPENDIX B";#N/A,#N/A,TRUE,"APPENDIX C";#N/A,#N/A,TRUE,"APPENDIX D";#N/A,#N/A,TRUE,"APPENDIX E";#N/A,#N/A,TRUE,"APPENDIX F";#N/A,#N/A,TRUE,"APPENDIX G"}</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8" i="6" l="1"/>
  <c r="M8" i="6"/>
  <c r="L8" i="6"/>
  <c r="N7" i="6"/>
  <c r="M7" i="6"/>
  <c r="L7" i="6"/>
  <c r="N6" i="6"/>
  <c r="M6" i="6"/>
  <c r="L6" i="6"/>
  <c r="N5" i="6"/>
  <c r="M5" i="6"/>
  <c r="L5" i="6"/>
  <c r="N4" i="6"/>
  <c r="M4" i="6"/>
  <c r="L4" i="6"/>
  <c r="K5" i="6"/>
  <c r="J8" i="6"/>
  <c r="J7" i="6"/>
  <c r="J6" i="6"/>
  <c r="J5" i="6"/>
  <c r="O105" i="2" s="1"/>
  <c r="J4" i="6"/>
  <c r="D389" i="5" l="1"/>
  <c r="D388" i="5"/>
  <c r="D387" i="5"/>
  <c r="D386" i="5"/>
  <c r="D385" i="5"/>
  <c r="D384" i="5"/>
  <c r="D383" i="5"/>
  <c r="D382" i="5"/>
  <c r="D381" i="5"/>
  <c r="D380" i="5"/>
  <c r="D379" i="5"/>
  <c r="D378" i="5"/>
  <c r="D377" i="5"/>
  <c r="D376" i="5"/>
  <c r="D375" i="5"/>
  <c r="D374" i="5"/>
  <c r="D373" i="5"/>
  <c r="D372" i="5"/>
  <c r="D371" i="5"/>
  <c r="D370" i="5"/>
  <c r="D369" i="5"/>
  <c r="D368" i="5"/>
  <c r="D367" i="5"/>
  <c r="D366" i="5"/>
  <c r="D365" i="5"/>
  <c r="D364" i="5"/>
  <c r="D363" i="5"/>
  <c r="D362" i="5"/>
  <c r="D361" i="5"/>
  <c r="D360" i="5"/>
  <c r="D359" i="5"/>
  <c r="D358" i="5"/>
  <c r="D357" i="5"/>
  <c r="D356" i="5"/>
  <c r="D355" i="5"/>
  <c r="D354" i="5"/>
  <c r="D353" i="5"/>
  <c r="D352" i="5"/>
  <c r="D351" i="5"/>
  <c r="D350" i="5"/>
  <c r="D349" i="5"/>
  <c r="D348" i="5"/>
  <c r="D347" i="5"/>
  <c r="D346" i="5"/>
  <c r="D345" i="5"/>
  <c r="D344" i="5"/>
  <c r="D343" i="5"/>
  <c r="D342" i="5"/>
  <c r="D341" i="5"/>
  <c r="D340" i="5"/>
  <c r="D339" i="5"/>
  <c r="D338" i="5"/>
  <c r="D337" i="5"/>
  <c r="D336" i="5"/>
  <c r="D335" i="5"/>
  <c r="D334" i="5"/>
  <c r="D333" i="5"/>
  <c r="D332" i="5"/>
  <c r="D331" i="5"/>
  <c r="D330" i="5"/>
  <c r="D329" i="5"/>
  <c r="D328" i="5"/>
  <c r="D327" i="5"/>
  <c r="D326" i="5"/>
  <c r="D325" i="5"/>
  <c r="D324" i="5"/>
  <c r="D323" i="5"/>
  <c r="D322" i="5"/>
  <c r="D321" i="5"/>
  <c r="D320" i="5"/>
  <c r="D319" i="5"/>
  <c r="D318" i="5"/>
  <c r="D317" i="5"/>
  <c r="D316" i="5"/>
  <c r="D315" i="5"/>
  <c r="D314" i="5"/>
  <c r="D313" i="5"/>
  <c r="D312" i="5"/>
  <c r="D311" i="5"/>
  <c r="D310" i="5"/>
  <c r="D309" i="5"/>
  <c r="D308" i="5"/>
  <c r="D307" i="5"/>
  <c r="D306" i="5"/>
  <c r="D305" i="5"/>
  <c r="D304" i="5"/>
  <c r="D303" i="5"/>
  <c r="D302" i="5"/>
  <c r="D301" i="5"/>
  <c r="D300" i="5"/>
  <c r="D299" i="5"/>
  <c r="D298" i="5"/>
  <c r="D297" i="5"/>
  <c r="D296" i="5"/>
  <c r="D295" i="5"/>
  <c r="D294" i="5"/>
  <c r="D293" i="5"/>
  <c r="D292" i="5"/>
  <c r="D291" i="5"/>
  <c r="D290" i="5"/>
  <c r="D289" i="5"/>
  <c r="D288" i="5"/>
  <c r="D287" i="5"/>
  <c r="D286" i="5"/>
  <c r="D285" i="5"/>
  <c r="D284" i="5"/>
  <c r="D283" i="5"/>
  <c r="D282" i="5"/>
  <c r="D281" i="5"/>
  <c r="D280" i="5"/>
  <c r="D279" i="5"/>
  <c r="D278" i="5"/>
  <c r="D277" i="5"/>
  <c r="D276" i="5"/>
  <c r="D275" i="5"/>
  <c r="D274" i="5"/>
  <c r="D273" i="5"/>
  <c r="D272" i="5"/>
  <c r="D271" i="5"/>
  <c r="D270" i="5"/>
  <c r="D269" i="5"/>
  <c r="D268" i="5"/>
  <c r="D267" i="5"/>
  <c r="D266" i="5"/>
  <c r="D265" i="5"/>
  <c r="D264" i="5"/>
  <c r="D263" i="5"/>
  <c r="D262" i="5"/>
  <c r="D261" i="5"/>
  <c r="D260" i="5"/>
  <c r="D259" i="5"/>
  <c r="D258" i="5"/>
  <c r="D257" i="5"/>
  <c r="D256" i="5"/>
  <c r="D255" i="5"/>
  <c r="D254" i="5"/>
  <c r="D253" i="5"/>
  <c r="D252" i="5"/>
  <c r="D251" i="5"/>
  <c r="D250" i="5"/>
  <c r="D249" i="5"/>
  <c r="D248" i="5"/>
  <c r="D247" i="5"/>
  <c r="D246" i="5"/>
  <c r="D245" i="5"/>
  <c r="D244" i="5"/>
  <c r="D243" i="5"/>
  <c r="D242" i="5"/>
  <c r="D241" i="5"/>
  <c r="D240" i="5"/>
  <c r="D239" i="5"/>
  <c r="D238" i="5"/>
  <c r="D237" i="5"/>
  <c r="D236" i="5"/>
  <c r="D235" i="5"/>
  <c r="D234" i="5"/>
  <c r="D233" i="5"/>
  <c r="D232" i="5"/>
  <c r="D231" i="5"/>
  <c r="D230" i="5"/>
  <c r="D229" i="5"/>
  <c r="D228" i="5"/>
  <c r="D227" i="5"/>
  <c r="D226" i="5"/>
  <c r="D225" i="5"/>
  <c r="D224" i="5"/>
  <c r="D223" i="5"/>
  <c r="D222" i="5"/>
  <c r="D221" i="5"/>
  <c r="D220" i="5"/>
  <c r="D219" i="5"/>
  <c r="D218" i="5"/>
  <c r="D217" i="5"/>
  <c r="D216" i="5"/>
  <c r="D215" i="5"/>
  <c r="D214" i="5"/>
  <c r="D213" i="5"/>
  <c r="D212" i="5"/>
  <c r="D211" i="5"/>
  <c r="D210" i="5"/>
  <c r="D209" i="5"/>
  <c r="D208" i="5"/>
  <c r="D207" i="5"/>
  <c r="D206" i="5"/>
  <c r="D205" i="5"/>
  <c r="D204" i="5"/>
  <c r="D203" i="5"/>
  <c r="D202" i="5"/>
  <c r="D201" i="5"/>
  <c r="D200" i="5"/>
  <c r="D199" i="5"/>
  <c r="D198" i="5"/>
  <c r="D197" i="5"/>
  <c r="D196" i="5"/>
  <c r="D195" i="5"/>
  <c r="D194" i="5"/>
  <c r="D193" i="5"/>
  <c r="D192" i="5"/>
  <c r="D191" i="5"/>
  <c r="D190" i="5"/>
  <c r="D189" i="5"/>
  <c r="D188" i="5"/>
  <c r="D187" i="5"/>
  <c r="D186" i="5"/>
  <c r="D185" i="5"/>
  <c r="D184" i="5"/>
  <c r="D183" i="5"/>
  <c r="D182" i="5"/>
  <c r="D181" i="5"/>
  <c r="D180" i="5"/>
  <c r="D179" i="5"/>
  <c r="D178" i="5"/>
  <c r="D177" i="5"/>
  <c r="D176" i="5"/>
  <c r="D175" i="5"/>
  <c r="D174" i="5"/>
  <c r="D173" i="5"/>
  <c r="D172" i="5"/>
  <c r="D171" i="5"/>
  <c r="D170" i="5"/>
  <c r="D169" i="5"/>
  <c r="D168" i="5"/>
  <c r="D167" i="5"/>
  <c r="D166" i="5"/>
  <c r="D165" i="5"/>
  <c r="D164" i="5"/>
  <c r="D163" i="5"/>
  <c r="D162" i="5"/>
  <c r="D156" i="5"/>
  <c r="D155" i="5"/>
  <c r="D154" i="5"/>
  <c r="D153" i="5"/>
  <c r="D152" i="5"/>
  <c r="D151" i="5"/>
  <c r="D150" i="5"/>
  <c r="D149" i="5"/>
  <c r="D148" i="5"/>
  <c r="D147" i="5"/>
  <c r="D146" i="5"/>
  <c r="D145" i="5"/>
  <c r="D144" i="5"/>
  <c r="D143" i="5"/>
  <c r="D142" i="5"/>
  <c r="D141" i="5"/>
  <c r="D140" i="5"/>
  <c r="D139" i="5"/>
  <c r="D138" i="5"/>
  <c r="D137" i="5"/>
  <c r="D136" i="5"/>
  <c r="D135" i="5"/>
  <c r="D134" i="5"/>
  <c r="D133" i="5"/>
  <c r="D132" i="5"/>
  <c r="D131" i="5"/>
  <c r="D130" i="5"/>
  <c r="D129" i="5"/>
  <c r="D128" i="5"/>
  <c r="D127" i="5"/>
  <c r="D126" i="5"/>
  <c r="D125" i="5"/>
  <c r="D124" i="5"/>
  <c r="D123" i="5"/>
  <c r="D122" i="5"/>
  <c r="D121" i="5"/>
  <c r="D120" i="5"/>
  <c r="D119" i="5"/>
  <c r="D118" i="5"/>
  <c r="D117" i="5"/>
  <c r="D116" i="5"/>
  <c r="D115" i="5"/>
  <c r="D114" i="5"/>
  <c r="D113" i="5"/>
  <c r="D112" i="5"/>
  <c r="D111" i="5"/>
  <c r="D110" i="5"/>
  <c r="D109" i="5"/>
  <c r="D108" i="5"/>
  <c r="D107" i="5"/>
  <c r="D106" i="5"/>
  <c r="D105" i="5"/>
  <c r="D104" i="5"/>
  <c r="D103" i="5"/>
  <c r="D102" i="5"/>
  <c r="D101" i="5"/>
  <c r="D100" i="5"/>
  <c r="D99" i="5"/>
  <c r="D98" i="5"/>
  <c r="D97" i="5"/>
  <c r="D96" i="5"/>
  <c r="D95" i="5"/>
  <c r="D94" i="5"/>
  <c r="D93" i="5"/>
  <c r="D92" i="5"/>
  <c r="D91" i="5"/>
  <c r="D90" i="5"/>
  <c r="D89" i="5"/>
  <c r="D88" i="5"/>
  <c r="D87" i="5"/>
  <c r="D86" i="5"/>
  <c r="D85" i="5"/>
  <c r="D84" i="5"/>
  <c r="D83" i="5"/>
  <c r="D82" i="5"/>
  <c r="D81" i="5"/>
  <c r="D80" i="5"/>
  <c r="D79" i="5"/>
  <c r="D78" i="5"/>
  <c r="D77" i="5"/>
  <c r="D76" i="5"/>
  <c r="D75" i="5"/>
  <c r="D74" i="5"/>
  <c r="D73" i="5"/>
  <c r="D72" i="5"/>
  <c r="D71" i="5"/>
  <c r="D70" i="5"/>
  <c r="D69" i="5"/>
  <c r="D68" i="5"/>
  <c r="D67" i="5"/>
  <c r="D66" i="5"/>
  <c r="D65" i="5"/>
  <c r="D64" i="5"/>
  <c r="D63" i="5"/>
  <c r="D62" i="5"/>
  <c r="D61" i="5"/>
  <c r="D60" i="5"/>
  <c r="D59" i="5"/>
  <c r="D58" i="5"/>
  <c r="D57" i="5"/>
  <c r="D56" i="5"/>
  <c r="D55" i="5"/>
  <c r="D54" i="5"/>
  <c r="D53" i="5"/>
  <c r="D52" i="5"/>
  <c r="D51" i="5"/>
  <c r="D50" i="5"/>
  <c r="D49" i="5"/>
  <c r="D48" i="5"/>
  <c r="D47" i="5"/>
  <c r="D46" i="5"/>
  <c r="D45" i="5"/>
  <c r="D44" i="5"/>
  <c r="D43" i="5"/>
  <c r="D42" i="5"/>
  <c r="D41" i="5"/>
  <c r="D40" i="5"/>
  <c r="D39" i="5"/>
  <c r="D38" i="5"/>
  <c r="D37" i="5"/>
  <c r="D36" i="5"/>
  <c r="D35" i="5"/>
  <c r="D34" i="5"/>
  <c r="D33" i="5"/>
  <c r="D32" i="5"/>
  <c r="D31" i="5"/>
  <c r="D30" i="5"/>
  <c r="D29" i="5"/>
  <c r="D28" i="5"/>
  <c r="D27" i="5"/>
  <c r="D26" i="5"/>
  <c r="D25" i="5"/>
  <c r="D24" i="5"/>
  <c r="D23" i="5"/>
  <c r="D22" i="5"/>
  <c r="D21" i="5"/>
  <c r="D20" i="5"/>
  <c r="D19" i="5"/>
  <c r="D18" i="5"/>
  <c r="D17" i="5"/>
  <c r="D16" i="5"/>
  <c r="D15" i="5"/>
  <c r="D14" i="5"/>
  <c r="D13" i="5"/>
  <c r="D12" i="5"/>
  <c r="D11" i="5"/>
  <c r="D10" i="5"/>
  <c r="D9" i="5"/>
  <c r="D8" i="5"/>
  <c r="D7" i="5"/>
  <c r="D6" i="5"/>
  <c r="D5" i="5"/>
  <c r="D4" i="5"/>
  <c r="D3" i="5"/>
  <c r="D2" i="5"/>
  <c r="C37" i="4"/>
  <c r="C36" i="4"/>
  <c r="C35" i="4"/>
  <c r="C34" i="4"/>
  <c r="C33" i="4"/>
  <c r="C32" i="4"/>
  <c r="C31" i="4"/>
  <c r="C30" i="4"/>
  <c r="C29" i="4"/>
  <c r="C28" i="4"/>
  <c r="C27" i="4"/>
  <c r="C26" i="4"/>
  <c r="C25" i="4"/>
  <c r="C24" i="4"/>
  <c r="C23" i="4"/>
  <c r="C22" i="4"/>
  <c r="C21" i="4"/>
  <c r="C20" i="4"/>
  <c r="C19" i="4"/>
  <c r="C18" i="4"/>
  <c r="C17" i="4"/>
  <c r="C16" i="4"/>
  <c r="C15" i="4"/>
  <c r="C14" i="4"/>
  <c r="C13" i="4"/>
  <c r="C12" i="4"/>
  <c r="C11" i="4"/>
  <c r="C10" i="4"/>
  <c r="C9" i="4"/>
  <c r="C8" i="4"/>
  <c r="C7" i="4"/>
  <c r="C6" i="4"/>
  <c r="C5" i="4"/>
  <c r="C4" i="4"/>
  <c r="C3" i="4"/>
  <c r="C2" i="4"/>
  <c r="C23" i="3" l="1"/>
  <c r="C22" i="3"/>
  <c r="C21" i="3"/>
  <c r="C20" i="3"/>
  <c r="C19" i="3"/>
  <c r="C18" i="3"/>
  <c r="C17" i="3"/>
  <c r="C16" i="3"/>
  <c r="C15" i="3"/>
  <c r="C14" i="3"/>
  <c r="C13" i="3"/>
  <c r="C12" i="3"/>
  <c r="C11" i="3"/>
  <c r="C10" i="3"/>
  <c r="C9" i="3"/>
  <c r="C8" i="3"/>
  <c r="C7" i="3"/>
  <c r="C6" i="3"/>
  <c r="C5" i="3"/>
  <c r="C4" i="3"/>
  <c r="C3" i="3"/>
  <c r="C2" i="3"/>
  <c r="Q2017" i="2"/>
  <c r="P2017" i="2"/>
  <c r="Q2016" i="2"/>
  <c r="P2016" i="2"/>
  <c r="Q2015" i="2"/>
  <c r="P2015" i="2"/>
  <c r="Q2014" i="2"/>
  <c r="P2014" i="2"/>
  <c r="Q2013" i="2"/>
  <c r="P2013" i="2"/>
  <c r="Q2012" i="2"/>
  <c r="P2012" i="2"/>
  <c r="Q2011" i="2"/>
  <c r="P2011" i="2"/>
  <c r="Q2010" i="2"/>
  <c r="P2010" i="2"/>
  <c r="Q2009" i="2"/>
  <c r="P2009" i="2"/>
  <c r="Q2008" i="2"/>
  <c r="P2008" i="2"/>
  <c r="Q2007" i="2"/>
  <c r="P2007" i="2"/>
  <c r="Q2006" i="2"/>
  <c r="P2006" i="2"/>
  <c r="Q2005" i="2"/>
  <c r="P2005" i="2"/>
  <c r="Q2004" i="2"/>
  <c r="P2004" i="2"/>
  <c r="Q2003" i="2"/>
  <c r="P2003" i="2"/>
  <c r="Q2002" i="2"/>
  <c r="P2002" i="2"/>
  <c r="Q2001" i="2"/>
  <c r="P2001" i="2"/>
  <c r="Q2000" i="2"/>
  <c r="P2000" i="2"/>
  <c r="Q1999" i="2"/>
  <c r="P1999" i="2"/>
  <c r="Q1998" i="2"/>
  <c r="P1998" i="2"/>
  <c r="Q1997" i="2"/>
  <c r="P1997" i="2"/>
  <c r="Q1996" i="2"/>
  <c r="P1996" i="2"/>
  <c r="Q1995" i="2"/>
  <c r="P1995" i="2"/>
  <c r="Q1994" i="2"/>
  <c r="P1994" i="2"/>
  <c r="Q1993" i="2"/>
  <c r="P1993" i="2"/>
  <c r="Q1992" i="2"/>
  <c r="P1992" i="2"/>
  <c r="Q1991" i="2"/>
  <c r="P1991" i="2"/>
  <c r="Q1990" i="2"/>
  <c r="P1990" i="2"/>
  <c r="Q1989" i="2"/>
  <c r="P1989" i="2"/>
  <c r="Q1988" i="2"/>
  <c r="P1988" i="2"/>
  <c r="Q1987" i="2"/>
  <c r="P1987" i="2"/>
  <c r="Q1986" i="2"/>
  <c r="P1986" i="2"/>
  <c r="Q1985" i="2"/>
  <c r="P1985" i="2"/>
  <c r="Q1984" i="2"/>
  <c r="P1984" i="2"/>
  <c r="Q1983" i="2"/>
  <c r="P1983" i="2"/>
  <c r="Q1982" i="2"/>
  <c r="P1982" i="2"/>
  <c r="Q1981" i="2"/>
  <c r="P1981" i="2"/>
  <c r="Q1980" i="2"/>
  <c r="P1980" i="2"/>
  <c r="Q1979" i="2"/>
  <c r="P1979" i="2"/>
  <c r="Q1978" i="2"/>
  <c r="P1978" i="2"/>
  <c r="Q1977" i="2"/>
  <c r="P1977" i="2"/>
  <c r="Q1974" i="2"/>
  <c r="P1974" i="2"/>
  <c r="Q1973" i="2"/>
  <c r="P1973" i="2"/>
  <c r="Q1970" i="2"/>
  <c r="P1970" i="2"/>
  <c r="Q1969" i="2"/>
  <c r="P1969" i="2"/>
  <c r="Q1968" i="2"/>
  <c r="P1968" i="2"/>
  <c r="Q1967" i="2"/>
  <c r="P1967" i="2"/>
  <c r="Q1966" i="2"/>
  <c r="P1966" i="2"/>
  <c r="Q1965" i="2"/>
  <c r="P1965" i="2"/>
  <c r="Q1964" i="2"/>
  <c r="P1964" i="2"/>
  <c r="Q1963" i="2"/>
  <c r="P1963" i="2"/>
  <c r="Q1962" i="2"/>
  <c r="P1962" i="2"/>
  <c r="Q1961" i="2"/>
  <c r="P1961" i="2"/>
  <c r="Q1960" i="2"/>
  <c r="P1960" i="2"/>
  <c r="Q1959" i="2"/>
  <c r="P1959" i="2"/>
  <c r="Q1958" i="2"/>
  <c r="P1958" i="2"/>
  <c r="Q1957" i="2"/>
  <c r="P1957" i="2"/>
  <c r="Q1956" i="2"/>
  <c r="P1956" i="2"/>
  <c r="Q1955" i="2"/>
  <c r="P1955" i="2"/>
  <c r="Q1954" i="2"/>
  <c r="P1954" i="2"/>
  <c r="Q1953" i="2"/>
  <c r="P1953" i="2"/>
  <c r="Q1952" i="2"/>
  <c r="P1952" i="2"/>
  <c r="Q1951" i="2"/>
  <c r="P1951" i="2"/>
  <c r="Q1950" i="2"/>
  <c r="P1950" i="2"/>
  <c r="Q1949" i="2"/>
  <c r="P1949" i="2"/>
  <c r="Q1948" i="2"/>
  <c r="P1948" i="2"/>
  <c r="Q1947" i="2"/>
  <c r="P1947" i="2"/>
  <c r="Q1946" i="2"/>
  <c r="P1946" i="2"/>
  <c r="Q1945" i="2"/>
  <c r="P1945" i="2"/>
  <c r="Q1944" i="2"/>
  <c r="P1944" i="2"/>
  <c r="Q1943" i="2"/>
  <c r="P1943" i="2"/>
  <c r="Q1942" i="2"/>
  <c r="P1942" i="2"/>
  <c r="Q1941" i="2"/>
  <c r="P1941" i="2"/>
  <c r="Q1940" i="2"/>
  <c r="P1940" i="2"/>
  <c r="Q1939" i="2"/>
  <c r="P1939" i="2"/>
  <c r="Q1938" i="2"/>
  <c r="P1938" i="2"/>
  <c r="Q1937" i="2"/>
  <c r="P1937" i="2"/>
  <c r="Q1936" i="2"/>
  <c r="P1936" i="2"/>
  <c r="Q1935" i="2"/>
  <c r="P1935" i="2"/>
  <c r="Q1934" i="2"/>
  <c r="P1934" i="2"/>
  <c r="Q1933" i="2"/>
  <c r="P1933" i="2"/>
  <c r="Q1932" i="2"/>
  <c r="P1932" i="2"/>
  <c r="Q1931" i="2"/>
  <c r="P1931" i="2"/>
  <c r="Q1930" i="2"/>
  <c r="P1930" i="2"/>
  <c r="Q1929" i="2"/>
  <c r="P1929" i="2"/>
  <c r="Q1928" i="2"/>
  <c r="P1928" i="2"/>
  <c r="Q1927" i="2"/>
  <c r="P1927" i="2"/>
  <c r="Q1926" i="2"/>
  <c r="P1926" i="2"/>
  <c r="Q1925" i="2"/>
  <c r="P1925" i="2"/>
  <c r="Q1924" i="2"/>
  <c r="P1924" i="2"/>
  <c r="Q1923" i="2"/>
  <c r="P1923" i="2"/>
  <c r="Q1922" i="2"/>
  <c r="P1922" i="2"/>
  <c r="Q1921" i="2"/>
  <c r="P1921" i="2"/>
  <c r="Q1920" i="2"/>
  <c r="P1920" i="2"/>
  <c r="Q1919" i="2"/>
  <c r="P1919" i="2"/>
  <c r="Q1918" i="2"/>
  <c r="P1918" i="2"/>
  <c r="Q1917" i="2"/>
  <c r="P1917" i="2"/>
  <c r="Q1916" i="2"/>
  <c r="P1916" i="2"/>
  <c r="Q1915" i="2"/>
  <c r="P1915" i="2"/>
  <c r="Q1914" i="2"/>
  <c r="P1914" i="2"/>
  <c r="Q1913" i="2"/>
  <c r="P1913" i="2"/>
  <c r="Q1912" i="2"/>
  <c r="P1912" i="2"/>
  <c r="Q1911" i="2"/>
  <c r="P1911" i="2"/>
  <c r="Q1910" i="2"/>
  <c r="P1910" i="2"/>
  <c r="Q1909" i="2"/>
  <c r="P1909" i="2"/>
  <c r="Q1908" i="2"/>
  <c r="P1908" i="2"/>
  <c r="Q1907" i="2"/>
  <c r="P1907" i="2"/>
  <c r="Q1906" i="2"/>
  <c r="P1906" i="2"/>
  <c r="Q1905" i="2"/>
  <c r="P1905" i="2"/>
  <c r="Q1904" i="2"/>
  <c r="P1904" i="2"/>
  <c r="Q1903" i="2"/>
  <c r="P1903" i="2"/>
  <c r="Q1902" i="2"/>
  <c r="P1902" i="2"/>
  <c r="Q1901" i="2"/>
  <c r="P1901" i="2"/>
  <c r="Q1900" i="2"/>
  <c r="P1900" i="2"/>
  <c r="Q1899" i="2"/>
  <c r="P1899" i="2"/>
  <c r="Q1898" i="2"/>
  <c r="P1898" i="2"/>
  <c r="Q1897" i="2"/>
  <c r="P1897" i="2"/>
  <c r="Q1896" i="2"/>
  <c r="P1896" i="2"/>
  <c r="Q1895" i="2"/>
  <c r="P1895" i="2"/>
  <c r="Q1894" i="2"/>
  <c r="P1894" i="2"/>
  <c r="Q1893" i="2"/>
  <c r="P1893" i="2"/>
  <c r="Q1892" i="2"/>
  <c r="P1892" i="2"/>
  <c r="Q1891" i="2"/>
  <c r="P1891" i="2"/>
  <c r="Q1890" i="2"/>
  <c r="P1890" i="2"/>
  <c r="Q1889" i="2"/>
  <c r="P1889" i="2"/>
  <c r="Q1888" i="2"/>
  <c r="P1888" i="2"/>
  <c r="Q1887" i="2"/>
  <c r="P1887" i="2"/>
  <c r="Q1886" i="2"/>
  <c r="P1886" i="2"/>
  <c r="Q1885" i="2"/>
  <c r="P1885" i="2"/>
  <c r="Q1884" i="2"/>
  <c r="P1884" i="2"/>
  <c r="Q1883" i="2"/>
  <c r="P1883" i="2"/>
  <c r="Q1882" i="2"/>
  <c r="P1882" i="2"/>
  <c r="Q1881" i="2"/>
  <c r="P1881" i="2"/>
  <c r="Q1880" i="2"/>
  <c r="P1880" i="2"/>
  <c r="Q1879" i="2"/>
  <c r="P1879" i="2"/>
  <c r="Q1878" i="2"/>
  <c r="P1878" i="2"/>
  <c r="Q1877" i="2"/>
  <c r="P1877" i="2"/>
  <c r="Q1876" i="2"/>
  <c r="P1876" i="2"/>
  <c r="Q1875" i="2"/>
  <c r="P1875" i="2"/>
  <c r="Q1874" i="2"/>
  <c r="P1874" i="2"/>
  <c r="Q1873" i="2"/>
  <c r="P1873" i="2"/>
  <c r="Q1872" i="2"/>
  <c r="P1872" i="2"/>
  <c r="Q1871" i="2"/>
  <c r="P1871" i="2"/>
  <c r="Q1870" i="2"/>
  <c r="P1870" i="2"/>
  <c r="Q1869" i="2"/>
  <c r="P1869" i="2"/>
  <c r="Q1868" i="2"/>
  <c r="P1868" i="2"/>
  <c r="Q1867" i="2"/>
  <c r="P1867" i="2"/>
  <c r="Q1866" i="2"/>
  <c r="P1866" i="2"/>
  <c r="Q1865" i="2"/>
  <c r="P1865" i="2"/>
  <c r="Q1864" i="2"/>
  <c r="P1864" i="2"/>
  <c r="Q1863" i="2"/>
  <c r="P1863" i="2"/>
  <c r="Q1862" i="2"/>
  <c r="P1862" i="2"/>
  <c r="Q1861" i="2"/>
  <c r="P1861" i="2"/>
  <c r="Q1860" i="2"/>
  <c r="P1860" i="2"/>
  <c r="Q1859" i="2"/>
  <c r="P1859" i="2"/>
  <c r="Q1858" i="2"/>
  <c r="P1858" i="2"/>
  <c r="Q1857" i="2"/>
  <c r="P1857" i="2"/>
  <c r="Q1856" i="2"/>
  <c r="P1856" i="2"/>
  <c r="Q1855" i="2"/>
  <c r="P1855" i="2"/>
  <c r="Q1854" i="2"/>
  <c r="P1854" i="2"/>
  <c r="Q1853" i="2"/>
  <c r="P1853" i="2"/>
  <c r="Q1852" i="2"/>
  <c r="P1852" i="2"/>
  <c r="Q1851" i="2"/>
  <c r="P1851" i="2"/>
  <c r="Q1850" i="2"/>
  <c r="P1850" i="2"/>
  <c r="Q1849" i="2"/>
  <c r="P1849" i="2"/>
  <c r="Q1848" i="2"/>
  <c r="P1848" i="2"/>
  <c r="Q1847" i="2"/>
  <c r="P1847" i="2"/>
  <c r="Q1846" i="2"/>
  <c r="P1846" i="2"/>
  <c r="Q1845" i="2"/>
  <c r="P1845" i="2"/>
  <c r="Q1844" i="2"/>
  <c r="P1844" i="2"/>
  <c r="Q1843" i="2"/>
  <c r="P1843" i="2"/>
  <c r="Q1842" i="2"/>
  <c r="P1842" i="2"/>
  <c r="Q1841" i="2"/>
  <c r="P1841" i="2"/>
  <c r="Q1840" i="2"/>
  <c r="P1840" i="2"/>
  <c r="Q1839" i="2"/>
  <c r="P1839" i="2"/>
  <c r="Q1838" i="2"/>
  <c r="P1838" i="2"/>
  <c r="Q1837" i="2"/>
  <c r="P1837" i="2"/>
  <c r="Q1836" i="2"/>
  <c r="P1836" i="2"/>
  <c r="Q1835" i="2"/>
  <c r="P1835" i="2"/>
  <c r="Q1834" i="2"/>
  <c r="P1834" i="2"/>
  <c r="Q1831" i="2"/>
  <c r="P1831" i="2"/>
  <c r="Q1830" i="2"/>
  <c r="P1830" i="2"/>
  <c r="Q1829" i="2"/>
  <c r="P1829" i="2"/>
  <c r="Q1828" i="2"/>
  <c r="P1828" i="2"/>
  <c r="Q1827" i="2"/>
  <c r="P1827" i="2"/>
  <c r="Q1826" i="2"/>
  <c r="P1826" i="2"/>
  <c r="Q1825" i="2"/>
  <c r="P1825" i="2"/>
  <c r="Q1824" i="2"/>
  <c r="P1824" i="2"/>
  <c r="Q1823" i="2"/>
  <c r="P1823" i="2"/>
  <c r="Q1822" i="2"/>
  <c r="P1822" i="2"/>
  <c r="Q1821" i="2"/>
  <c r="P1821" i="2"/>
  <c r="Q1820" i="2"/>
  <c r="P1820" i="2"/>
  <c r="Q1819" i="2"/>
  <c r="P1819" i="2"/>
  <c r="Q1818" i="2"/>
  <c r="P1818" i="2"/>
  <c r="Q1817" i="2"/>
  <c r="P1817" i="2"/>
  <c r="Q1816" i="2"/>
  <c r="P1816" i="2"/>
  <c r="Q1815" i="2"/>
  <c r="P1815" i="2"/>
  <c r="Q1814" i="2"/>
  <c r="P1814" i="2"/>
  <c r="Q1813" i="2"/>
  <c r="P1813" i="2"/>
  <c r="Q1812" i="2"/>
  <c r="P1812" i="2"/>
  <c r="Q1811" i="2"/>
  <c r="P1811" i="2"/>
  <c r="Q1810" i="2"/>
  <c r="P1810" i="2"/>
  <c r="Q1809" i="2"/>
  <c r="P1809" i="2"/>
  <c r="Q1808" i="2"/>
  <c r="P1808" i="2"/>
  <c r="Q1807" i="2"/>
  <c r="P1807" i="2"/>
  <c r="Q1806" i="2"/>
  <c r="P1806" i="2"/>
  <c r="Q1805" i="2"/>
  <c r="P1805" i="2"/>
  <c r="Q1804" i="2"/>
  <c r="P1804" i="2"/>
  <c r="Q1803" i="2"/>
  <c r="P1803" i="2"/>
  <c r="Q1802" i="2"/>
  <c r="P1802" i="2"/>
  <c r="Q1801" i="2"/>
  <c r="P1801" i="2"/>
  <c r="Q1800" i="2"/>
  <c r="P1800" i="2"/>
  <c r="Q1799" i="2"/>
  <c r="P1799" i="2"/>
  <c r="Q1798" i="2"/>
  <c r="P1798" i="2"/>
  <c r="Q1797" i="2"/>
  <c r="P1797" i="2"/>
  <c r="Q1796" i="2"/>
  <c r="P1796" i="2"/>
  <c r="Q1795" i="2"/>
  <c r="P1795" i="2"/>
  <c r="Q1794" i="2"/>
  <c r="P1794" i="2"/>
  <c r="Q1793" i="2"/>
  <c r="P1793" i="2"/>
  <c r="Q1792" i="2"/>
  <c r="P1792" i="2"/>
  <c r="Q1791" i="2"/>
  <c r="P1791" i="2"/>
  <c r="Q1790" i="2"/>
  <c r="P1790" i="2"/>
  <c r="Q1789" i="2"/>
  <c r="P1789" i="2"/>
  <c r="Q1788" i="2"/>
  <c r="P1788" i="2"/>
  <c r="Q1787" i="2"/>
  <c r="P1787" i="2"/>
  <c r="Q1786" i="2"/>
  <c r="P1786" i="2"/>
  <c r="Q1785" i="2"/>
  <c r="P1785" i="2"/>
  <c r="Q1784" i="2"/>
  <c r="P1784" i="2"/>
  <c r="Q1783" i="2"/>
  <c r="P1783" i="2"/>
  <c r="Q1782" i="2"/>
  <c r="P1782" i="2"/>
  <c r="Q1781" i="2"/>
  <c r="P1781" i="2"/>
  <c r="Q1780" i="2"/>
  <c r="P1780" i="2"/>
  <c r="Q1779" i="2"/>
  <c r="P1779" i="2"/>
  <c r="Q1778" i="2"/>
  <c r="P1778" i="2"/>
  <c r="Q1776" i="2"/>
  <c r="P1776" i="2"/>
  <c r="Q1775" i="2"/>
  <c r="P1775" i="2"/>
  <c r="Q1774" i="2"/>
  <c r="P1774" i="2"/>
  <c r="Q1773" i="2"/>
  <c r="P1773" i="2"/>
  <c r="Q1772" i="2"/>
  <c r="P1772" i="2"/>
  <c r="Q1771" i="2"/>
  <c r="P1771" i="2"/>
  <c r="Q1770" i="2"/>
  <c r="P1770" i="2"/>
  <c r="Q1769" i="2"/>
  <c r="P1769" i="2"/>
  <c r="Q1768" i="2"/>
  <c r="P1768" i="2"/>
  <c r="Q1767" i="2"/>
  <c r="P1767" i="2"/>
  <c r="Q1766" i="2"/>
  <c r="P1766" i="2"/>
  <c r="Q1765" i="2"/>
  <c r="P1765" i="2"/>
  <c r="Q1764" i="2"/>
  <c r="P1764" i="2"/>
  <c r="Q1763" i="2"/>
  <c r="P1763" i="2"/>
  <c r="Q1762" i="2"/>
  <c r="P1762" i="2"/>
  <c r="Q1761" i="2"/>
  <c r="P1761" i="2"/>
  <c r="Q1760" i="2"/>
  <c r="P1760" i="2"/>
  <c r="Q1759" i="2"/>
  <c r="P1759" i="2"/>
  <c r="Q1758" i="2"/>
  <c r="P1758" i="2"/>
  <c r="Q1757" i="2"/>
  <c r="P1757" i="2"/>
  <c r="Q1756" i="2"/>
  <c r="P1756" i="2"/>
  <c r="Q1755" i="2"/>
  <c r="P1755" i="2"/>
  <c r="Q1754" i="2"/>
  <c r="P1754" i="2"/>
  <c r="Q1753" i="2"/>
  <c r="P1753" i="2"/>
  <c r="Q1752" i="2"/>
  <c r="P1752" i="2"/>
  <c r="Q1751" i="2"/>
  <c r="P1751" i="2"/>
  <c r="Q1750" i="2"/>
  <c r="P1750" i="2"/>
  <c r="Q1749" i="2"/>
  <c r="P1749" i="2"/>
  <c r="Q1748" i="2"/>
  <c r="P1748" i="2"/>
  <c r="Q1747" i="2"/>
  <c r="P1747" i="2"/>
  <c r="Q1746" i="2"/>
  <c r="P1746" i="2"/>
  <c r="Q1745" i="2"/>
  <c r="P1745" i="2"/>
  <c r="Q1744" i="2"/>
  <c r="P1744" i="2"/>
  <c r="Q1743" i="2"/>
  <c r="P1743" i="2"/>
  <c r="Q1742" i="2"/>
  <c r="P1742" i="2"/>
  <c r="Q1741" i="2"/>
  <c r="P1741" i="2"/>
  <c r="Q1740" i="2"/>
  <c r="P1740" i="2"/>
  <c r="Q1739" i="2"/>
  <c r="P1739" i="2"/>
  <c r="Q1738" i="2"/>
  <c r="P1738" i="2"/>
  <c r="Q1737" i="2"/>
  <c r="P1737" i="2"/>
  <c r="Q1736" i="2"/>
  <c r="P1736" i="2"/>
  <c r="Q1735" i="2"/>
  <c r="P1735" i="2"/>
  <c r="Q1734" i="2"/>
  <c r="P1734" i="2"/>
  <c r="Q1733" i="2"/>
  <c r="P1733" i="2"/>
  <c r="Q1732" i="2"/>
  <c r="P1732" i="2"/>
  <c r="Q1731" i="2"/>
  <c r="P1731" i="2"/>
  <c r="Q1728" i="2"/>
  <c r="P1728" i="2"/>
  <c r="Q1727" i="2"/>
  <c r="P1727" i="2"/>
  <c r="Q1726" i="2"/>
  <c r="P1726" i="2"/>
  <c r="Q1725" i="2"/>
  <c r="P1725" i="2"/>
  <c r="Q1724" i="2"/>
  <c r="P1724" i="2"/>
  <c r="Q1723" i="2"/>
  <c r="P1723" i="2"/>
  <c r="Q1722" i="2"/>
  <c r="P1722" i="2"/>
  <c r="Q1720" i="2"/>
  <c r="P1720" i="2"/>
  <c r="Q1719" i="2"/>
  <c r="P1719" i="2"/>
  <c r="Q1717" i="2"/>
  <c r="P1717" i="2"/>
  <c r="Q1716" i="2"/>
  <c r="P1716" i="2"/>
  <c r="Q1715" i="2"/>
  <c r="P1715" i="2"/>
  <c r="Q1714" i="2"/>
  <c r="P1714" i="2"/>
  <c r="Q1713" i="2"/>
  <c r="P1713" i="2"/>
  <c r="Q1712" i="2"/>
  <c r="P1712" i="2"/>
  <c r="Q1711" i="2"/>
  <c r="P1711" i="2"/>
  <c r="Q1710" i="2"/>
  <c r="P1710" i="2"/>
  <c r="Q1709" i="2"/>
  <c r="P1709" i="2"/>
  <c r="Q1708" i="2"/>
  <c r="P1708" i="2"/>
  <c r="Q1707" i="2"/>
  <c r="P1707" i="2"/>
  <c r="Q1706" i="2"/>
  <c r="P1706" i="2"/>
  <c r="Q1705" i="2"/>
  <c r="P1705" i="2"/>
  <c r="Q1704" i="2"/>
  <c r="P1704" i="2"/>
  <c r="Q1703" i="2"/>
  <c r="P1703" i="2"/>
  <c r="Q1702" i="2"/>
  <c r="P1702" i="2"/>
  <c r="Q1701" i="2"/>
  <c r="P1701" i="2"/>
  <c r="Q1700" i="2"/>
  <c r="P1700" i="2"/>
  <c r="Q1699" i="2"/>
  <c r="P1699" i="2"/>
  <c r="Q1698" i="2"/>
  <c r="P1698" i="2"/>
  <c r="Q1697" i="2"/>
  <c r="P1697" i="2"/>
  <c r="Q1696" i="2"/>
  <c r="P1696" i="2"/>
  <c r="Q1695" i="2"/>
  <c r="P1695" i="2"/>
  <c r="Q1693" i="2"/>
  <c r="P1693" i="2"/>
  <c r="Q1692" i="2"/>
  <c r="P1692" i="2"/>
  <c r="Q1691" i="2"/>
  <c r="P1691" i="2"/>
  <c r="Q1690" i="2"/>
  <c r="P1690" i="2"/>
  <c r="Q1689" i="2"/>
  <c r="P1689" i="2"/>
  <c r="Q1688" i="2"/>
  <c r="P1688" i="2"/>
  <c r="Q1687" i="2"/>
  <c r="P1687" i="2"/>
  <c r="Q1686" i="2"/>
  <c r="P1686" i="2"/>
  <c r="Q1685" i="2"/>
  <c r="P1685" i="2"/>
  <c r="Q1684" i="2"/>
  <c r="P1684" i="2"/>
  <c r="Q1683" i="2"/>
  <c r="P1683" i="2"/>
  <c r="Q1682" i="2"/>
  <c r="P1682" i="2"/>
  <c r="Q1681" i="2"/>
  <c r="P1681" i="2"/>
  <c r="Q1680" i="2"/>
  <c r="P1680" i="2"/>
  <c r="Q1679" i="2"/>
  <c r="P1679" i="2"/>
  <c r="Q1678" i="2"/>
  <c r="P1678" i="2"/>
  <c r="Q1677" i="2"/>
  <c r="P1677" i="2"/>
  <c r="Q1676" i="2"/>
  <c r="P1676" i="2"/>
  <c r="Q1675" i="2"/>
  <c r="P1675" i="2"/>
  <c r="Q1674" i="2"/>
  <c r="P1674" i="2"/>
  <c r="Q1672" i="2"/>
  <c r="P1672" i="2"/>
  <c r="Q1671" i="2"/>
  <c r="P1671" i="2"/>
  <c r="Q1670" i="2"/>
  <c r="P1670" i="2"/>
  <c r="Q1669" i="2"/>
  <c r="P1669" i="2"/>
  <c r="Q1668" i="2"/>
  <c r="P1668" i="2"/>
  <c r="Q1667" i="2"/>
  <c r="P1667" i="2"/>
  <c r="Q1666" i="2"/>
  <c r="P1666" i="2"/>
  <c r="Q1665" i="2"/>
  <c r="P1665" i="2"/>
  <c r="Q1664" i="2"/>
  <c r="P1664" i="2"/>
  <c r="Q1663" i="2"/>
  <c r="P1663" i="2"/>
  <c r="Q1662" i="2"/>
  <c r="P1662" i="2"/>
  <c r="Q1661" i="2"/>
  <c r="P1661" i="2"/>
  <c r="Q1660" i="2"/>
  <c r="P1660" i="2"/>
  <c r="Q1659" i="2"/>
  <c r="P1659" i="2"/>
  <c r="Q1658" i="2"/>
  <c r="P1658" i="2"/>
  <c r="Q1657" i="2"/>
  <c r="P1657" i="2"/>
  <c r="Q1656" i="2"/>
  <c r="P1656" i="2"/>
  <c r="Q1655" i="2"/>
  <c r="P1655" i="2"/>
  <c r="Q1654" i="2"/>
  <c r="P1654" i="2"/>
  <c r="Q1653" i="2"/>
  <c r="P1653" i="2"/>
  <c r="Q1651" i="2"/>
  <c r="P1651" i="2"/>
  <c r="Q1650" i="2"/>
  <c r="P1650" i="2"/>
  <c r="Q1649" i="2"/>
  <c r="P1649" i="2"/>
  <c r="Q1648" i="2"/>
  <c r="P1648" i="2"/>
  <c r="Q1647" i="2"/>
  <c r="P1647" i="2"/>
  <c r="Q1646" i="2"/>
  <c r="P1646" i="2"/>
  <c r="Q1645" i="2"/>
  <c r="P1645" i="2"/>
  <c r="Q1644" i="2"/>
  <c r="P1644" i="2"/>
  <c r="Q1643" i="2"/>
  <c r="P1643" i="2"/>
  <c r="Q1642" i="2"/>
  <c r="P1642" i="2"/>
  <c r="Q1641" i="2"/>
  <c r="P1641" i="2"/>
  <c r="Q1640" i="2"/>
  <c r="P1640" i="2"/>
  <c r="Q1639" i="2"/>
  <c r="P1639" i="2"/>
  <c r="Q1638" i="2"/>
  <c r="P1638" i="2"/>
  <c r="Q1637" i="2"/>
  <c r="P1637" i="2"/>
  <c r="Q1636" i="2"/>
  <c r="P1636" i="2"/>
  <c r="Q1635" i="2"/>
  <c r="P1635" i="2"/>
  <c r="Q1634" i="2"/>
  <c r="P1634" i="2"/>
  <c r="Q1633" i="2"/>
  <c r="P1633" i="2"/>
  <c r="Q1632" i="2"/>
  <c r="P1632" i="2"/>
  <c r="Q1631" i="2"/>
  <c r="P1631" i="2"/>
  <c r="Q1630" i="2"/>
  <c r="P1630" i="2"/>
  <c r="Q1629" i="2"/>
  <c r="P1629" i="2"/>
  <c r="Q1626" i="2"/>
  <c r="P1626" i="2"/>
  <c r="Q1625" i="2"/>
  <c r="P1625" i="2"/>
  <c r="Q1622" i="2"/>
  <c r="P1622" i="2"/>
  <c r="Q1621" i="2"/>
  <c r="P1621" i="2"/>
  <c r="Q1618" i="2"/>
  <c r="P1618" i="2"/>
  <c r="Q1617" i="2"/>
  <c r="P1617" i="2"/>
  <c r="Q1614" i="2"/>
  <c r="P1614" i="2"/>
  <c r="Q1613" i="2"/>
  <c r="P1613" i="2"/>
  <c r="P1611" i="2"/>
  <c r="Q1610" i="2"/>
  <c r="P1610" i="2"/>
  <c r="Q1609" i="2"/>
  <c r="P1609" i="2"/>
  <c r="Q1608" i="2"/>
  <c r="P1608" i="2"/>
  <c r="Q1607" i="2"/>
  <c r="P1607" i="2"/>
  <c r="Q1606" i="2"/>
  <c r="P1606" i="2"/>
  <c r="Q1605" i="2"/>
  <c r="P1605" i="2"/>
  <c r="Q1604" i="2"/>
  <c r="P1604" i="2"/>
  <c r="Q1603" i="2"/>
  <c r="P1603" i="2"/>
  <c r="Q1602" i="2"/>
  <c r="P1602" i="2"/>
  <c r="Q1601" i="2"/>
  <c r="P1601" i="2"/>
  <c r="Q1600" i="2"/>
  <c r="P1600" i="2"/>
  <c r="Q1599" i="2"/>
  <c r="P1599" i="2"/>
  <c r="Q1598" i="2"/>
  <c r="P1598" i="2"/>
  <c r="Q1597" i="2"/>
  <c r="P1597" i="2"/>
  <c r="Q1596" i="2"/>
  <c r="P1596" i="2"/>
  <c r="Q1595" i="2"/>
  <c r="P1595" i="2"/>
  <c r="Q1594" i="2"/>
  <c r="P1594" i="2"/>
  <c r="Q1593" i="2"/>
  <c r="P1593" i="2"/>
  <c r="Q1592" i="2"/>
  <c r="P1592" i="2"/>
  <c r="Q1591" i="2"/>
  <c r="P1591" i="2"/>
  <c r="Q1590" i="2"/>
  <c r="P1590" i="2"/>
  <c r="Q1589" i="2"/>
  <c r="P1589" i="2"/>
  <c r="Q1588" i="2"/>
  <c r="P1588" i="2"/>
  <c r="Q1587" i="2"/>
  <c r="P1587" i="2"/>
  <c r="Q1586" i="2"/>
  <c r="P1586" i="2"/>
  <c r="Q1585" i="2"/>
  <c r="P1585" i="2"/>
  <c r="Q1584" i="2"/>
  <c r="P1584" i="2"/>
  <c r="Q1583" i="2"/>
  <c r="P1583" i="2"/>
  <c r="Q1582" i="2"/>
  <c r="P1582" i="2"/>
  <c r="Q1581" i="2"/>
  <c r="P1581" i="2"/>
  <c r="Q1580" i="2"/>
  <c r="P1580" i="2"/>
  <c r="Q1579" i="2"/>
  <c r="P1579" i="2"/>
  <c r="Q1578" i="2"/>
  <c r="P1578" i="2"/>
  <c r="Q1577" i="2"/>
  <c r="P1577" i="2"/>
  <c r="Q1576" i="2"/>
  <c r="P1576" i="2"/>
  <c r="Q1575" i="2"/>
  <c r="P1575" i="2"/>
  <c r="Q1574" i="2"/>
  <c r="P1574" i="2"/>
  <c r="Q1573" i="2"/>
  <c r="P1573" i="2"/>
  <c r="Q1572" i="2"/>
  <c r="P1572" i="2"/>
  <c r="Q1571" i="2"/>
  <c r="P1571" i="2"/>
  <c r="Q1570" i="2"/>
  <c r="P1570" i="2"/>
  <c r="Q1569" i="2"/>
  <c r="P1569" i="2"/>
  <c r="Q1568" i="2"/>
  <c r="P1568" i="2"/>
  <c r="Q1567" i="2"/>
  <c r="P1567" i="2"/>
  <c r="Q1566" i="2"/>
  <c r="P1566" i="2"/>
  <c r="Q1565" i="2"/>
  <c r="P1565" i="2"/>
  <c r="Q1564" i="2"/>
  <c r="P1564" i="2"/>
  <c r="Q1563" i="2"/>
  <c r="P1563" i="2"/>
  <c r="Q1562" i="2"/>
  <c r="P1562" i="2"/>
  <c r="Q1561" i="2"/>
  <c r="P1561" i="2"/>
  <c r="Q1560" i="2"/>
  <c r="P1560" i="2"/>
  <c r="Q1559" i="2"/>
  <c r="P1559" i="2"/>
  <c r="Q1558" i="2"/>
  <c r="P1558" i="2"/>
  <c r="Q1557" i="2"/>
  <c r="P1557" i="2"/>
  <c r="Q1556" i="2"/>
  <c r="P1556" i="2"/>
  <c r="Q1555" i="2"/>
  <c r="P1555" i="2"/>
  <c r="Q1554" i="2"/>
  <c r="P1554" i="2"/>
  <c r="Q1553" i="2"/>
  <c r="P1553" i="2"/>
  <c r="Q1552" i="2"/>
  <c r="P1552" i="2"/>
  <c r="Q1551" i="2"/>
  <c r="P1551" i="2"/>
  <c r="Q1550" i="2"/>
  <c r="P1550" i="2"/>
  <c r="Q1549" i="2"/>
  <c r="P1549" i="2"/>
  <c r="Q1548" i="2"/>
  <c r="P1548" i="2"/>
  <c r="Q1547" i="2"/>
  <c r="P1547" i="2"/>
  <c r="Q1546" i="2"/>
  <c r="P1546" i="2"/>
  <c r="Q1545" i="2"/>
  <c r="P1545" i="2"/>
  <c r="Q1544" i="2"/>
  <c r="P1544" i="2"/>
  <c r="Q1543" i="2"/>
  <c r="P1543" i="2"/>
  <c r="Q1542" i="2"/>
  <c r="P1542" i="2"/>
  <c r="Q1541" i="2"/>
  <c r="P1541" i="2"/>
  <c r="Q1540" i="2"/>
  <c r="P1540" i="2"/>
  <c r="Q1539" i="2"/>
  <c r="P1539" i="2"/>
  <c r="Q1538" i="2"/>
  <c r="P1538" i="2"/>
  <c r="Q1537" i="2"/>
  <c r="P1537" i="2"/>
  <c r="Q1536" i="2"/>
  <c r="P1536" i="2"/>
  <c r="Q1535" i="2"/>
  <c r="P1535" i="2"/>
  <c r="Q1534" i="2"/>
  <c r="P1534" i="2"/>
  <c r="Q1533" i="2"/>
  <c r="P1533" i="2"/>
  <c r="Q1532" i="2"/>
  <c r="P1532" i="2"/>
  <c r="Q1531" i="2"/>
  <c r="P1531" i="2"/>
  <c r="Q1530" i="2"/>
  <c r="P1530" i="2"/>
  <c r="Q1529" i="2"/>
  <c r="P1529" i="2"/>
  <c r="Q1528" i="2"/>
  <c r="P1528" i="2"/>
  <c r="Q1527" i="2"/>
  <c r="P1527" i="2"/>
  <c r="Q1526" i="2"/>
  <c r="P1526" i="2"/>
  <c r="Q1525" i="2"/>
  <c r="P1525" i="2"/>
  <c r="Q1524" i="2"/>
  <c r="P1524" i="2"/>
  <c r="Q1523" i="2"/>
  <c r="P1523" i="2"/>
  <c r="Q1522" i="2"/>
  <c r="P1522" i="2"/>
  <c r="Q1521" i="2"/>
  <c r="P1521" i="2"/>
  <c r="Q1520" i="2"/>
  <c r="P1520" i="2"/>
  <c r="Q1519" i="2"/>
  <c r="P1519" i="2"/>
  <c r="Q1518" i="2"/>
  <c r="P1518" i="2"/>
  <c r="Q1517" i="2"/>
  <c r="P1517" i="2"/>
  <c r="Q1516" i="2"/>
  <c r="P1516" i="2"/>
  <c r="Q1515" i="2"/>
  <c r="P1515" i="2"/>
  <c r="Q1514" i="2"/>
  <c r="P1514" i="2"/>
  <c r="Q1513" i="2"/>
  <c r="P1513" i="2"/>
  <c r="Q1512" i="2"/>
  <c r="P1512" i="2"/>
  <c r="Q1511" i="2"/>
  <c r="P1511" i="2"/>
  <c r="Q1510" i="2"/>
  <c r="P1510" i="2"/>
  <c r="Q1509" i="2"/>
  <c r="P1509" i="2"/>
  <c r="Q1508" i="2"/>
  <c r="P1508" i="2"/>
  <c r="Q1507" i="2"/>
  <c r="P1507" i="2"/>
  <c r="Q1506" i="2"/>
  <c r="P1506" i="2"/>
  <c r="Q1505" i="2"/>
  <c r="P1505" i="2"/>
  <c r="Q1504" i="2"/>
  <c r="P1504" i="2"/>
  <c r="Q1503" i="2"/>
  <c r="P1503" i="2"/>
  <c r="Q1502" i="2"/>
  <c r="P1502" i="2"/>
  <c r="Q1501" i="2"/>
  <c r="P1501" i="2"/>
  <c r="Q1500" i="2"/>
  <c r="P1500" i="2"/>
  <c r="Q1499" i="2"/>
  <c r="P1499" i="2"/>
  <c r="Q1498" i="2"/>
  <c r="P1498" i="2"/>
  <c r="Q1497" i="2"/>
  <c r="P1497" i="2"/>
  <c r="Q1496" i="2"/>
  <c r="P1496" i="2"/>
  <c r="Q1495" i="2"/>
  <c r="P1495" i="2"/>
  <c r="Q1494" i="2"/>
  <c r="P1494" i="2"/>
  <c r="Q1493" i="2"/>
  <c r="P1493" i="2"/>
  <c r="Q1492" i="2"/>
  <c r="P1492" i="2"/>
  <c r="Q1491" i="2"/>
  <c r="P1491" i="2"/>
  <c r="Q1490" i="2"/>
  <c r="P1490" i="2"/>
  <c r="Q1489" i="2"/>
  <c r="P1489" i="2"/>
  <c r="Q1488" i="2"/>
  <c r="P1488" i="2"/>
  <c r="Q1487" i="2"/>
  <c r="P1487" i="2"/>
  <c r="Q1486" i="2"/>
  <c r="P1486" i="2"/>
  <c r="Q1483" i="2"/>
  <c r="P1483" i="2"/>
  <c r="Q1482" i="2"/>
  <c r="P1482" i="2"/>
  <c r="Q1479" i="2"/>
  <c r="P1479" i="2"/>
  <c r="Q1478" i="2"/>
  <c r="P1478" i="2"/>
  <c r="Q1477" i="2"/>
  <c r="P1477" i="2"/>
  <c r="Q1476" i="2"/>
  <c r="P1476" i="2"/>
  <c r="Q1475" i="2"/>
  <c r="P1475" i="2"/>
  <c r="Q1474" i="2"/>
  <c r="P1474" i="2"/>
  <c r="Q1473" i="2"/>
  <c r="P1473" i="2"/>
  <c r="Q1472" i="2"/>
  <c r="P1472" i="2"/>
  <c r="Q1471" i="2"/>
  <c r="P1471" i="2"/>
  <c r="Q1470" i="2"/>
  <c r="P1470" i="2"/>
  <c r="Q1469" i="2"/>
  <c r="P1469" i="2"/>
  <c r="Q1468" i="2"/>
  <c r="P1468" i="2"/>
  <c r="Q1467" i="2"/>
  <c r="P1467" i="2"/>
  <c r="Q1466" i="2"/>
  <c r="P1466" i="2"/>
  <c r="Q1465" i="2"/>
  <c r="P1465" i="2"/>
  <c r="Q1464" i="2"/>
  <c r="P1464" i="2"/>
  <c r="Q1463" i="2"/>
  <c r="P1463" i="2"/>
  <c r="Q1462" i="2"/>
  <c r="P1462" i="2"/>
  <c r="Q1461" i="2"/>
  <c r="P1461" i="2"/>
  <c r="Q1460" i="2"/>
  <c r="P1460" i="2"/>
  <c r="Q1459" i="2"/>
  <c r="P1459" i="2"/>
  <c r="Q1458" i="2"/>
  <c r="P1458" i="2"/>
  <c r="Q1457" i="2"/>
  <c r="P1457" i="2"/>
  <c r="Q1456" i="2"/>
  <c r="P1456" i="2"/>
  <c r="Q1455" i="2"/>
  <c r="P1455" i="2"/>
  <c r="Q1454" i="2"/>
  <c r="P1454" i="2"/>
  <c r="Q1453" i="2"/>
  <c r="P1453" i="2"/>
  <c r="Q1452" i="2"/>
  <c r="P1452" i="2"/>
  <c r="Q1451" i="2"/>
  <c r="P1451" i="2"/>
  <c r="Q1450" i="2"/>
  <c r="P1450" i="2"/>
  <c r="Q1449" i="2"/>
  <c r="P1449" i="2"/>
  <c r="Q1448" i="2"/>
  <c r="P1448" i="2"/>
  <c r="Q1447" i="2"/>
  <c r="P1447" i="2"/>
  <c r="Q1446" i="2"/>
  <c r="P1446" i="2"/>
  <c r="Q1445" i="2"/>
  <c r="P1445" i="2"/>
  <c r="Q1444" i="2"/>
  <c r="P1444" i="2"/>
  <c r="Q1443" i="2"/>
  <c r="P1443" i="2"/>
  <c r="Q1442" i="2"/>
  <c r="P1442" i="2"/>
  <c r="Q1441" i="2"/>
  <c r="P1441" i="2"/>
  <c r="Q1440" i="2"/>
  <c r="P1440" i="2"/>
  <c r="Q1439" i="2"/>
  <c r="P1439" i="2"/>
  <c r="Q1438" i="2"/>
  <c r="P1438" i="2"/>
  <c r="Q1437" i="2"/>
  <c r="P1437" i="2"/>
  <c r="Q1436" i="2"/>
  <c r="P1436" i="2"/>
  <c r="Q1435" i="2"/>
  <c r="P1435" i="2"/>
  <c r="Q1434" i="2"/>
  <c r="P1434" i="2"/>
  <c r="Q1433" i="2"/>
  <c r="P1433" i="2"/>
  <c r="Q1432" i="2"/>
  <c r="P1432" i="2"/>
  <c r="Q1431" i="2"/>
  <c r="P1431" i="2"/>
  <c r="Q1430" i="2"/>
  <c r="P1430" i="2"/>
  <c r="Q1429" i="2"/>
  <c r="P1429" i="2"/>
  <c r="Q1428" i="2"/>
  <c r="P1428" i="2"/>
  <c r="Q1427" i="2"/>
  <c r="P1427" i="2"/>
  <c r="Q1426" i="2"/>
  <c r="P1426" i="2"/>
  <c r="Q1425" i="2"/>
  <c r="P1425" i="2"/>
  <c r="Q1424" i="2"/>
  <c r="P1424" i="2"/>
  <c r="Q1423" i="2"/>
  <c r="P1423" i="2"/>
  <c r="Q1422" i="2"/>
  <c r="P1422" i="2"/>
  <c r="Q1421" i="2"/>
  <c r="P1421" i="2"/>
  <c r="Q1420" i="2"/>
  <c r="P1420" i="2"/>
  <c r="Q1419" i="2"/>
  <c r="P1419" i="2"/>
  <c r="Q1418" i="2"/>
  <c r="P1418" i="2"/>
  <c r="Q1417" i="2"/>
  <c r="P1417" i="2"/>
  <c r="Q1416" i="2"/>
  <c r="P1416" i="2"/>
  <c r="Q1415" i="2"/>
  <c r="P1415" i="2"/>
  <c r="Q1414" i="2"/>
  <c r="P1414" i="2"/>
  <c r="Q1413" i="2"/>
  <c r="P1413" i="2"/>
  <c r="Q1412" i="2"/>
  <c r="P1412" i="2"/>
  <c r="Q1411" i="2"/>
  <c r="P1411" i="2"/>
  <c r="Q1410" i="2"/>
  <c r="P1410" i="2"/>
  <c r="Q1409" i="2"/>
  <c r="P1409" i="2"/>
  <c r="Q1408" i="2"/>
  <c r="P1408" i="2"/>
  <c r="Q1407" i="2"/>
  <c r="P1407" i="2"/>
  <c r="Q1406" i="2"/>
  <c r="P1406" i="2"/>
  <c r="Q1405" i="2"/>
  <c r="P1405" i="2"/>
  <c r="Q1404" i="2"/>
  <c r="P1404" i="2"/>
  <c r="Q1403" i="2"/>
  <c r="P1403" i="2"/>
  <c r="Q1402" i="2"/>
  <c r="P1402" i="2"/>
  <c r="Q1401" i="2"/>
  <c r="P1401" i="2"/>
  <c r="Q1400" i="2"/>
  <c r="P1400" i="2"/>
  <c r="Q1399" i="2"/>
  <c r="P1399" i="2"/>
  <c r="Q1398" i="2"/>
  <c r="P1398" i="2"/>
  <c r="Q1397" i="2"/>
  <c r="P1397" i="2"/>
  <c r="Q1396" i="2"/>
  <c r="P1396" i="2"/>
  <c r="Q1395" i="2"/>
  <c r="P1395" i="2"/>
  <c r="Q1394" i="2"/>
  <c r="P1394" i="2"/>
  <c r="Q1393" i="2"/>
  <c r="P1393" i="2"/>
  <c r="Q1392" i="2"/>
  <c r="P1392" i="2"/>
  <c r="Q1391" i="2"/>
  <c r="P1391" i="2"/>
  <c r="Q1390" i="2"/>
  <c r="P1390" i="2"/>
  <c r="Q1389" i="2"/>
  <c r="P1389" i="2"/>
  <c r="Q1388" i="2"/>
  <c r="P1388" i="2"/>
  <c r="Q1387" i="2"/>
  <c r="P1387" i="2"/>
  <c r="Q1386" i="2"/>
  <c r="P1386" i="2"/>
  <c r="Q1385" i="2"/>
  <c r="P1385" i="2"/>
  <c r="Q1384" i="2"/>
  <c r="P1384" i="2"/>
  <c r="Q1383" i="2"/>
  <c r="P1383" i="2"/>
  <c r="Q1382" i="2"/>
  <c r="P1382" i="2"/>
  <c r="Q1381" i="2"/>
  <c r="P1381" i="2"/>
  <c r="Q1380" i="2"/>
  <c r="P1380" i="2"/>
  <c r="Q1379" i="2"/>
  <c r="P1379" i="2"/>
  <c r="Q1378" i="2"/>
  <c r="P1378" i="2"/>
  <c r="Q1377" i="2"/>
  <c r="P1377" i="2"/>
  <c r="Q1376" i="2"/>
  <c r="P1376" i="2"/>
  <c r="Q1375" i="2"/>
  <c r="P1375" i="2"/>
  <c r="Q1374" i="2"/>
  <c r="P1374" i="2"/>
  <c r="Q1373" i="2"/>
  <c r="P1373" i="2"/>
  <c r="Q1372" i="2"/>
  <c r="P1372" i="2"/>
  <c r="Q1371" i="2"/>
  <c r="P1371" i="2"/>
  <c r="Q1370" i="2"/>
  <c r="P1370" i="2"/>
  <c r="Q1369" i="2"/>
  <c r="P1369" i="2"/>
  <c r="Q1368" i="2"/>
  <c r="P1368" i="2"/>
  <c r="Q1367" i="2"/>
  <c r="P1367" i="2"/>
  <c r="Q1366" i="2"/>
  <c r="P1366" i="2"/>
  <c r="Q1365" i="2"/>
  <c r="P1365" i="2"/>
  <c r="Q1364" i="2"/>
  <c r="P1364" i="2"/>
  <c r="Q1363" i="2"/>
  <c r="P1363" i="2"/>
  <c r="Q1362" i="2"/>
  <c r="P1362" i="2"/>
  <c r="Q1361" i="2"/>
  <c r="P1361" i="2"/>
  <c r="Q1360" i="2"/>
  <c r="P1360" i="2"/>
  <c r="Q1359" i="2"/>
  <c r="P1359" i="2"/>
  <c r="Q1358" i="2"/>
  <c r="P1358" i="2"/>
  <c r="Q1357" i="2"/>
  <c r="P1357" i="2"/>
  <c r="Q1356" i="2"/>
  <c r="P1356" i="2"/>
  <c r="Q1354" i="2"/>
  <c r="P1354" i="2"/>
  <c r="Q1353" i="2"/>
  <c r="P1353" i="2"/>
  <c r="Q1352" i="2"/>
  <c r="P1352" i="2"/>
  <c r="Q1351" i="2"/>
  <c r="P1351" i="2"/>
  <c r="Q1350" i="2"/>
  <c r="P1350" i="2"/>
  <c r="Q1349" i="2"/>
  <c r="P1349" i="2"/>
  <c r="Q1348" i="2"/>
  <c r="P1348" i="2"/>
  <c r="Q1347" i="2"/>
  <c r="P1347" i="2"/>
  <c r="Q1346" i="2"/>
  <c r="P1346" i="2"/>
  <c r="Q1345" i="2"/>
  <c r="P1345" i="2"/>
  <c r="Q1344" i="2"/>
  <c r="P1344" i="2"/>
  <c r="Q1343" i="2"/>
  <c r="P1343" i="2"/>
  <c r="Q1341" i="2"/>
  <c r="P1341" i="2"/>
  <c r="Q1340" i="2"/>
  <c r="P1340" i="2"/>
  <c r="Q1339" i="2"/>
  <c r="P1339" i="2"/>
  <c r="Q1338" i="2"/>
  <c r="P1338" i="2"/>
  <c r="Q1337" i="2"/>
  <c r="P1337" i="2"/>
  <c r="Q1336" i="2"/>
  <c r="P1336" i="2"/>
  <c r="Q1335" i="2"/>
  <c r="P1335" i="2"/>
  <c r="Q1334" i="2"/>
  <c r="P1334" i="2"/>
  <c r="Q1333" i="2"/>
  <c r="P1333" i="2"/>
  <c r="Q1332" i="2"/>
  <c r="P1332" i="2"/>
  <c r="Q1331" i="2"/>
  <c r="P1331" i="2"/>
  <c r="Q1330" i="2"/>
  <c r="P1330" i="2"/>
  <c r="Q1329" i="2"/>
  <c r="P1329" i="2"/>
  <c r="Q1328" i="2"/>
  <c r="P1328" i="2"/>
  <c r="Q1327" i="2"/>
  <c r="P1327" i="2"/>
  <c r="Q1326" i="2"/>
  <c r="P1326" i="2"/>
  <c r="Q1325" i="2"/>
  <c r="P1325" i="2"/>
  <c r="Q1324" i="2"/>
  <c r="P1324" i="2"/>
  <c r="Q1323" i="2"/>
  <c r="P1323" i="2"/>
  <c r="Q1322" i="2"/>
  <c r="P1322" i="2"/>
  <c r="Q1321" i="2"/>
  <c r="P1321" i="2"/>
  <c r="Q1320" i="2"/>
  <c r="P1320" i="2"/>
  <c r="Q1319" i="2"/>
  <c r="P1319" i="2"/>
  <c r="Q1318" i="2"/>
  <c r="P1318" i="2"/>
  <c r="Q1317" i="2"/>
  <c r="P1317" i="2"/>
  <c r="Q1316" i="2"/>
  <c r="P1316" i="2"/>
  <c r="Q1315" i="2"/>
  <c r="P1315" i="2"/>
  <c r="Q1314" i="2"/>
  <c r="P1314" i="2"/>
  <c r="Q1313" i="2"/>
  <c r="P1313" i="2"/>
  <c r="Q1312" i="2"/>
  <c r="P1312" i="2"/>
  <c r="Q1311" i="2"/>
  <c r="P1311" i="2"/>
  <c r="Q1310" i="2"/>
  <c r="P1310" i="2"/>
  <c r="Q1309" i="2"/>
  <c r="P1309" i="2"/>
  <c r="Q1308" i="2"/>
  <c r="P1308" i="2"/>
  <c r="Q1307" i="2"/>
  <c r="P1307" i="2"/>
  <c r="Q1306" i="2"/>
  <c r="P1306" i="2"/>
  <c r="Q1305" i="2"/>
  <c r="P1305" i="2"/>
  <c r="Q1304" i="2"/>
  <c r="P1304" i="2"/>
  <c r="Q1303" i="2"/>
  <c r="P1303" i="2"/>
  <c r="Q1302" i="2"/>
  <c r="P1302" i="2"/>
  <c r="Q1301" i="2"/>
  <c r="P1301" i="2"/>
  <c r="Q1300" i="2"/>
  <c r="P1300" i="2"/>
  <c r="Q1299" i="2"/>
  <c r="P1299" i="2"/>
  <c r="Q1298" i="2"/>
  <c r="P1298" i="2"/>
  <c r="Q1297" i="2"/>
  <c r="P1297" i="2"/>
  <c r="Q1296" i="2"/>
  <c r="P1296" i="2"/>
  <c r="Q1295" i="2"/>
  <c r="P1295" i="2"/>
  <c r="Q1294" i="2"/>
  <c r="P1294" i="2"/>
  <c r="Q1293" i="2"/>
  <c r="P1293" i="2"/>
  <c r="Q1292" i="2"/>
  <c r="P1292" i="2"/>
  <c r="Q1291" i="2"/>
  <c r="P1291" i="2"/>
  <c r="Q1290" i="2"/>
  <c r="P1290" i="2"/>
  <c r="Q1289" i="2"/>
  <c r="P1289" i="2"/>
  <c r="Q1288" i="2"/>
  <c r="P1288" i="2"/>
  <c r="Q1287" i="2"/>
  <c r="P1287" i="2"/>
  <c r="Q1286" i="2"/>
  <c r="P1286" i="2"/>
  <c r="Q1285" i="2"/>
  <c r="P1285" i="2"/>
  <c r="Q1284" i="2"/>
  <c r="P1284" i="2"/>
  <c r="Q1283" i="2"/>
  <c r="P1283" i="2"/>
  <c r="Q1282" i="2"/>
  <c r="P1282" i="2"/>
  <c r="Q1281" i="2"/>
  <c r="P1281" i="2"/>
  <c r="Q1280" i="2"/>
  <c r="P1280" i="2"/>
  <c r="Q1279" i="2"/>
  <c r="P1279" i="2"/>
  <c r="Q1278" i="2"/>
  <c r="P1278" i="2"/>
  <c r="Q1277" i="2"/>
  <c r="P1277" i="2"/>
  <c r="Q1276" i="2"/>
  <c r="P1276" i="2"/>
  <c r="Q1275" i="2"/>
  <c r="P1275" i="2"/>
  <c r="Q1274" i="2"/>
  <c r="P1274" i="2"/>
  <c r="Q1273" i="2"/>
  <c r="P1273" i="2"/>
  <c r="Q1272" i="2"/>
  <c r="P1272" i="2"/>
  <c r="Q1271" i="2"/>
  <c r="P1271" i="2"/>
  <c r="Q1270" i="2"/>
  <c r="P1270" i="2"/>
  <c r="Q1269" i="2"/>
  <c r="P1269" i="2"/>
  <c r="Q1268" i="2"/>
  <c r="P1268" i="2"/>
  <c r="Q1267" i="2"/>
  <c r="P1267" i="2"/>
  <c r="Q1266" i="2"/>
  <c r="P1266" i="2"/>
  <c r="Q1265" i="2"/>
  <c r="P1265" i="2"/>
  <c r="Q1264" i="2"/>
  <c r="P1264" i="2"/>
  <c r="Q1263" i="2"/>
  <c r="P1263" i="2"/>
  <c r="Q1262" i="2"/>
  <c r="P1262" i="2"/>
  <c r="Q1261" i="2"/>
  <c r="P1261" i="2"/>
  <c r="Q1260" i="2"/>
  <c r="P1260" i="2"/>
  <c r="Q1259" i="2"/>
  <c r="P1259" i="2"/>
  <c r="Q1258" i="2"/>
  <c r="P1258" i="2"/>
  <c r="Q1257" i="2"/>
  <c r="P1257" i="2"/>
  <c r="Q1256" i="2"/>
  <c r="P1256" i="2"/>
  <c r="Q1255" i="2"/>
  <c r="P1255" i="2"/>
  <c r="Q1254" i="2"/>
  <c r="P1254" i="2"/>
  <c r="Q1253" i="2"/>
  <c r="P1253" i="2"/>
  <c r="Q1252" i="2"/>
  <c r="P1252" i="2"/>
  <c r="Q1251" i="2"/>
  <c r="P1251" i="2"/>
  <c r="Q1250" i="2"/>
  <c r="P1250" i="2"/>
  <c r="Q1249" i="2"/>
  <c r="P1249" i="2"/>
  <c r="Q1248" i="2"/>
  <c r="P1248" i="2"/>
  <c r="Q1247" i="2"/>
  <c r="P1247" i="2"/>
  <c r="Q1246" i="2"/>
  <c r="P1246" i="2"/>
  <c r="Q1245" i="2"/>
  <c r="P1245" i="2"/>
  <c r="Q1244" i="2"/>
  <c r="P1244" i="2"/>
  <c r="Q1243" i="2"/>
  <c r="P1243" i="2"/>
  <c r="Q1242" i="2"/>
  <c r="P1242" i="2"/>
  <c r="Q1241" i="2"/>
  <c r="P1241" i="2"/>
  <c r="Q1240" i="2"/>
  <c r="P1240" i="2"/>
  <c r="Q1239" i="2"/>
  <c r="P1239" i="2"/>
  <c r="Q1238" i="2"/>
  <c r="P1238" i="2"/>
  <c r="Q1237" i="2"/>
  <c r="P1237" i="2"/>
  <c r="Q1236" i="2"/>
  <c r="P1236" i="2"/>
  <c r="Q1235" i="2"/>
  <c r="P1235" i="2"/>
  <c r="Q1234" i="2"/>
  <c r="P1234" i="2"/>
  <c r="Q1233" i="2"/>
  <c r="P1233" i="2"/>
  <c r="Q1232" i="2"/>
  <c r="P1232" i="2"/>
  <c r="Q1231" i="2"/>
  <c r="P1231" i="2"/>
  <c r="Q1230" i="2"/>
  <c r="P1230" i="2"/>
  <c r="Q1229" i="2"/>
  <c r="P1229" i="2"/>
  <c r="Q1228" i="2"/>
  <c r="P1228" i="2"/>
  <c r="Q1227" i="2"/>
  <c r="P1227" i="2"/>
  <c r="Q1226" i="2"/>
  <c r="P1226" i="2"/>
  <c r="Q1225" i="2"/>
  <c r="P1225" i="2"/>
  <c r="Q1224" i="2"/>
  <c r="P1224" i="2"/>
  <c r="Q1223" i="2"/>
  <c r="P1223" i="2"/>
  <c r="Q1222" i="2"/>
  <c r="P1222" i="2"/>
  <c r="Q1221" i="2"/>
  <c r="P1221" i="2"/>
  <c r="Q1220" i="2"/>
  <c r="P1220" i="2"/>
  <c r="Q1219" i="2"/>
  <c r="P1219" i="2"/>
  <c r="Q1218" i="2"/>
  <c r="P1218" i="2"/>
  <c r="Q1217" i="2"/>
  <c r="P1217" i="2"/>
  <c r="Q1216" i="2"/>
  <c r="P1216" i="2"/>
  <c r="Q1215" i="2"/>
  <c r="P1215" i="2"/>
  <c r="Q1214" i="2"/>
  <c r="P1214" i="2"/>
  <c r="Q1213" i="2"/>
  <c r="P1213" i="2"/>
  <c r="Q1212" i="2"/>
  <c r="P1212" i="2"/>
  <c r="Q1211" i="2"/>
  <c r="P1211" i="2"/>
  <c r="Q1210" i="2"/>
  <c r="P1210" i="2"/>
  <c r="Q1209" i="2"/>
  <c r="P1209" i="2"/>
  <c r="Q1208" i="2"/>
  <c r="P1208" i="2"/>
  <c r="Q1207" i="2"/>
  <c r="P1207" i="2"/>
  <c r="Q1206" i="2"/>
  <c r="P1206" i="2"/>
  <c r="Q1205" i="2"/>
  <c r="P1205" i="2"/>
  <c r="Q1204" i="2"/>
  <c r="P1204" i="2"/>
  <c r="Q1202" i="2"/>
  <c r="P1202" i="2"/>
  <c r="Q1201" i="2"/>
  <c r="P1201" i="2"/>
  <c r="Q1200" i="2"/>
  <c r="P1200" i="2"/>
  <c r="Q1199" i="2"/>
  <c r="P1199" i="2"/>
  <c r="Q1198" i="2"/>
  <c r="P1198" i="2"/>
  <c r="Q1195" i="2"/>
  <c r="P1195" i="2"/>
  <c r="Q1194" i="2"/>
  <c r="P1194" i="2"/>
  <c r="Q1193" i="2"/>
  <c r="P1193" i="2"/>
  <c r="Q1192" i="2"/>
  <c r="P1192" i="2"/>
  <c r="Q1190" i="2"/>
  <c r="P1190" i="2"/>
  <c r="Q1189" i="2"/>
  <c r="P1189" i="2"/>
  <c r="Q1188" i="2"/>
  <c r="P1188" i="2"/>
  <c r="Q1187" i="2"/>
  <c r="P1187" i="2"/>
  <c r="Q1186" i="2"/>
  <c r="P1186" i="2"/>
  <c r="Q1185" i="2"/>
  <c r="P1185" i="2"/>
  <c r="Q1184" i="2"/>
  <c r="P1184" i="2"/>
  <c r="Q1183" i="2"/>
  <c r="P1183" i="2"/>
  <c r="Q1182" i="2"/>
  <c r="P1182" i="2"/>
  <c r="Q1181" i="2"/>
  <c r="P1181" i="2"/>
  <c r="Q1180" i="2"/>
  <c r="P1180" i="2"/>
  <c r="Q1179" i="2"/>
  <c r="P1179" i="2"/>
  <c r="Q1178" i="2"/>
  <c r="P1178" i="2"/>
  <c r="Q1177" i="2"/>
  <c r="P1177" i="2"/>
  <c r="Q1176" i="2"/>
  <c r="P1176" i="2"/>
  <c r="Q1175" i="2"/>
  <c r="P1175" i="2"/>
  <c r="Q1174" i="2"/>
  <c r="P1174" i="2"/>
  <c r="Q1173" i="2"/>
  <c r="P1173" i="2"/>
  <c r="Q1172" i="2"/>
  <c r="P1172" i="2"/>
  <c r="Q1171" i="2"/>
  <c r="P1171" i="2"/>
  <c r="Q1170" i="2"/>
  <c r="P1170" i="2"/>
  <c r="Q1169" i="2"/>
  <c r="P1169" i="2"/>
  <c r="Q1168" i="2"/>
  <c r="P1168" i="2"/>
  <c r="Q1167" i="2"/>
  <c r="P1167" i="2"/>
  <c r="Q1166" i="2"/>
  <c r="P1166" i="2"/>
  <c r="Q1165" i="2"/>
  <c r="P1165" i="2"/>
  <c r="Q1164" i="2"/>
  <c r="P1164" i="2"/>
  <c r="Q1163" i="2"/>
  <c r="P1163" i="2"/>
  <c r="Q1162" i="2"/>
  <c r="P1162" i="2"/>
  <c r="Q1161" i="2"/>
  <c r="P1161" i="2"/>
  <c r="Q1160" i="2"/>
  <c r="P1160" i="2"/>
  <c r="Q1159" i="2"/>
  <c r="P1159" i="2"/>
  <c r="Q1158" i="2"/>
  <c r="P1158" i="2"/>
  <c r="Q1157" i="2"/>
  <c r="P1157" i="2"/>
  <c r="Q1156" i="2"/>
  <c r="P1156" i="2"/>
  <c r="Q1155" i="2"/>
  <c r="P1155" i="2"/>
  <c r="Q1154" i="2"/>
  <c r="P1154" i="2"/>
  <c r="Q1153" i="2"/>
  <c r="P1153" i="2"/>
  <c r="Q1152" i="2"/>
  <c r="P1152" i="2"/>
  <c r="Q1151" i="2"/>
  <c r="P1151" i="2"/>
  <c r="Q1150" i="2"/>
  <c r="P1150" i="2"/>
  <c r="Q1149" i="2"/>
  <c r="P1149" i="2"/>
  <c r="Q1146" i="2"/>
  <c r="P1146" i="2"/>
  <c r="Q1145" i="2"/>
  <c r="P1145" i="2"/>
  <c r="Q1142" i="2"/>
  <c r="P1142" i="2"/>
  <c r="Q1141" i="2"/>
  <c r="P1141" i="2"/>
  <c r="Q1138" i="2"/>
  <c r="P1138" i="2"/>
  <c r="Q1137" i="2"/>
  <c r="P1137" i="2"/>
  <c r="Q1134" i="2"/>
  <c r="P1134" i="2"/>
  <c r="Q1133" i="2"/>
  <c r="P1133" i="2"/>
  <c r="Q1130" i="2"/>
  <c r="P1130" i="2"/>
  <c r="Q1129" i="2"/>
  <c r="P1129" i="2"/>
  <c r="Q1128" i="2"/>
  <c r="P1128" i="2"/>
  <c r="Q1127" i="2"/>
  <c r="P1127" i="2"/>
  <c r="Q1126" i="2"/>
  <c r="P1126" i="2"/>
  <c r="Q1125" i="2"/>
  <c r="P1125" i="2"/>
  <c r="Q1124" i="2"/>
  <c r="P1124" i="2"/>
  <c r="Q1123" i="2"/>
  <c r="P1123" i="2"/>
  <c r="Q1122" i="2"/>
  <c r="P1122" i="2"/>
  <c r="Q1121" i="2"/>
  <c r="P1121" i="2"/>
  <c r="Q1120" i="2"/>
  <c r="P1120" i="2"/>
  <c r="Q1119" i="2"/>
  <c r="P1119" i="2"/>
  <c r="Q1118" i="2"/>
  <c r="P1118" i="2"/>
  <c r="Q1117" i="2"/>
  <c r="P1117" i="2"/>
  <c r="Q1116" i="2"/>
  <c r="P1116" i="2"/>
  <c r="Q1115" i="2"/>
  <c r="P1115" i="2"/>
  <c r="Q1114" i="2"/>
  <c r="P1114" i="2"/>
  <c r="Q1113" i="2"/>
  <c r="P1113" i="2"/>
  <c r="Q1112" i="2"/>
  <c r="P1112" i="2"/>
  <c r="Q1111" i="2"/>
  <c r="P1111" i="2"/>
  <c r="Q1110" i="2"/>
  <c r="P1110" i="2"/>
  <c r="Q1109" i="2"/>
  <c r="P1109" i="2"/>
  <c r="Q1108" i="2"/>
  <c r="P1108" i="2"/>
  <c r="Q1107" i="2"/>
  <c r="P1107" i="2"/>
  <c r="Q1106" i="2"/>
  <c r="P1106" i="2"/>
  <c r="Q1105" i="2"/>
  <c r="P1105" i="2"/>
  <c r="Q1104" i="2"/>
  <c r="P1104" i="2"/>
  <c r="Q1103" i="2"/>
  <c r="P1103" i="2"/>
  <c r="Q1102" i="2"/>
  <c r="P1102" i="2"/>
  <c r="Q1101" i="2"/>
  <c r="P1101" i="2"/>
  <c r="Q1100" i="2"/>
  <c r="P1100" i="2"/>
  <c r="Q1099" i="2"/>
  <c r="P1099" i="2"/>
  <c r="Q1098" i="2"/>
  <c r="P1098" i="2"/>
  <c r="Q1097" i="2"/>
  <c r="P1097" i="2"/>
  <c r="Q1096" i="2"/>
  <c r="P1096" i="2"/>
  <c r="Q1095" i="2"/>
  <c r="P1095" i="2"/>
  <c r="Q1094" i="2"/>
  <c r="P1094" i="2"/>
  <c r="Q1093" i="2"/>
  <c r="P1093" i="2"/>
  <c r="Q1092" i="2"/>
  <c r="P1092" i="2"/>
  <c r="Q1091" i="2"/>
  <c r="P1091" i="2"/>
  <c r="Q1090" i="2"/>
  <c r="P1090" i="2"/>
  <c r="Q1089" i="2"/>
  <c r="P1089" i="2"/>
  <c r="Q1088" i="2"/>
  <c r="P1088" i="2"/>
  <c r="Q1087" i="2"/>
  <c r="P1087" i="2"/>
  <c r="Q1086" i="2"/>
  <c r="P1086" i="2"/>
  <c r="Q1085" i="2"/>
  <c r="P1085" i="2"/>
  <c r="Q1084" i="2"/>
  <c r="P1084" i="2"/>
  <c r="Q1083" i="2"/>
  <c r="P1083" i="2"/>
  <c r="Q1082" i="2"/>
  <c r="P1082" i="2"/>
  <c r="Q1081" i="2"/>
  <c r="P1081" i="2"/>
  <c r="Q1080" i="2"/>
  <c r="P1080" i="2"/>
  <c r="Q1079" i="2"/>
  <c r="P1079" i="2"/>
  <c r="Q1078" i="2"/>
  <c r="P1078" i="2"/>
  <c r="Q1077" i="2"/>
  <c r="P1077" i="2"/>
  <c r="Q1076" i="2"/>
  <c r="P1076" i="2"/>
  <c r="Q1075" i="2"/>
  <c r="P1075" i="2"/>
  <c r="Q1074" i="2"/>
  <c r="P1074" i="2"/>
  <c r="Q1073" i="2"/>
  <c r="P1073" i="2"/>
  <c r="Q1072" i="2"/>
  <c r="P1072" i="2"/>
  <c r="Q1071" i="2"/>
  <c r="P1071" i="2"/>
  <c r="Q1070" i="2"/>
  <c r="P1070" i="2"/>
  <c r="Q1069" i="2"/>
  <c r="P1069" i="2"/>
  <c r="Q1068" i="2"/>
  <c r="P1068" i="2"/>
  <c r="Q1067" i="2"/>
  <c r="P1067" i="2"/>
  <c r="Q1066" i="2"/>
  <c r="P1066" i="2"/>
  <c r="Q1065" i="2"/>
  <c r="P1065" i="2"/>
  <c r="Q1064" i="2"/>
  <c r="P1064" i="2"/>
  <c r="Q1063" i="2"/>
  <c r="P1063" i="2"/>
  <c r="Q1062" i="2"/>
  <c r="P1062" i="2"/>
  <c r="Q1061" i="2"/>
  <c r="P1061" i="2"/>
  <c r="Q1060" i="2"/>
  <c r="P1060" i="2"/>
  <c r="Q1059" i="2"/>
  <c r="P1059" i="2"/>
  <c r="Q1058" i="2"/>
  <c r="P1058" i="2"/>
  <c r="Q1057" i="2"/>
  <c r="P1057" i="2"/>
  <c r="Q1056" i="2"/>
  <c r="P1056" i="2"/>
  <c r="Q1055" i="2"/>
  <c r="P1055" i="2"/>
  <c r="Q1054" i="2"/>
  <c r="P1054" i="2"/>
  <c r="Q1053" i="2"/>
  <c r="P1053" i="2"/>
  <c r="Q1052" i="2"/>
  <c r="P1052" i="2"/>
  <c r="Q1051" i="2"/>
  <c r="P1051" i="2"/>
  <c r="Q1050" i="2"/>
  <c r="P1050" i="2"/>
  <c r="Q1049" i="2"/>
  <c r="P1049" i="2"/>
  <c r="Q1048" i="2"/>
  <c r="P1048" i="2"/>
  <c r="Q1047" i="2"/>
  <c r="P1047" i="2"/>
  <c r="Q1046" i="2"/>
  <c r="P1046" i="2"/>
  <c r="Q1045" i="2"/>
  <c r="P1045" i="2"/>
  <c r="Q1044" i="2"/>
  <c r="P1044" i="2"/>
  <c r="Q1043" i="2"/>
  <c r="P1043" i="2"/>
  <c r="Q1042" i="2"/>
  <c r="P1042" i="2"/>
  <c r="Q1041" i="2"/>
  <c r="P1041" i="2"/>
  <c r="Q1040" i="2"/>
  <c r="P1040" i="2"/>
  <c r="Q1039" i="2"/>
  <c r="P1039" i="2"/>
  <c r="Q1038" i="2"/>
  <c r="P1038" i="2"/>
  <c r="Q1037" i="2"/>
  <c r="P1037" i="2"/>
  <c r="Q1036" i="2"/>
  <c r="P1036" i="2"/>
  <c r="Q1035" i="2"/>
  <c r="P1035" i="2"/>
  <c r="Q1034" i="2"/>
  <c r="P1034" i="2"/>
  <c r="Q1033" i="2"/>
  <c r="P1033" i="2"/>
  <c r="Q1032" i="2"/>
  <c r="P1032" i="2"/>
  <c r="Q1031" i="2"/>
  <c r="P1031" i="2"/>
  <c r="Q1030" i="2"/>
  <c r="P1030" i="2"/>
  <c r="Q1029" i="2"/>
  <c r="P1029" i="2"/>
  <c r="Q1028" i="2"/>
  <c r="P1028" i="2"/>
  <c r="Q1027" i="2"/>
  <c r="P1027" i="2"/>
  <c r="Q1026" i="2"/>
  <c r="P1026" i="2"/>
  <c r="Q1025" i="2"/>
  <c r="P1025" i="2"/>
  <c r="Q1024" i="2"/>
  <c r="P1024" i="2"/>
  <c r="Q1023" i="2"/>
  <c r="P1023" i="2"/>
  <c r="Q1022" i="2"/>
  <c r="P1022" i="2"/>
  <c r="Q1021" i="2"/>
  <c r="P1021" i="2"/>
  <c r="Q1020" i="2"/>
  <c r="P1020" i="2"/>
  <c r="Q1019" i="2"/>
  <c r="P1019" i="2"/>
  <c r="Q1018" i="2"/>
  <c r="P1018" i="2"/>
  <c r="Q1017" i="2"/>
  <c r="P1017" i="2"/>
  <c r="Q1016" i="2"/>
  <c r="P1016" i="2"/>
  <c r="Q1015" i="2"/>
  <c r="P1015" i="2"/>
  <c r="Q1014" i="2"/>
  <c r="P1014" i="2"/>
  <c r="Q1013" i="2"/>
  <c r="P1013" i="2"/>
  <c r="Q1012" i="2"/>
  <c r="P1012" i="2"/>
  <c r="Q1011" i="2"/>
  <c r="P1011" i="2"/>
  <c r="Q1010" i="2"/>
  <c r="P1010" i="2"/>
  <c r="Q1009" i="2"/>
  <c r="P1009" i="2"/>
  <c r="Q1008" i="2"/>
  <c r="P1008" i="2"/>
  <c r="Q1007" i="2"/>
  <c r="P1007" i="2"/>
  <c r="Q1006" i="2"/>
  <c r="P1006" i="2"/>
  <c r="Q1005" i="2"/>
  <c r="P1005" i="2"/>
  <c r="Q1004" i="2"/>
  <c r="P1004" i="2"/>
  <c r="Q1003" i="2"/>
  <c r="P1003" i="2"/>
  <c r="Q1002" i="2"/>
  <c r="P1002" i="2"/>
  <c r="Q1001" i="2"/>
  <c r="P1001" i="2"/>
  <c r="Q1000" i="2"/>
  <c r="P1000" i="2"/>
  <c r="Q999" i="2"/>
  <c r="P999" i="2"/>
  <c r="Q998" i="2"/>
  <c r="P998" i="2"/>
  <c r="Q997" i="2"/>
  <c r="P997" i="2"/>
  <c r="Q996" i="2"/>
  <c r="P996" i="2"/>
  <c r="Q995" i="2"/>
  <c r="P995" i="2"/>
  <c r="Q994" i="2"/>
  <c r="P994" i="2"/>
  <c r="Q993" i="2"/>
  <c r="P993" i="2"/>
  <c r="Q992" i="2"/>
  <c r="P992" i="2"/>
  <c r="Q991" i="2"/>
  <c r="P991" i="2"/>
  <c r="Q990" i="2"/>
  <c r="P990" i="2"/>
  <c r="Q989" i="2"/>
  <c r="P989" i="2"/>
  <c r="Q988" i="2"/>
  <c r="P988" i="2"/>
  <c r="Q987" i="2"/>
  <c r="P987" i="2"/>
  <c r="Q986" i="2"/>
  <c r="P986" i="2"/>
  <c r="Q985" i="2"/>
  <c r="P985" i="2"/>
  <c r="Q984" i="2"/>
  <c r="P984" i="2"/>
  <c r="Q983" i="2"/>
  <c r="P983" i="2"/>
  <c r="Q982" i="2"/>
  <c r="P982" i="2"/>
  <c r="Q981" i="2"/>
  <c r="P981" i="2"/>
  <c r="Q980" i="2"/>
  <c r="P980" i="2"/>
  <c r="Q979" i="2"/>
  <c r="P979" i="2"/>
  <c r="Q978" i="2"/>
  <c r="P978" i="2"/>
  <c r="Q977" i="2"/>
  <c r="P977" i="2"/>
  <c r="Q976" i="2"/>
  <c r="P976" i="2"/>
  <c r="Q975" i="2"/>
  <c r="P975" i="2"/>
  <c r="Q974" i="2"/>
  <c r="P974" i="2"/>
  <c r="Q973" i="2"/>
  <c r="P973" i="2"/>
  <c r="Q972" i="2"/>
  <c r="P972" i="2"/>
  <c r="Q971" i="2"/>
  <c r="P971" i="2"/>
  <c r="Q970" i="2"/>
  <c r="P970" i="2"/>
  <c r="Q969" i="2"/>
  <c r="P969" i="2"/>
  <c r="Q968" i="2"/>
  <c r="P968" i="2"/>
  <c r="Q965" i="2"/>
  <c r="P965" i="2"/>
  <c r="Q964" i="2"/>
  <c r="P964" i="2"/>
  <c r="Q963" i="2"/>
  <c r="P963" i="2"/>
  <c r="Q962" i="2"/>
  <c r="P962" i="2"/>
  <c r="Q961" i="2"/>
  <c r="P961" i="2"/>
  <c r="Q958" i="2"/>
  <c r="P958" i="2"/>
  <c r="Q957" i="2"/>
  <c r="P957" i="2"/>
  <c r="Q956" i="2"/>
  <c r="P956" i="2"/>
  <c r="Q955" i="2"/>
  <c r="P955" i="2"/>
  <c r="Q954" i="2"/>
  <c r="P954" i="2"/>
  <c r="Q953" i="2"/>
  <c r="P953" i="2"/>
  <c r="Q952" i="2"/>
  <c r="P952" i="2"/>
  <c r="Q951" i="2"/>
  <c r="P951" i="2"/>
  <c r="Q950" i="2"/>
  <c r="P950" i="2"/>
  <c r="Q949" i="2"/>
  <c r="P949" i="2"/>
  <c r="Q948" i="2"/>
  <c r="P948" i="2"/>
  <c r="Q947" i="2"/>
  <c r="P947" i="2"/>
  <c r="Q946" i="2"/>
  <c r="P946" i="2"/>
  <c r="Q945" i="2"/>
  <c r="P945" i="2"/>
  <c r="Q944" i="2"/>
  <c r="P944" i="2"/>
  <c r="Q943" i="2"/>
  <c r="P943" i="2"/>
  <c r="Q942" i="2"/>
  <c r="P942" i="2"/>
  <c r="Q941" i="2"/>
  <c r="P941" i="2"/>
  <c r="Q940" i="2"/>
  <c r="P940" i="2"/>
  <c r="Q939" i="2"/>
  <c r="P939" i="2"/>
  <c r="Q938" i="2"/>
  <c r="P938" i="2"/>
  <c r="Q937" i="2"/>
  <c r="P937" i="2"/>
  <c r="Q936" i="2"/>
  <c r="P936" i="2"/>
  <c r="Q935" i="2"/>
  <c r="P935" i="2"/>
  <c r="Q934" i="2"/>
  <c r="P934" i="2"/>
  <c r="Q933" i="2"/>
  <c r="P933" i="2"/>
  <c r="Q932" i="2"/>
  <c r="P932" i="2"/>
  <c r="Q931" i="2"/>
  <c r="P931" i="2"/>
  <c r="Q930" i="2"/>
  <c r="P930" i="2"/>
  <c r="Q929" i="2"/>
  <c r="P929" i="2"/>
  <c r="Q928" i="2"/>
  <c r="P928" i="2"/>
  <c r="Q926" i="2"/>
  <c r="P926" i="2"/>
  <c r="Q925" i="2"/>
  <c r="P925" i="2"/>
  <c r="Q924" i="2"/>
  <c r="P924" i="2"/>
  <c r="Q923" i="2"/>
  <c r="P923" i="2"/>
  <c r="Q922" i="2"/>
  <c r="P922" i="2"/>
  <c r="Q921" i="2"/>
  <c r="P921" i="2"/>
  <c r="Q920" i="2"/>
  <c r="P920" i="2"/>
  <c r="Q919" i="2"/>
  <c r="P919" i="2"/>
  <c r="Q918" i="2"/>
  <c r="P918" i="2"/>
  <c r="Q917" i="2"/>
  <c r="P917" i="2"/>
  <c r="Q916" i="2"/>
  <c r="P916" i="2"/>
  <c r="Q915" i="2"/>
  <c r="P915" i="2"/>
  <c r="Q914" i="2"/>
  <c r="P914" i="2"/>
  <c r="Q913" i="2"/>
  <c r="P913" i="2"/>
  <c r="Q912" i="2"/>
  <c r="P912" i="2"/>
  <c r="Q911" i="2"/>
  <c r="P911" i="2"/>
  <c r="Q910" i="2"/>
  <c r="P910" i="2"/>
  <c r="Q909" i="2"/>
  <c r="P909" i="2"/>
  <c r="Q908" i="2"/>
  <c r="P908" i="2"/>
  <c r="Q907" i="2"/>
  <c r="P907" i="2"/>
  <c r="Q906" i="2"/>
  <c r="P906" i="2"/>
  <c r="Q905" i="2"/>
  <c r="P905" i="2"/>
  <c r="Q904" i="2"/>
  <c r="P904" i="2"/>
  <c r="Q903" i="2"/>
  <c r="P903" i="2"/>
  <c r="Q902" i="2"/>
  <c r="P902" i="2"/>
  <c r="Q901" i="2"/>
  <c r="P901" i="2"/>
  <c r="Q900" i="2"/>
  <c r="P900" i="2"/>
  <c r="Q899" i="2"/>
  <c r="P899" i="2"/>
  <c r="Q898" i="2"/>
  <c r="P898" i="2"/>
  <c r="Q897" i="2"/>
  <c r="P897" i="2"/>
  <c r="Q896" i="2"/>
  <c r="P896" i="2"/>
  <c r="Q895" i="2"/>
  <c r="P895" i="2"/>
  <c r="Q894" i="2"/>
  <c r="P894" i="2"/>
  <c r="Q893" i="2"/>
  <c r="P893" i="2"/>
  <c r="Q892" i="2"/>
  <c r="P892" i="2"/>
  <c r="Q891" i="2"/>
  <c r="P891" i="2"/>
  <c r="Q890" i="2"/>
  <c r="P890" i="2"/>
  <c r="Q889" i="2"/>
  <c r="P889" i="2"/>
  <c r="Q888" i="2"/>
  <c r="P888" i="2"/>
  <c r="Q887" i="2"/>
  <c r="P887" i="2"/>
  <c r="Q886" i="2"/>
  <c r="P886" i="2"/>
  <c r="Q885" i="2"/>
  <c r="P885" i="2"/>
  <c r="Q884" i="2"/>
  <c r="P884" i="2"/>
  <c r="Q883" i="2"/>
  <c r="P883" i="2"/>
  <c r="Q882" i="2"/>
  <c r="P882" i="2"/>
  <c r="Q881" i="2"/>
  <c r="P881" i="2"/>
  <c r="Q880" i="2"/>
  <c r="P880" i="2"/>
  <c r="Q879" i="2"/>
  <c r="P879" i="2"/>
  <c r="Q878" i="2"/>
  <c r="P878" i="2"/>
  <c r="Q877" i="2"/>
  <c r="P877" i="2"/>
  <c r="Q876" i="2"/>
  <c r="P876" i="2"/>
  <c r="Q875" i="2"/>
  <c r="P875" i="2"/>
  <c r="Q874" i="2"/>
  <c r="P874" i="2"/>
  <c r="Q873" i="2"/>
  <c r="P873" i="2"/>
  <c r="Q872" i="2"/>
  <c r="P872" i="2"/>
  <c r="Q871" i="2"/>
  <c r="P871" i="2"/>
  <c r="Q870" i="2"/>
  <c r="P870" i="2"/>
  <c r="Q869" i="2"/>
  <c r="P869" i="2"/>
  <c r="Q868" i="2"/>
  <c r="P868" i="2"/>
  <c r="Q867" i="2"/>
  <c r="P867" i="2"/>
  <c r="Q866" i="2"/>
  <c r="P866" i="2"/>
  <c r="Q865" i="2"/>
  <c r="P865" i="2"/>
  <c r="Q864" i="2"/>
  <c r="P864" i="2"/>
  <c r="Q863" i="2"/>
  <c r="P863" i="2"/>
  <c r="Q862" i="2"/>
  <c r="P862" i="2"/>
  <c r="Q861" i="2"/>
  <c r="P861" i="2"/>
  <c r="Q860" i="2"/>
  <c r="P860" i="2"/>
  <c r="Q859" i="2"/>
  <c r="P859" i="2"/>
  <c r="Q858" i="2"/>
  <c r="P858" i="2"/>
  <c r="Q857" i="2"/>
  <c r="P857" i="2"/>
  <c r="Q856" i="2"/>
  <c r="P856" i="2"/>
  <c r="Q855" i="2"/>
  <c r="P855" i="2"/>
  <c r="Q854" i="2"/>
  <c r="P854" i="2"/>
  <c r="Q853" i="2"/>
  <c r="P853" i="2"/>
  <c r="Q852" i="2"/>
  <c r="P852" i="2"/>
  <c r="Q851" i="2"/>
  <c r="P851" i="2"/>
  <c r="Q850" i="2"/>
  <c r="P850" i="2"/>
  <c r="Q849" i="2"/>
  <c r="P849" i="2"/>
  <c r="Q848" i="2"/>
  <c r="P848" i="2"/>
  <c r="Q847" i="2"/>
  <c r="P847" i="2"/>
  <c r="Q846" i="2"/>
  <c r="P846" i="2"/>
  <c r="Q845" i="2"/>
  <c r="P845" i="2"/>
  <c r="Q844" i="2"/>
  <c r="P844" i="2"/>
  <c r="Q843" i="2"/>
  <c r="P843" i="2"/>
  <c r="Q842" i="2"/>
  <c r="P842" i="2"/>
  <c r="Q841" i="2"/>
  <c r="P841" i="2"/>
  <c r="Q840" i="2"/>
  <c r="P840" i="2"/>
  <c r="Q839" i="2"/>
  <c r="P839" i="2"/>
  <c r="Q838" i="2"/>
  <c r="P838" i="2"/>
  <c r="Q837" i="2"/>
  <c r="P837" i="2"/>
  <c r="Q836" i="2"/>
  <c r="P836" i="2"/>
  <c r="Q835" i="2"/>
  <c r="P835" i="2"/>
  <c r="Q834" i="2"/>
  <c r="P834" i="2"/>
  <c r="Q833" i="2"/>
  <c r="P833" i="2"/>
  <c r="Q832" i="2"/>
  <c r="P832" i="2"/>
  <c r="Q831" i="2"/>
  <c r="P831" i="2"/>
  <c r="Q830" i="2"/>
  <c r="P830" i="2"/>
  <c r="Q829" i="2"/>
  <c r="P829" i="2"/>
  <c r="Q828" i="2"/>
  <c r="P828" i="2"/>
  <c r="Q827" i="2"/>
  <c r="P827" i="2"/>
  <c r="Q826" i="2"/>
  <c r="P826" i="2"/>
  <c r="Q825" i="2"/>
  <c r="P825" i="2"/>
  <c r="Q824" i="2"/>
  <c r="P824" i="2"/>
  <c r="Q823" i="2"/>
  <c r="P823" i="2"/>
  <c r="Q822" i="2"/>
  <c r="P822" i="2"/>
  <c r="Q821" i="2"/>
  <c r="P821" i="2"/>
  <c r="Q820" i="2"/>
  <c r="P820" i="2"/>
  <c r="Q819" i="2"/>
  <c r="P819" i="2"/>
  <c r="Q818" i="2"/>
  <c r="P818" i="2"/>
  <c r="Q817" i="2"/>
  <c r="P817" i="2"/>
  <c r="Q816" i="2"/>
  <c r="P816" i="2"/>
  <c r="Q815" i="2"/>
  <c r="P815" i="2"/>
  <c r="Q814" i="2"/>
  <c r="P814" i="2"/>
  <c r="Q813" i="2"/>
  <c r="P813" i="2"/>
  <c r="Q812" i="2"/>
  <c r="P812" i="2"/>
  <c r="Q811" i="2"/>
  <c r="P811" i="2"/>
  <c r="Q810" i="2"/>
  <c r="P810" i="2"/>
  <c r="Q809" i="2"/>
  <c r="P809" i="2"/>
  <c r="Q808" i="2"/>
  <c r="P808" i="2"/>
  <c r="Q807" i="2"/>
  <c r="P807" i="2"/>
  <c r="Q806" i="2"/>
  <c r="P806" i="2"/>
  <c r="Q805" i="2"/>
  <c r="P805" i="2"/>
  <c r="Q804" i="2"/>
  <c r="P804" i="2"/>
  <c r="Q803" i="2"/>
  <c r="P803" i="2"/>
  <c r="Q802" i="2"/>
  <c r="P802" i="2"/>
  <c r="Q801" i="2"/>
  <c r="P801" i="2"/>
  <c r="Q800" i="2"/>
  <c r="P800" i="2"/>
  <c r="Q799" i="2"/>
  <c r="P799" i="2"/>
  <c r="Q798" i="2"/>
  <c r="P798" i="2"/>
  <c r="Q797" i="2"/>
  <c r="P797" i="2"/>
  <c r="Q796" i="2"/>
  <c r="P796" i="2"/>
  <c r="Q795" i="2"/>
  <c r="P795" i="2"/>
  <c r="Q794" i="2"/>
  <c r="P794" i="2"/>
  <c r="Q793" i="2"/>
  <c r="P793" i="2"/>
  <c r="Q791" i="2"/>
  <c r="P791" i="2"/>
  <c r="Q790" i="2"/>
  <c r="P790" i="2"/>
  <c r="Q789" i="2"/>
  <c r="P789" i="2"/>
  <c r="Q788" i="2"/>
  <c r="P788" i="2"/>
  <c r="Q787" i="2"/>
  <c r="P787" i="2"/>
  <c r="Q786" i="2"/>
  <c r="P786" i="2"/>
  <c r="Q785" i="2"/>
  <c r="P785" i="2"/>
  <c r="Q783" i="2"/>
  <c r="P783" i="2"/>
  <c r="Q782" i="2"/>
  <c r="P782" i="2"/>
  <c r="Q781" i="2"/>
  <c r="P781" i="2"/>
  <c r="Q780" i="2"/>
  <c r="P780" i="2"/>
  <c r="Q779" i="2"/>
  <c r="P779" i="2"/>
  <c r="Q778" i="2"/>
  <c r="P778" i="2"/>
  <c r="Q777" i="2"/>
  <c r="P777" i="2"/>
  <c r="Q776" i="2"/>
  <c r="P776" i="2"/>
  <c r="Q775" i="2"/>
  <c r="P775" i="2"/>
  <c r="Q774" i="2"/>
  <c r="P774" i="2"/>
  <c r="Q773" i="2"/>
  <c r="P773" i="2"/>
  <c r="Q772" i="2"/>
  <c r="P772" i="2"/>
  <c r="Q770" i="2"/>
  <c r="P770" i="2"/>
  <c r="Q769" i="2"/>
  <c r="P769" i="2"/>
  <c r="Q768" i="2"/>
  <c r="P768" i="2"/>
  <c r="Q767" i="2"/>
  <c r="P767" i="2"/>
  <c r="Q766" i="2"/>
  <c r="P766" i="2"/>
  <c r="Q765" i="2"/>
  <c r="P765" i="2"/>
  <c r="Q764" i="2"/>
  <c r="P764" i="2"/>
  <c r="Q763" i="2"/>
  <c r="P763" i="2"/>
  <c r="Q762" i="2"/>
  <c r="P762" i="2"/>
  <c r="Q761" i="2"/>
  <c r="P761" i="2"/>
  <c r="Q760" i="2"/>
  <c r="P760" i="2"/>
  <c r="Q759" i="2"/>
  <c r="P759" i="2"/>
  <c r="Q758" i="2"/>
  <c r="P758" i="2"/>
  <c r="Q757" i="2"/>
  <c r="P757" i="2"/>
  <c r="Q756" i="2"/>
  <c r="P756" i="2"/>
  <c r="Q755" i="2"/>
  <c r="P755" i="2"/>
  <c r="Q754" i="2"/>
  <c r="P754" i="2"/>
  <c r="Q753" i="2"/>
  <c r="P753" i="2"/>
  <c r="Q752" i="2"/>
  <c r="P752" i="2"/>
  <c r="Q751" i="2"/>
  <c r="P751" i="2"/>
  <c r="Q750" i="2"/>
  <c r="P750" i="2"/>
  <c r="Q749" i="2"/>
  <c r="P749" i="2"/>
  <c r="Q748" i="2"/>
  <c r="P748" i="2"/>
  <c r="Q747" i="2"/>
  <c r="P747" i="2"/>
  <c r="Q746" i="2"/>
  <c r="P746" i="2"/>
  <c r="Q745" i="2"/>
  <c r="P745" i="2"/>
  <c r="Q744" i="2"/>
  <c r="P744" i="2"/>
  <c r="Q743" i="2"/>
  <c r="P743" i="2"/>
  <c r="Q742" i="2"/>
  <c r="P742" i="2"/>
  <c r="Q741" i="2"/>
  <c r="P741" i="2"/>
  <c r="Q740" i="2"/>
  <c r="P740" i="2"/>
  <c r="Q739" i="2"/>
  <c r="P739" i="2"/>
  <c r="Q738" i="2"/>
  <c r="P738" i="2"/>
  <c r="Q737" i="2"/>
  <c r="P737" i="2"/>
  <c r="Q736" i="2"/>
  <c r="P736" i="2"/>
  <c r="Q735" i="2"/>
  <c r="P735" i="2"/>
  <c r="Q734" i="2"/>
  <c r="P734" i="2"/>
  <c r="Q733" i="2"/>
  <c r="P733" i="2"/>
  <c r="Q732" i="2"/>
  <c r="P732" i="2"/>
  <c r="Q731" i="2"/>
  <c r="P731" i="2"/>
  <c r="Q730" i="2"/>
  <c r="P730" i="2"/>
  <c r="Q729" i="2"/>
  <c r="P729" i="2"/>
  <c r="Q728" i="2"/>
  <c r="P728" i="2"/>
  <c r="Q727" i="2"/>
  <c r="P727" i="2"/>
  <c r="Q726" i="2"/>
  <c r="P726" i="2"/>
  <c r="Q725" i="2"/>
  <c r="P725" i="2"/>
  <c r="Q724" i="2"/>
  <c r="P724" i="2"/>
  <c r="Q723" i="2"/>
  <c r="P723" i="2"/>
  <c r="Q722" i="2"/>
  <c r="P722" i="2"/>
  <c r="Q721" i="2"/>
  <c r="P721" i="2"/>
  <c r="Q720" i="2"/>
  <c r="P720" i="2"/>
  <c r="Q719" i="2"/>
  <c r="P719" i="2"/>
  <c r="Q718" i="2"/>
  <c r="P718" i="2"/>
  <c r="Q717" i="2"/>
  <c r="P717" i="2"/>
  <c r="Q716" i="2"/>
  <c r="P716" i="2"/>
  <c r="Q715" i="2"/>
  <c r="P715" i="2"/>
  <c r="Q714" i="2"/>
  <c r="P714" i="2"/>
  <c r="Q713" i="2"/>
  <c r="P713" i="2"/>
  <c r="Q712" i="2"/>
  <c r="P712" i="2"/>
  <c r="Q711" i="2"/>
  <c r="P711" i="2"/>
  <c r="Q710" i="2"/>
  <c r="P710" i="2"/>
  <c r="Q709" i="2"/>
  <c r="P709" i="2"/>
  <c r="Q708" i="2"/>
  <c r="P708" i="2"/>
  <c r="Q707" i="2"/>
  <c r="P707" i="2"/>
  <c r="Q706" i="2"/>
  <c r="P706" i="2"/>
  <c r="Q705" i="2"/>
  <c r="P705" i="2"/>
  <c r="Q704" i="2"/>
  <c r="P704" i="2"/>
  <c r="Q703" i="2"/>
  <c r="P703" i="2"/>
  <c r="Q702" i="2"/>
  <c r="P702" i="2"/>
  <c r="Q701" i="2"/>
  <c r="P701" i="2"/>
  <c r="Q700" i="2"/>
  <c r="P700" i="2"/>
  <c r="Q699" i="2"/>
  <c r="P699" i="2"/>
  <c r="Q698" i="2"/>
  <c r="P698" i="2"/>
  <c r="Q697" i="2"/>
  <c r="P697" i="2"/>
  <c r="Q696" i="2"/>
  <c r="P696" i="2"/>
  <c r="Q695" i="2"/>
  <c r="P695" i="2"/>
  <c r="Q694" i="2"/>
  <c r="P694" i="2"/>
  <c r="Q693" i="2"/>
  <c r="P693" i="2"/>
  <c r="Q692" i="2"/>
  <c r="P692" i="2"/>
  <c r="Q691" i="2"/>
  <c r="P691" i="2"/>
  <c r="Q690" i="2"/>
  <c r="P690" i="2"/>
  <c r="Q689" i="2"/>
  <c r="P689" i="2"/>
  <c r="Q688" i="2"/>
  <c r="P688" i="2"/>
  <c r="Q687" i="2"/>
  <c r="P687" i="2"/>
  <c r="Q686" i="2"/>
  <c r="P686" i="2"/>
  <c r="Q685" i="2"/>
  <c r="P685" i="2"/>
  <c r="Q684" i="2"/>
  <c r="P684" i="2"/>
  <c r="Q683" i="2"/>
  <c r="P683" i="2"/>
  <c r="Q682" i="2"/>
  <c r="P682" i="2"/>
  <c r="Q681" i="2"/>
  <c r="P681" i="2"/>
  <c r="Q680" i="2"/>
  <c r="P680" i="2"/>
  <c r="Q679" i="2"/>
  <c r="P679" i="2"/>
  <c r="Q678" i="2"/>
  <c r="P678" i="2"/>
  <c r="Q677" i="2"/>
  <c r="P677" i="2"/>
  <c r="Q676" i="2"/>
  <c r="P676" i="2"/>
  <c r="Q675" i="2"/>
  <c r="P675" i="2"/>
  <c r="Q674" i="2"/>
  <c r="P674" i="2"/>
  <c r="Q673" i="2"/>
  <c r="P673" i="2"/>
  <c r="Q672" i="2"/>
  <c r="P672" i="2"/>
  <c r="Q671" i="2"/>
  <c r="P671" i="2"/>
  <c r="Q670" i="2"/>
  <c r="P670" i="2"/>
  <c r="Q669" i="2"/>
  <c r="P669" i="2"/>
  <c r="Q668" i="2"/>
  <c r="P668" i="2"/>
  <c r="Q667" i="2"/>
  <c r="P667" i="2"/>
  <c r="Q666" i="2"/>
  <c r="P666" i="2"/>
  <c r="Q665" i="2"/>
  <c r="P665" i="2"/>
  <c r="Q664" i="2"/>
  <c r="P664" i="2"/>
  <c r="Q663" i="2"/>
  <c r="P663" i="2"/>
  <c r="Q662" i="2"/>
  <c r="P662" i="2"/>
  <c r="Q661" i="2"/>
  <c r="P661" i="2"/>
  <c r="Q660" i="2"/>
  <c r="P660" i="2"/>
  <c r="Q659" i="2"/>
  <c r="P659" i="2"/>
  <c r="Q658" i="2"/>
  <c r="P658" i="2"/>
  <c r="Q657" i="2"/>
  <c r="P657" i="2"/>
  <c r="Q656" i="2"/>
  <c r="P656" i="2"/>
  <c r="Q655" i="2"/>
  <c r="P655" i="2"/>
  <c r="Q654" i="2"/>
  <c r="P654" i="2"/>
  <c r="Q653" i="2"/>
  <c r="P653" i="2"/>
  <c r="Q652" i="2"/>
  <c r="P652" i="2"/>
  <c r="Q651" i="2"/>
  <c r="P651" i="2"/>
  <c r="Q650" i="2"/>
  <c r="P650" i="2"/>
  <c r="Q649" i="2"/>
  <c r="P649" i="2"/>
  <c r="Q648" i="2"/>
  <c r="P648" i="2"/>
  <c r="Q647" i="2"/>
  <c r="P647" i="2"/>
  <c r="Q646" i="2"/>
  <c r="P646" i="2"/>
  <c r="Q645" i="2"/>
  <c r="P645" i="2"/>
  <c r="Q644" i="2"/>
  <c r="P644" i="2"/>
  <c r="Q643" i="2"/>
  <c r="P643" i="2"/>
  <c r="Q642" i="2"/>
  <c r="P642" i="2"/>
  <c r="Q641" i="2"/>
  <c r="P641" i="2"/>
  <c r="Q640" i="2"/>
  <c r="P640" i="2"/>
  <c r="Q639" i="2"/>
  <c r="P639" i="2"/>
  <c r="Q638" i="2"/>
  <c r="P638" i="2"/>
  <c r="Q637" i="2"/>
  <c r="P637" i="2"/>
  <c r="Q636" i="2"/>
  <c r="P636" i="2"/>
  <c r="Q635" i="2"/>
  <c r="P635" i="2"/>
  <c r="Q634" i="2"/>
  <c r="P634" i="2"/>
  <c r="Q633" i="2"/>
  <c r="P633" i="2"/>
  <c r="Q632" i="2"/>
  <c r="P632" i="2"/>
  <c r="Q631" i="2"/>
  <c r="P631" i="2"/>
  <c r="Q630" i="2"/>
  <c r="P630" i="2"/>
  <c r="Q629" i="2"/>
  <c r="P629" i="2"/>
  <c r="Q628" i="2"/>
  <c r="P628" i="2"/>
  <c r="Q627" i="2"/>
  <c r="P627" i="2"/>
  <c r="Q626" i="2"/>
  <c r="P626" i="2"/>
  <c r="Q625" i="2"/>
  <c r="P625" i="2"/>
  <c r="Q624" i="2"/>
  <c r="P624" i="2"/>
  <c r="Q623" i="2"/>
  <c r="P623" i="2"/>
  <c r="Q622" i="2"/>
  <c r="P622" i="2"/>
  <c r="Q621" i="2"/>
  <c r="P621" i="2"/>
  <c r="Q620" i="2"/>
  <c r="P620" i="2"/>
  <c r="Q619" i="2"/>
  <c r="P619" i="2"/>
  <c r="Q618" i="2"/>
  <c r="P618" i="2"/>
  <c r="Q617" i="2"/>
  <c r="P617" i="2"/>
  <c r="Q616" i="2"/>
  <c r="P616" i="2"/>
  <c r="Q615" i="2"/>
  <c r="P615" i="2"/>
  <c r="Q614" i="2"/>
  <c r="P614" i="2"/>
  <c r="Q613" i="2"/>
  <c r="P613" i="2"/>
  <c r="Q612" i="2"/>
  <c r="P612" i="2"/>
  <c r="Q611" i="2"/>
  <c r="P611" i="2"/>
  <c r="Q610" i="2"/>
  <c r="P610" i="2"/>
  <c r="Q609" i="2"/>
  <c r="P609" i="2"/>
  <c r="Q608" i="2"/>
  <c r="P608" i="2"/>
  <c r="Q607" i="2"/>
  <c r="P607" i="2"/>
  <c r="Q606" i="2"/>
  <c r="P606" i="2"/>
  <c r="Q605" i="2"/>
  <c r="P605" i="2"/>
  <c r="Q604" i="2"/>
  <c r="P604" i="2"/>
  <c r="Q603" i="2"/>
  <c r="P603" i="2"/>
  <c r="Q602" i="2"/>
  <c r="P602" i="2"/>
  <c r="Q601" i="2"/>
  <c r="P601" i="2"/>
  <c r="Q600" i="2"/>
  <c r="P600" i="2"/>
  <c r="Q599" i="2"/>
  <c r="P599" i="2"/>
  <c r="Q598" i="2"/>
  <c r="P598" i="2"/>
  <c r="Q597" i="2"/>
  <c r="P597" i="2"/>
  <c r="Q595" i="2"/>
  <c r="P595" i="2"/>
  <c r="Q594" i="2"/>
  <c r="P594" i="2"/>
  <c r="Q593" i="2"/>
  <c r="P593" i="2"/>
  <c r="Q592" i="2"/>
  <c r="P592" i="2"/>
  <c r="Q591" i="2"/>
  <c r="P591" i="2"/>
  <c r="Q588" i="2"/>
  <c r="P588" i="2"/>
  <c r="Q587" i="2"/>
  <c r="P587" i="2"/>
  <c r="Q586" i="2"/>
  <c r="P586" i="2"/>
  <c r="Q585" i="2"/>
  <c r="P585" i="2"/>
  <c r="Q583" i="2"/>
  <c r="P583" i="2"/>
  <c r="Q582" i="2"/>
  <c r="P582" i="2"/>
  <c r="Q581" i="2"/>
  <c r="P581" i="2"/>
  <c r="Q580" i="2"/>
  <c r="P580" i="2"/>
  <c r="Q579" i="2"/>
  <c r="P579" i="2"/>
  <c r="Q578" i="2"/>
  <c r="P578" i="2"/>
  <c r="Q577" i="2"/>
  <c r="P577" i="2"/>
  <c r="Q576" i="2"/>
  <c r="P576" i="2"/>
  <c r="Q575" i="2"/>
  <c r="P575" i="2"/>
  <c r="Q574" i="2"/>
  <c r="P574" i="2"/>
  <c r="Q573" i="2"/>
  <c r="P573" i="2"/>
  <c r="Q572" i="2"/>
  <c r="P572" i="2"/>
  <c r="Q569" i="2"/>
  <c r="P569" i="2"/>
  <c r="Q568" i="2"/>
  <c r="P568" i="2"/>
  <c r="Q565" i="2"/>
  <c r="P565" i="2"/>
  <c r="Q564" i="2"/>
  <c r="P564" i="2"/>
  <c r="Q561" i="2"/>
  <c r="P561" i="2"/>
  <c r="Q560" i="2"/>
  <c r="P560" i="2"/>
  <c r="Q559" i="2"/>
  <c r="P559" i="2"/>
  <c r="Q558" i="2"/>
  <c r="P558" i="2"/>
  <c r="Q557" i="2"/>
  <c r="P557" i="2"/>
  <c r="Q556" i="2"/>
  <c r="P556" i="2"/>
  <c r="Q555" i="2"/>
  <c r="P555" i="2"/>
  <c r="Q554" i="2"/>
  <c r="P554" i="2"/>
  <c r="Q553" i="2"/>
  <c r="P553" i="2"/>
  <c r="Q552" i="2"/>
  <c r="P552" i="2"/>
  <c r="Q551" i="2"/>
  <c r="P551" i="2"/>
  <c r="Q550" i="2"/>
  <c r="P550" i="2"/>
  <c r="Q549" i="2"/>
  <c r="P549" i="2"/>
  <c r="Q548" i="2"/>
  <c r="P548" i="2"/>
  <c r="Q547" i="2"/>
  <c r="P547" i="2"/>
  <c r="Q546" i="2"/>
  <c r="P546" i="2"/>
  <c r="Q545" i="2"/>
  <c r="P545" i="2"/>
  <c r="Q544" i="2"/>
  <c r="P544" i="2"/>
  <c r="Q543" i="2"/>
  <c r="P543" i="2"/>
  <c r="Q542" i="2"/>
  <c r="P542" i="2"/>
  <c r="Q541" i="2"/>
  <c r="P541" i="2"/>
  <c r="Q540" i="2"/>
  <c r="P540" i="2"/>
  <c r="Q539" i="2"/>
  <c r="P539" i="2"/>
  <c r="Q538" i="2"/>
  <c r="P538" i="2"/>
  <c r="Q537" i="2"/>
  <c r="P537" i="2"/>
  <c r="Q536" i="2"/>
  <c r="P536" i="2"/>
  <c r="Q535" i="2"/>
  <c r="P535" i="2"/>
  <c r="Q534" i="2"/>
  <c r="P534" i="2"/>
  <c r="Q533" i="2"/>
  <c r="P533" i="2"/>
  <c r="Q532" i="2"/>
  <c r="P532" i="2"/>
  <c r="Q531" i="2"/>
  <c r="P531" i="2"/>
  <c r="Q530" i="2"/>
  <c r="P530" i="2"/>
  <c r="Q529" i="2"/>
  <c r="P529" i="2"/>
  <c r="Q528" i="2"/>
  <c r="P528" i="2"/>
  <c r="Q527" i="2"/>
  <c r="P527" i="2"/>
  <c r="Q526" i="2"/>
  <c r="P526" i="2"/>
  <c r="Q525" i="2"/>
  <c r="P525" i="2"/>
  <c r="Q524" i="2"/>
  <c r="P524" i="2"/>
  <c r="Q523" i="2"/>
  <c r="P523" i="2"/>
  <c r="Q522" i="2"/>
  <c r="P522" i="2"/>
  <c r="Q521" i="2"/>
  <c r="P521" i="2"/>
  <c r="Q520" i="2"/>
  <c r="P520" i="2"/>
  <c r="Q519" i="2"/>
  <c r="P519" i="2"/>
  <c r="Q518" i="2"/>
  <c r="P518" i="2"/>
  <c r="Q517" i="2"/>
  <c r="P517" i="2"/>
  <c r="Q516" i="2"/>
  <c r="P516" i="2"/>
  <c r="Q515" i="2"/>
  <c r="P515" i="2"/>
  <c r="Q514" i="2"/>
  <c r="P514" i="2"/>
  <c r="Q513" i="2"/>
  <c r="P513" i="2"/>
  <c r="Q512" i="2"/>
  <c r="P512" i="2"/>
  <c r="Q511" i="2"/>
  <c r="P511" i="2"/>
  <c r="Q510" i="2"/>
  <c r="P510" i="2"/>
  <c r="Q509" i="2"/>
  <c r="P509" i="2"/>
  <c r="Q508" i="2"/>
  <c r="P508" i="2"/>
  <c r="Q507" i="2"/>
  <c r="P507" i="2"/>
  <c r="Q506" i="2"/>
  <c r="P506" i="2"/>
  <c r="Q505" i="2"/>
  <c r="P505" i="2"/>
  <c r="Q504" i="2"/>
  <c r="P504" i="2"/>
  <c r="Q503" i="2"/>
  <c r="P503" i="2"/>
  <c r="Q502" i="2"/>
  <c r="P502" i="2"/>
  <c r="Q501" i="2"/>
  <c r="P501" i="2"/>
  <c r="Q500" i="2"/>
  <c r="P500" i="2"/>
  <c r="Q499" i="2"/>
  <c r="P499" i="2"/>
  <c r="Q498" i="2"/>
  <c r="P498" i="2"/>
  <c r="Q497" i="2"/>
  <c r="P497" i="2"/>
  <c r="Q496" i="2"/>
  <c r="P496" i="2"/>
  <c r="Q495" i="2"/>
  <c r="P495" i="2"/>
  <c r="Q494" i="2"/>
  <c r="P494" i="2"/>
  <c r="Q493" i="2"/>
  <c r="P493" i="2"/>
  <c r="Q492" i="2"/>
  <c r="P492" i="2"/>
  <c r="Q491" i="2"/>
  <c r="P491" i="2"/>
  <c r="Q490" i="2"/>
  <c r="P490" i="2"/>
  <c r="Q489" i="2"/>
  <c r="P489" i="2"/>
  <c r="Q488" i="2"/>
  <c r="P488" i="2"/>
  <c r="Q487" i="2"/>
  <c r="P487" i="2"/>
  <c r="Q486" i="2"/>
  <c r="P486" i="2"/>
  <c r="Q485" i="2"/>
  <c r="P485" i="2"/>
  <c r="Q484" i="2"/>
  <c r="P484" i="2"/>
  <c r="Q483" i="2"/>
  <c r="P483" i="2"/>
  <c r="Q482" i="2"/>
  <c r="P482" i="2"/>
  <c r="Q481" i="2"/>
  <c r="P481" i="2"/>
  <c r="Q480" i="2"/>
  <c r="P480" i="2"/>
  <c r="Q479" i="2"/>
  <c r="P479" i="2"/>
  <c r="Q478" i="2"/>
  <c r="P478" i="2"/>
  <c r="Q477" i="2"/>
  <c r="P477" i="2"/>
  <c r="Q476" i="2"/>
  <c r="P476" i="2"/>
  <c r="Q475" i="2"/>
  <c r="P475" i="2"/>
  <c r="Q474" i="2"/>
  <c r="P474" i="2"/>
  <c r="Q473" i="2"/>
  <c r="P473" i="2"/>
  <c r="Q472" i="2"/>
  <c r="P472" i="2"/>
  <c r="Q471" i="2"/>
  <c r="P471" i="2"/>
  <c r="Q470" i="2"/>
  <c r="P470" i="2"/>
  <c r="Q469" i="2"/>
  <c r="P469" i="2"/>
  <c r="Q468" i="2"/>
  <c r="P468" i="2"/>
  <c r="Q467" i="2"/>
  <c r="P467" i="2"/>
  <c r="Q466" i="2"/>
  <c r="P466" i="2"/>
  <c r="Q465" i="2"/>
  <c r="P465" i="2"/>
  <c r="Q464" i="2"/>
  <c r="P464" i="2"/>
  <c r="Q463" i="2"/>
  <c r="P463" i="2"/>
  <c r="Q462" i="2"/>
  <c r="P462" i="2"/>
  <c r="Q461" i="2"/>
  <c r="P461" i="2"/>
  <c r="Q460" i="2"/>
  <c r="P460" i="2"/>
  <c r="Q459" i="2"/>
  <c r="P459" i="2"/>
  <c r="Q458" i="2"/>
  <c r="P458" i="2"/>
  <c r="Q457" i="2"/>
  <c r="P457" i="2"/>
  <c r="Q456" i="2"/>
  <c r="P456" i="2"/>
  <c r="Q455" i="2"/>
  <c r="P455" i="2"/>
  <c r="Q454" i="2"/>
  <c r="P454" i="2"/>
  <c r="Q453" i="2"/>
  <c r="P453" i="2"/>
  <c r="Q452" i="2"/>
  <c r="P452" i="2"/>
  <c r="Q451" i="2"/>
  <c r="P451" i="2"/>
  <c r="Q450" i="2"/>
  <c r="P450" i="2"/>
  <c r="Q449" i="2"/>
  <c r="P449" i="2"/>
  <c r="Q448" i="2"/>
  <c r="P448" i="2"/>
  <c r="Q447" i="2"/>
  <c r="P447" i="2"/>
  <c r="Q446" i="2"/>
  <c r="P446" i="2"/>
  <c r="Q445" i="2"/>
  <c r="P445" i="2"/>
  <c r="Q444" i="2"/>
  <c r="P444" i="2"/>
  <c r="Q443" i="2"/>
  <c r="P443" i="2"/>
  <c r="Q442" i="2"/>
  <c r="P442" i="2"/>
  <c r="Q441" i="2"/>
  <c r="P441" i="2"/>
  <c r="Q440" i="2"/>
  <c r="P440" i="2"/>
  <c r="Q439" i="2"/>
  <c r="P439" i="2"/>
  <c r="Q438" i="2"/>
  <c r="P438" i="2"/>
  <c r="Q437" i="2"/>
  <c r="P437" i="2"/>
  <c r="Q436" i="2"/>
  <c r="P436" i="2"/>
  <c r="Q435" i="2"/>
  <c r="P435" i="2"/>
  <c r="Q434" i="2"/>
  <c r="P434" i="2"/>
  <c r="Q433" i="2"/>
  <c r="P433" i="2"/>
  <c r="Q432" i="2"/>
  <c r="P432" i="2"/>
  <c r="Q431" i="2"/>
  <c r="P431" i="2"/>
  <c r="Q430" i="2"/>
  <c r="P430" i="2"/>
  <c r="Q429" i="2"/>
  <c r="P429" i="2"/>
  <c r="Q428" i="2"/>
  <c r="P428" i="2"/>
  <c r="Q427" i="2"/>
  <c r="P427" i="2"/>
  <c r="Q426" i="2"/>
  <c r="P426" i="2"/>
  <c r="Q425" i="2"/>
  <c r="P425" i="2"/>
  <c r="Q424" i="2"/>
  <c r="P424" i="2"/>
  <c r="Q423" i="2"/>
  <c r="P423" i="2"/>
  <c r="Q422" i="2"/>
  <c r="P422" i="2"/>
  <c r="Q421" i="2"/>
  <c r="P421" i="2"/>
  <c r="Q418" i="2"/>
  <c r="P418" i="2"/>
  <c r="Q417" i="2"/>
  <c r="P417" i="2"/>
  <c r="Q416" i="2"/>
  <c r="P416" i="2"/>
  <c r="Q414" i="2"/>
  <c r="P414" i="2"/>
  <c r="Q413" i="2"/>
  <c r="P413" i="2"/>
  <c r="Q412" i="2"/>
  <c r="P412" i="2"/>
  <c r="Q411" i="2"/>
  <c r="P411" i="2"/>
  <c r="Q410" i="2"/>
  <c r="P410" i="2"/>
  <c r="Q409" i="2"/>
  <c r="P409" i="2"/>
  <c r="Q408" i="2"/>
  <c r="P408" i="2"/>
  <c r="Q407" i="2"/>
  <c r="P407" i="2"/>
  <c r="Q406" i="2"/>
  <c r="P406" i="2"/>
  <c r="Q405" i="2"/>
  <c r="P405" i="2"/>
  <c r="Q404" i="2"/>
  <c r="P404" i="2"/>
  <c r="Q403" i="2"/>
  <c r="P403" i="2"/>
  <c r="Q402" i="2"/>
  <c r="P402" i="2"/>
  <c r="Q401" i="2"/>
  <c r="P401" i="2"/>
  <c r="Q400" i="2"/>
  <c r="P400" i="2"/>
  <c r="Q399" i="2"/>
  <c r="P399" i="2"/>
  <c r="Q398" i="2"/>
  <c r="P398" i="2"/>
  <c r="Q397" i="2"/>
  <c r="P397" i="2"/>
  <c r="Q396" i="2"/>
  <c r="P396" i="2"/>
  <c r="Q395" i="2"/>
  <c r="P395" i="2"/>
  <c r="Q394" i="2"/>
  <c r="P394" i="2"/>
  <c r="Q393" i="2"/>
  <c r="P393" i="2"/>
  <c r="Q392" i="2"/>
  <c r="P392" i="2"/>
  <c r="Q391" i="2"/>
  <c r="P391" i="2"/>
  <c r="Q390" i="2"/>
  <c r="P390" i="2"/>
  <c r="Q389" i="2"/>
  <c r="P389" i="2"/>
  <c r="Q388" i="2"/>
  <c r="P388" i="2"/>
  <c r="Q387" i="2"/>
  <c r="P387" i="2"/>
  <c r="Q386" i="2"/>
  <c r="P386" i="2"/>
  <c r="Q384" i="2"/>
  <c r="P384" i="2"/>
  <c r="Q383" i="2"/>
  <c r="P383" i="2"/>
  <c r="Q382" i="2"/>
  <c r="P382" i="2"/>
  <c r="Q381" i="2"/>
  <c r="P381" i="2"/>
  <c r="Q380" i="2"/>
  <c r="P380" i="2"/>
  <c r="Q379" i="2"/>
  <c r="P379" i="2"/>
  <c r="Q378" i="2"/>
  <c r="P378" i="2"/>
  <c r="Q377" i="2"/>
  <c r="P377" i="2"/>
  <c r="Q376" i="2"/>
  <c r="P376" i="2"/>
  <c r="Q375" i="2"/>
  <c r="P375" i="2"/>
  <c r="Q374" i="2"/>
  <c r="P374" i="2"/>
  <c r="Q373" i="2"/>
  <c r="P373" i="2"/>
  <c r="Q372" i="2"/>
  <c r="P372" i="2"/>
  <c r="Q371" i="2"/>
  <c r="P371" i="2"/>
  <c r="Q370" i="2"/>
  <c r="P370" i="2"/>
  <c r="Q369" i="2"/>
  <c r="P369" i="2"/>
  <c r="Q368" i="2"/>
  <c r="P368" i="2"/>
  <c r="Q367" i="2"/>
  <c r="P367" i="2"/>
  <c r="Q366" i="2"/>
  <c r="P366" i="2"/>
  <c r="Q365" i="2"/>
  <c r="P365" i="2"/>
  <c r="Q364" i="2"/>
  <c r="P364" i="2"/>
  <c r="Q363" i="2"/>
  <c r="P363" i="2"/>
  <c r="Q362" i="2"/>
  <c r="P362" i="2"/>
  <c r="Q361" i="2"/>
  <c r="P361" i="2"/>
  <c r="Q360" i="2"/>
  <c r="P360" i="2"/>
  <c r="Q359" i="2"/>
  <c r="P359" i="2"/>
  <c r="Q358" i="2"/>
  <c r="P358" i="2"/>
  <c r="Q357" i="2"/>
  <c r="P357" i="2"/>
  <c r="Q356" i="2"/>
  <c r="P356" i="2"/>
  <c r="Q355" i="2"/>
  <c r="P355" i="2"/>
  <c r="Q354" i="2"/>
  <c r="P354" i="2"/>
  <c r="Q353" i="2"/>
  <c r="P353" i="2"/>
  <c r="Q352" i="2"/>
  <c r="P352" i="2"/>
  <c r="Q351" i="2"/>
  <c r="P351" i="2"/>
  <c r="Q350" i="2"/>
  <c r="P350" i="2"/>
  <c r="Q349" i="2"/>
  <c r="P349" i="2"/>
  <c r="Q348" i="2"/>
  <c r="P348" i="2"/>
  <c r="Q347" i="2"/>
  <c r="P347" i="2"/>
  <c r="Q346" i="2"/>
  <c r="P346" i="2"/>
  <c r="Q345" i="2"/>
  <c r="P345" i="2"/>
  <c r="Q344" i="2"/>
  <c r="P344" i="2"/>
  <c r="Q343" i="2"/>
  <c r="P343" i="2"/>
  <c r="Q342" i="2"/>
  <c r="P342" i="2"/>
  <c r="Q341" i="2"/>
  <c r="P341" i="2"/>
  <c r="Q340" i="2"/>
  <c r="P340" i="2"/>
  <c r="Q339" i="2"/>
  <c r="P339" i="2"/>
  <c r="Q338" i="2"/>
  <c r="P338" i="2"/>
  <c r="Q335" i="2"/>
  <c r="P335" i="2"/>
  <c r="Q334" i="2"/>
  <c r="P334" i="2"/>
  <c r="Q333" i="2"/>
  <c r="P333" i="2"/>
  <c r="Q332" i="2"/>
  <c r="P332" i="2"/>
  <c r="Q331" i="2"/>
  <c r="P331" i="2"/>
  <c r="Q330" i="2"/>
  <c r="P330" i="2"/>
  <c r="Q329" i="2"/>
  <c r="P329" i="2"/>
  <c r="Q328" i="2"/>
  <c r="P328" i="2"/>
  <c r="Q327" i="2"/>
  <c r="P327" i="2"/>
  <c r="Q326" i="2"/>
  <c r="P326" i="2"/>
  <c r="Q325" i="2"/>
  <c r="P325" i="2"/>
  <c r="Q324" i="2"/>
  <c r="P324" i="2"/>
  <c r="Q323" i="2"/>
  <c r="P323" i="2"/>
  <c r="Q322" i="2"/>
  <c r="P322" i="2"/>
  <c r="Q321" i="2"/>
  <c r="P321" i="2"/>
  <c r="Q320" i="2"/>
  <c r="P320" i="2"/>
  <c r="Q319" i="2"/>
  <c r="P319" i="2"/>
  <c r="Q318" i="2"/>
  <c r="P318" i="2"/>
  <c r="Q317" i="2"/>
  <c r="P317" i="2"/>
  <c r="Q316" i="2"/>
  <c r="P316" i="2"/>
  <c r="Q315" i="2"/>
  <c r="P315" i="2"/>
  <c r="Q314" i="2"/>
  <c r="P314" i="2"/>
  <c r="Q313" i="2"/>
  <c r="P313" i="2"/>
  <c r="Q312" i="2"/>
  <c r="P312" i="2"/>
  <c r="Q311" i="2"/>
  <c r="P311" i="2"/>
  <c r="Q310" i="2"/>
  <c r="P310" i="2"/>
  <c r="Q309" i="2"/>
  <c r="P309" i="2"/>
  <c r="Q308" i="2"/>
  <c r="P308" i="2"/>
  <c r="Q307" i="2"/>
  <c r="P307" i="2"/>
  <c r="Q306" i="2"/>
  <c r="P306" i="2"/>
  <c r="Q305" i="2"/>
  <c r="P305" i="2"/>
  <c r="Q304" i="2"/>
  <c r="P304" i="2"/>
  <c r="Q303" i="2"/>
  <c r="P303" i="2"/>
  <c r="Q302" i="2"/>
  <c r="P302" i="2"/>
  <c r="Q301" i="2"/>
  <c r="P301" i="2"/>
  <c r="Q300" i="2"/>
  <c r="P300" i="2"/>
  <c r="Q299" i="2"/>
  <c r="P299" i="2"/>
  <c r="Q298" i="2"/>
  <c r="P298" i="2"/>
  <c r="Q297" i="2"/>
  <c r="P297" i="2"/>
  <c r="Q296" i="2"/>
  <c r="P296" i="2"/>
  <c r="Q295" i="2"/>
  <c r="P295" i="2"/>
  <c r="Q294" i="2"/>
  <c r="P294" i="2"/>
  <c r="Q293" i="2"/>
  <c r="P293" i="2"/>
  <c r="Q292" i="2"/>
  <c r="P292" i="2"/>
  <c r="Q291" i="2"/>
  <c r="P291" i="2"/>
  <c r="Q290" i="2"/>
  <c r="P290" i="2"/>
  <c r="Q289" i="2"/>
  <c r="P289" i="2"/>
  <c r="Q288" i="2"/>
  <c r="P288" i="2"/>
  <c r="Q287" i="2"/>
  <c r="P287" i="2"/>
  <c r="Q286" i="2"/>
  <c r="P286" i="2"/>
  <c r="Q285" i="2"/>
  <c r="P285" i="2"/>
  <c r="Q284" i="2"/>
  <c r="P284" i="2"/>
  <c r="Q283" i="2"/>
  <c r="P283" i="2"/>
  <c r="Q282" i="2"/>
  <c r="P282" i="2"/>
  <c r="Q281" i="2"/>
  <c r="P281" i="2"/>
  <c r="Q280" i="2"/>
  <c r="P280" i="2"/>
  <c r="Q279" i="2"/>
  <c r="P279" i="2"/>
  <c r="Q278" i="2"/>
  <c r="P278" i="2"/>
  <c r="Q277" i="2"/>
  <c r="P277" i="2"/>
  <c r="Q276" i="2"/>
  <c r="P276" i="2"/>
  <c r="Q275" i="2"/>
  <c r="P275" i="2"/>
  <c r="Q274" i="2"/>
  <c r="P274" i="2"/>
  <c r="Q273" i="2"/>
  <c r="P273" i="2"/>
  <c r="Q272" i="2"/>
  <c r="P272" i="2"/>
  <c r="Q271" i="2"/>
  <c r="P271" i="2"/>
  <c r="Q270" i="2"/>
  <c r="P270" i="2"/>
  <c r="Q269" i="2"/>
  <c r="P269" i="2"/>
  <c r="Q268" i="2"/>
  <c r="P268" i="2"/>
  <c r="Q267" i="2"/>
  <c r="P267" i="2"/>
  <c r="Q266" i="2"/>
  <c r="P266" i="2"/>
  <c r="Q265" i="2"/>
  <c r="P265" i="2"/>
  <c r="Q264" i="2"/>
  <c r="P264" i="2"/>
  <c r="Q263" i="2"/>
  <c r="P263" i="2"/>
  <c r="Q261" i="2"/>
  <c r="P261" i="2"/>
  <c r="Q260" i="2"/>
  <c r="P260" i="2"/>
  <c r="Q259" i="2"/>
  <c r="P259" i="2"/>
  <c r="Q258" i="2"/>
  <c r="P258" i="2"/>
  <c r="Q257" i="2"/>
  <c r="P257" i="2"/>
  <c r="Q256" i="2"/>
  <c r="P256" i="2"/>
  <c r="Q255" i="2"/>
  <c r="P255" i="2"/>
  <c r="Q254" i="2"/>
  <c r="P254" i="2"/>
  <c r="Q253" i="2"/>
  <c r="P253" i="2"/>
  <c r="Q252" i="2"/>
  <c r="P252" i="2"/>
  <c r="Q251" i="2"/>
  <c r="P251" i="2"/>
  <c r="Q250" i="2"/>
  <c r="P250" i="2"/>
  <c r="Q248" i="2"/>
  <c r="P248" i="2"/>
  <c r="Q247" i="2"/>
  <c r="P247" i="2"/>
  <c r="Q246" i="2"/>
  <c r="P246" i="2"/>
  <c r="Q245" i="2"/>
  <c r="P245" i="2"/>
  <c r="Q244" i="2"/>
  <c r="P244" i="2"/>
  <c r="Q243" i="2"/>
  <c r="P243" i="2"/>
  <c r="Q242" i="2"/>
  <c r="P242" i="2"/>
  <c r="Q241" i="2"/>
  <c r="P241" i="2"/>
  <c r="Q240" i="2"/>
  <c r="P240" i="2"/>
  <c r="Q239" i="2"/>
  <c r="P239" i="2"/>
  <c r="Q238" i="2"/>
  <c r="P238" i="2"/>
  <c r="Q237" i="2"/>
  <c r="P237" i="2"/>
  <c r="Q236" i="2"/>
  <c r="P236" i="2"/>
  <c r="Q235" i="2"/>
  <c r="P235" i="2"/>
  <c r="Q234" i="2"/>
  <c r="P234" i="2"/>
  <c r="Q233" i="2"/>
  <c r="P233" i="2"/>
  <c r="Q232" i="2"/>
  <c r="P232" i="2"/>
  <c r="Q231" i="2"/>
  <c r="P231" i="2"/>
  <c r="Q230" i="2"/>
  <c r="P230" i="2"/>
  <c r="Q229" i="2"/>
  <c r="P229" i="2"/>
  <c r="Q228" i="2"/>
  <c r="P228" i="2"/>
  <c r="Q227" i="2"/>
  <c r="P227" i="2"/>
  <c r="Q226" i="2"/>
  <c r="P226" i="2"/>
  <c r="Q225" i="2"/>
  <c r="P225" i="2"/>
  <c r="Q224" i="2"/>
  <c r="P224" i="2"/>
  <c r="Q223" i="2"/>
  <c r="P223" i="2"/>
  <c r="Q222" i="2"/>
  <c r="P222" i="2"/>
  <c r="Q221" i="2"/>
  <c r="P221" i="2"/>
  <c r="Q220" i="2"/>
  <c r="P220" i="2"/>
  <c r="Q219" i="2"/>
  <c r="P219" i="2"/>
  <c r="Q218" i="2"/>
  <c r="P218" i="2"/>
  <c r="Q217" i="2"/>
  <c r="P217" i="2"/>
  <c r="Q216" i="2"/>
  <c r="P216" i="2"/>
  <c r="Q215" i="2"/>
  <c r="P215" i="2"/>
  <c r="Q214" i="2"/>
  <c r="P214" i="2"/>
  <c r="Q213" i="2"/>
  <c r="P213" i="2"/>
  <c r="Q212" i="2"/>
  <c r="P212" i="2"/>
  <c r="Q211" i="2"/>
  <c r="P211" i="2"/>
  <c r="Q210" i="2"/>
  <c r="P210" i="2"/>
  <c r="Q209" i="2"/>
  <c r="P209" i="2"/>
  <c r="Q208" i="2"/>
  <c r="P208" i="2"/>
  <c r="Q207" i="2"/>
  <c r="P207" i="2"/>
  <c r="Q206" i="2"/>
  <c r="P206" i="2"/>
  <c r="Q205" i="2"/>
  <c r="P205" i="2"/>
  <c r="Q204" i="2"/>
  <c r="P204" i="2"/>
  <c r="Q203" i="2"/>
  <c r="P203" i="2"/>
  <c r="Q202" i="2"/>
  <c r="P202" i="2"/>
  <c r="Q201" i="2"/>
  <c r="P201" i="2"/>
  <c r="Q200" i="2"/>
  <c r="P200" i="2"/>
  <c r="Q199" i="2"/>
  <c r="P199" i="2"/>
  <c r="Q198" i="2"/>
  <c r="P198" i="2"/>
  <c r="Q197" i="2"/>
  <c r="P197" i="2"/>
  <c r="Q196" i="2"/>
  <c r="P196" i="2"/>
  <c r="Q195" i="2"/>
  <c r="P195" i="2"/>
  <c r="Q194" i="2"/>
  <c r="P194" i="2"/>
  <c r="Q193" i="2"/>
  <c r="P193" i="2"/>
  <c r="Q192" i="2"/>
  <c r="P192" i="2"/>
  <c r="Q191" i="2"/>
  <c r="P191" i="2"/>
  <c r="Q190" i="2"/>
  <c r="P190" i="2"/>
  <c r="Q189" i="2"/>
  <c r="P189" i="2"/>
  <c r="Q188" i="2"/>
  <c r="P188" i="2"/>
  <c r="Q187" i="2"/>
  <c r="P187" i="2"/>
  <c r="Q186" i="2"/>
  <c r="P186" i="2"/>
  <c r="Q185" i="2"/>
  <c r="P185" i="2"/>
  <c r="Q184" i="2"/>
  <c r="P184" i="2"/>
  <c r="Q183" i="2"/>
  <c r="P183" i="2"/>
  <c r="Q182" i="2"/>
  <c r="P182" i="2"/>
  <c r="Q181" i="2"/>
  <c r="P181" i="2"/>
  <c r="Q180" i="2"/>
  <c r="P180" i="2"/>
  <c r="Q179" i="2"/>
  <c r="P179" i="2"/>
  <c r="Q178" i="2"/>
  <c r="P178" i="2"/>
  <c r="Q177" i="2"/>
  <c r="P177" i="2"/>
  <c r="Q176" i="2"/>
  <c r="P176" i="2"/>
  <c r="Q175" i="2"/>
  <c r="P175" i="2"/>
  <c r="Q174" i="2"/>
  <c r="P174" i="2"/>
  <c r="Q173" i="2"/>
  <c r="P173" i="2"/>
  <c r="Q172" i="2"/>
  <c r="P172" i="2"/>
  <c r="Q171" i="2"/>
  <c r="P171" i="2"/>
  <c r="Q170" i="2"/>
  <c r="P170" i="2"/>
  <c r="Q169" i="2"/>
  <c r="P169" i="2"/>
  <c r="Q168" i="2"/>
  <c r="P168" i="2"/>
  <c r="Q167" i="2"/>
  <c r="P167" i="2"/>
  <c r="Q166" i="2"/>
  <c r="P166" i="2"/>
  <c r="Q165" i="2"/>
  <c r="P165" i="2"/>
  <c r="Q164" i="2"/>
  <c r="P164" i="2"/>
  <c r="Q163" i="2"/>
  <c r="P163" i="2"/>
  <c r="Q162" i="2"/>
  <c r="P162" i="2"/>
  <c r="Q161" i="2"/>
  <c r="P161" i="2"/>
  <c r="Q160" i="2"/>
  <c r="P160" i="2"/>
  <c r="Q159" i="2"/>
  <c r="P159" i="2"/>
  <c r="Q158" i="2"/>
  <c r="P158" i="2"/>
  <c r="Q157" i="2"/>
  <c r="P157" i="2"/>
  <c r="Q156" i="2"/>
  <c r="P156" i="2"/>
  <c r="Q155" i="2"/>
  <c r="P155" i="2"/>
  <c r="Q154" i="2"/>
  <c r="P154" i="2"/>
  <c r="Q153" i="2"/>
  <c r="P153" i="2"/>
  <c r="Q152" i="2"/>
  <c r="P152" i="2"/>
  <c r="Q151" i="2"/>
  <c r="P151" i="2"/>
  <c r="Q150" i="2"/>
  <c r="P150" i="2"/>
  <c r="Q149" i="2"/>
  <c r="P149" i="2"/>
  <c r="Q148" i="2"/>
  <c r="P148" i="2"/>
  <c r="Q147" i="2"/>
  <c r="P147" i="2"/>
  <c r="Q146" i="2"/>
  <c r="P146" i="2"/>
  <c r="Q145" i="2"/>
  <c r="P145" i="2"/>
  <c r="Q144" i="2"/>
  <c r="P144" i="2"/>
  <c r="Q143" i="2"/>
  <c r="P143" i="2"/>
  <c r="Q142" i="2"/>
  <c r="P142" i="2"/>
  <c r="Q141" i="2"/>
  <c r="P141" i="2"/>
  <c r="Q140" i="2"/>
  <c r="P140" i="2"/>
  <c r="Q139" i="2"/>
  <c r="P139" i="2"/>
  <c r="Q138" i="2"/>
  <c r="P138" i="2"/>
  <c r="Q137" i="2"/>
  <c r="P137" i="2"/>
  <c r="Q136" i="2"/>
  <c r="P136" i="2"/>
  <c r="Q135" i="2"/>
  <c r="P135" i="2"/>
  <c r="Q134" i="2"/>
  <c r="P134" i="2"/>
  <c r="Q133" i="2"/>
  <c r="P133" i="2"/>
  <c r="Q132" i="2"/>
  <c r="P132" i="2"/>
  <c r="Q131" i="2"/>
  <c r="P131" i="2"/>
  <c r="Q130" i="2"/>
  <c r="P130" i="2"/>
  <c r="Q129" i="2"/>
  <c r="P129" i="2"/>
  <c r="Q128" i="2"/>
  <c r="P128" i="2"/>
  <c r="Q127" i="2"/>
  <c r="P127" i="2"/>
  <c r="Q126" i="2"/>
  <c r="P126" i="2"/>
  <c r="Q125" i="2"/>
  <c r="P125" i="2"/>
  <c r="Q124" i="2"/>
  <c r="P124" i="2"/>
  <c r="Q123" i="2"/>
  <c r="P123" i="2"/>
  <c r="Q122" i="2"/>
  <c r="P122" i="2"/>
  <c r="Q121" i="2"/>
  <c r="P121" i="2"/>
  <c r="Q120" i="2"/>
  <c r="P120" i="2"/>
  <c r="Q119" i="2"/>
  <c r="P119" i="2"/>
  <c r="Q118" i="2"/>
  <c r="P118" i="2"/>
  <c r="Q117" i="2"/>
  <c r="P117" i="2"/>
  <c r="Q116" i="2"/>
  <c r="P116" i="2"/>
  <c r="Q115" i="2"/>
  <c r="P115" i="2"/>
  <c r="Q114" i="2"/>
  <c r="P114" i="2"/>
  <c r="Q113" i="2"/>
  <c r="P113" i="2"/>
  <c r="Q112" i="2"/>
  <c r="P112" i="2"/>
  <c r="Q111" i="2"/>
  <c r="P111" i="2"/>
  <c r="Q110" i="2"/>
  <c r="P110" i="2"/>
  <c r="Q109" i="2"/>
  <c r="P109" i="2"/>
  <c r="Q108" i="2"/>
  <c r="P108" i="2"/>
  <c r="Q107" i="2"/>
  <c r="P107" i="2"/>
  <c r="Q106" i="2"/>
  <c r="P106" i="2"/>
  <c r="Q105" i="2"/>
  <c r="P105" i="2"/>
  <c r="Q104" i="2"/>
  <c r="P104" i="2"/>
  <c r="Q103" i="2"/>
  <c r="P103" i="2"/>
  <c r="Q102" i="2"/>
  <c r="P102" i="2"/>
  <c r="Q101" i="2"/>
  <c r="P101" i="2"/>
  <c r="Q100" i="2"/>
  <c r="P100" i="2"/>
  <c r="Q99" i="2"/>
  <c r="P99" i="2"/>
  <c r="Q98" i="2"/>
  <c r="P98" i="2"/>
  <c r="Q97" i="2"/>
  <c r="P97" i="2"/>
  <c r="Q96" i="2"/>
  <c r="P96" i="2"/>
  <c r="Q95" i="2"/>
  <c r="P95" i="2"/>
  <c r="Q94" i="2"/>
  <c r="P94" i="2"/>
  <c r="Q93" i="2"/>
  <c r="P93" i="2"/>
  <c r="Q92" i="2"/>
  <c r="P92" i="2"/>
  <c r="Q91" i="2"/>
  <c r="P91" i="2"/>
  <c r="Q90" i="2"/>
  <c r="P90" i="2"/>
  <c r="Q89" i="2"/>
  <c r="P89" i="2"/>
  <c r="Q88" i="2"/>
  <c r="P88" i="2"/>
  <c r="Q87" i="2"/>
  <c r="P87" i="2"/>
  <c r="Q86" i="2"/>
  <c r="P86" i="2"/>
  <c r="Q85" i="2"/>
  <c r="P85" i="2"/>
  <c r="Q84" i="2"/>
  <c r="P84" i="2"/>
  <c r="Q83" i="2"/>
  <c r="P83" i="2"/>
  <c r="Q82" i="2"/>
  <c r="P82" i="2"/>
  <c r="Q81" i="2"/>
  <c r="P81" i="2"/>
  <c r="Q80" i="2"/>
  <c r="P80" i="2"/>
  <c r="Q79" i="2"/>
  <c r="P79" i="2"/>
  <c r="Q78" i="2"/>
  <c r="P78" i="2"/>
  <c r="Q77" i="2"/>
  <c r="P77" i="2"/>
  <c r="Q76" i="2"/>
  <c r="P76" i="2"/>
  <c r="Q75" i="2"/>
  <c r="P75" i="2"/>
  <c r="Q74" i="2"/>
  <c r="P74" i="2"/>
  <c r="Q73" i="2"/>
  <c r="P73" i="2"/>
  <c r="Q72" i="2"/>
  <c r="P72" i="2"/>
  <c r="Q70" i="2"/>
  <c r="P70" i="2"/>
  <c r="Q69" i="2"/>
  <c r="P69" i="2"/>
  <c r="Q68" i="2"/>
  <c r="P68" i="2"/>
  <c r="Q67" i="2"/>
  <c r="P67" i="2"/>
  <c r="Q66" i="2"/>
  <c r="P66" i="2"/>
  <c r="Q63" i="2"/>
  <c r="P63" i="2"/>
  <c r="Q62" i="2"/>
  <c r="P62" i="2"/>
  <c r="Q61" i="2"/>
  <c r="P61" i="2"/>
  <c r="Q60" i="2"/>
  <c r="P60" i="2"/>
  <c r="Q58" i="2"/>
  <c r="P58" i="2"/>
  <c r="Q57" i="2"/>
  <c r="P57" i="2"/>
  <c r="Q56" i="2"/>
  <c r="P56" i="2"/>
  <c r="Q55" i="2"/>
  <c r="P55" i="2"/>
  <c r="Q54" i="2"/>
  <c r="P54" i="2"/>
  <c r="Q53" i="2"/>
  <c r="P53" i="2"/>
  <c r="Q52" i="2"/>
  <c r="P52" i="2"/>
  <c r="Q51" i="2"/>
  <c r="P51" i="2"/>
  <c r="Q50" i="2"/>
  <c r="P50" i="2"/>
  <c r="Q49" i="2"/>
  <c r="P49" i="2"/>
  <c r="Q48" i="2"/>
  <c r="P48" i="2"/>
  <c r="Q47" i="2"/>
  <c r="P47" i="2"/>
  <c r="Q46" i="2"/>
  <c r="P46" i="2"/>
  <c r="Q45" i="2"/>
  <c r="P45" i="2"/>
  <c r="Q44" i="2"/>
  <c r="P44" i="2"/>
  <c r="Q43" i="2"/>
  <c r="P43" i="2"/>
  <c r="Q42" i="2"/>
  <c r="P42" i="2"/>
  <c r="Q41" i="2"/>
  <c r="P41" i="2"/>
  <c r="Q40" i="2"/>
  <c r="P40" i="2"/>
  <c r="Q39" i="2"/>
  <c r="P39" i="2"/>
  <c r="Q38" i="2"/>
  <c r="P38" i="2"/>
  <c r="Q37" i="2"/>
  <c r="P37" i="2"/>
  <c r="Q36" i="2"/>
  <c r="P36" i="2"/>
  <c r="Q35" i="2"/>
  <c r="P35" i="2"/>
  <c r="Q34" i="2"/>
  <c r="P34" i="2"/>
  <c r="Q33" i="2"/>
  <c r="P33" i="2"/>
  <c r="Q32" i="2"/>
  <c r="P32" i="2"/>
  <c r="Q31" i="2"/>
  <c r="P31" i="2"/>
  <c r="Q30" i="2"/>
  <c r="P30" i="2"/>
  <c r="Q29" i="2"/>
  <c r="P29" i="2"/>
  <c r="Q28" i="2"/>
  <c r="P28" i="2"/>
  <c r="Q27" i="2"/>
  <c r="P27" i="2"/>
  <c r="Q26" i="2"/>
  <c r="P26" i="2"/>
  <c r="Q25" i="2"/>
  <c r="P25" i="2"/>
  <c r="Q24" i="2"/>
  <c r="P24" i="2"/>
  <c r="Q23" i="2"/>
  <c r="P23" i="2"/>
  <c r="Q22" i="2"/>
  <c r="P22" i="2"/>
  <c r="Q21" i="2"/>
  <c r="P21" i="2"/>
  <c r="Q20" i="2"/>
  <c r="P20" i="2"/>
  <c r="Q19" i="2"/>
  <c r="P19" i="2"/>
  <c r="Q18" i="2"/>
  <c r="P18" i="2"/>
  <c r="Q17" i="2"/>
  <c r="P17" i="2"/>
  <c r="Q16" i="2"/>
  <c r="P16" i="2"/>
  <c r="Q15" i="2"/>
  <c r="P15" i="2"/>
  <c r="Q14" i="2"/>
  <c r="P14" i="2"/>
  <c r="Q13" i="2"/>
  <c r="P13" i="2"/>
  <c r="Q12" i="2"/>
  <c r="P12" i="2"/>
  <c r="Q11" i="2"/>
  <c r="P11" i="2"/>
  <c r="Q10" i="2"/>
  <c r="P10" i="2"/>
  <c r="Q9" i="2"/>
  <c r="P9" i="2"/>
  <c r="L2017" i="2"/>
  <c r="O1975" i="2"/>
  <c r="O1976" i="2" s="1"/>
  <c r="Q1976" i="2" s="1"/>
  <c r="K1975" i="2"/>
  <c r="L1975" i="2" s="1"/>
  <c r="L1974" i="2"/>
  <c r="O1971" i="2"/>
  <c r="P1971" i="2" s="1"/>
  <c r="K1971" i="2"/>
  <c r="K1972" i="2" s="1"/>
  <c r="L1972" i="2" s="1"/>
  <c r="L1970" i="2"/>
  <c r="L1962" i="2"/>
  <c r="L1960" i="2"/>
  <c r="L1957" i="2"/>
  <c r="L1956" i="2"/>
  <c r="L1955" i="2"/>
  <c r="L1953" i="2"/>
  <c r="L1951" i="2"/>
  <c r="L1950" i="2"/>
  <c r="L1949" i="2"/>
  <c r="L1948" i="2"/>
  <c r="L1947" i="2"/>
  <c r="L1946" i="2"/>
  <c r="L1945" i="2"/>
  <c r="L1944" i="2"/>
  <c r="L1943" i="2"/>
  <c r="L1941" i="2"/>
  <c r="L1940" i="2"/>
  <c r="L1939" i="2"/>
  <c r="L1932" i="2"/>
  <c r="L1930" i="2"/>
  <c r="L1928" i="2"/>
  <c r="L1923" i="2"/>
  <c r="L1920" i="2"/>
  <c r="L1916" i="2"/>
  <c r="L1914" i="2"/>
  <c r="L1908" i="2"/>
  <c r="L1903" i="2"/>
  <c r="L1901" i="2"/>
  <c r="L1900" i="2"/>
  <c r="L1899" i="2"/>
  <c r="L1895" i="2"/>
  <c r="L1893" i="2"/>
  <c r="L1892" i="2"/>
  <c r="L1889" i="2"/>
  <c r="L1887" i="2"/>
  <c r="L1886" i="2"/>
  <c r="L1880" i="2"/>
  <c r="L1878" i="2"/>
  <c r="L1877" i="2"/>
  <c r="L1873" i="2"/>
  <c r="L1868" i="2"/>
  <c r="L1865" i="2"/>
  <c r="L1863" i="2"/>
  <c r="L1860" i="2"/>
  <c r="L1857" i="2"/>
  <c r="L1855" i="2"/>
  <c r="L1853" i="2"/>
  <c r="L1851" i="2"/>
  <c r="L1850" i="2"/>
  <c r="L1847" i="2"/>
  <c r="L1836" i="2"/>
  <c r="N1832" i="2"/>
  <c r="Q1832" i="2" s="1"/>
  <c r="M1832" i="2"/>
  <c r="M1833" i="2" s="1"/>
  <c r="P1833" i="2" s="1"/>
  <c r="J1832" i="2"/>
  <c r="J1833" i="2" s="1"/>
  <c r="L1833" i="2" s="1"/>
  <c r="L1831" i="2"/>
  <c r="L1827" i="2"/>
  <c r="L1824" i="2"/>
  <c r="L1821" i="2"/>
  <c r="L1820" i="2"/>
  <c r="L1819" i="2"/>
  <c r="L1799" i="2"/>
  <c r="L1790" i="2"/>
  <c r="L1789" i="2"/>
  <c r="L1788" i="2"/>
  <c r="L1787" i="2"/>
  <c r="L1786" i="2"/>
  <c r="N1777" i="2"/>
  <c r="Q1777" i="2" s="1"/>
  <c r="M1777" i="2"/>
  <c r="P1777" i="2" s="1"/>
  <c r="J1777" i="2"/>
  <c r="L1777" i="2" s="1"/>
  <c r="L1768" i="2"/>
  <c r="L1765" i="2"/>
  <c r="L1752" i="2"/>
  <c r="L1740" i="2"/>
  <c r="L1739" i="2"/>
  <c r="L1738" i="2"/>
  <c r="L1735" i="2"/>
  <c r="L1733" i="2"/>
  <c r="L1732" i="2"/>
  <c r="N1730" i="2"/>
  <c r="Q1730" i="2" s="1"/>
  <c r="M1730" i="2"/>
  <c r="P1730" i="2" s="1"/>
  <c r="J1730" i="2"/>
  <c r="L1730" i="2" s="1"/>
  <c r="N1729" i="2"/>
  <c r="Q1729" i="2" s="1"/>
  <c r="M1729" i="2"/>
  <c r="P1729" i="2" s="1"/>
  <c r="J1729" i="2"/>
  <c r="L1729" i="2" s="1"/>
  <c r="N1721" i="2"/>
  <c r="Q1721" i="2" s="1"/>
  <c r="M1721" i="2"/>
  <c r="P1721" i="2" s="1"/>
  <c r="J1721" i="2"/>
  <c r="L1721" i="2" s="1"/>
  <c r="N1718" i="2"/>
  <c r="Q1718" i="2" s="1"/>
  <c r="M1718" i="2"/>
  <c r="P1718" i="2" s="1"/>
  <c r="J1718" i="2"/>
  <c r="L1718" i="2" s="1"/>
  <c r="L1716" i="2"/>
  <c r="L1715" i="2"/>
  <c r="L1697" i="2"/>
  <c r="N1694" i="2"/>
  <c r="Q1694" i="2" s="1"/>
  <c r="M1694" i="2"/>
  <c r="P1694" i="2" s="1"/>
  <c r="J1694" i="2"/>
  <c r="L1694" i="2" s="1"/>
  <c r="L1675" i="2"/>
  <c r="N1673" i="2"/>
  <c r="Q1673" i="2" s="1"/>
  <c r="M1673" i="2"/>
  <c r="P1673" i="2" s="1"/>
  <c r="J1673" i="2"/>
  <c r="L1673" i="2" s="1"/>
  <c r="L1671" i="2"/>
  <c r="L1662" i="2"/>
  <c r="L1660" i="2"/>
  <c r="L1658" i="2"/>
  <c r="L1656" i="2"/>
  <c r="L1654" i="2"/>
  <c r="L1653" i="2"/>
  <c r="N1652" i="2"/>
  <c r="Q1652" i="2" s="1"/>
  <c r="M1652" i="2"/>
  <c r="P1652" i="2" s="1"/>
  <c r="J1652" i="2"/>
  <c r="L1652" i="2" s="1"/>
  <c r="L1650" i="2"/>
  <c r="O1627" i="2"/>
  <c r="O1628" i="2" s="1"/>
  <c r="Q1628" i="2" s="1"/>
  <c r="K1627" i="2"/>
  <c r="L1627" i="2" s="1"/>
  <c r="L1626" i="2"/>
  <c r="O1623" i="2"/>
  <c r="Q1623" i="2" s="1"/>
  <c r="K1623" i="2"/>
  <c r="L1623" i="2" s="1"/>
  <c r="L1622" i="2"/>
  <c r="O1619" i="2"/>
  <c r="Q1619" i="2" s="1"/>
  <c r="K1619" i="2"/>
  <c r="L1619" i="2" s="1"/>
  <c r="L1618" i="2"/>
  <c r="O1615" i="2"/>
  <c r="Q1615" i="2" s="1"/>
  <c r="K1615" i="2"/>
  <c r="L1615" i="2" s="1"/>
  <c r="L1614" i="2"/>
  <c r="O1611" i="2"/>
  <c r="Q1611" i="2" s="1"/>
  <c r="K1611" i="2"/>
  <c r="K1612" i="2" s="1"/>
  <c r="L1612" i="2" s="1"/>
  <c r="L1610" i="2"/>
  <c r="L1602" i="2"/>
  <c r="L1599" i="2"/>
  <c r="L1598" i="2"/>
  <c r="L1597" i="2"/>
  <c r="L1595" i="2"/>
  <c r="L1593" i="2"/>
  <c r="L1592" i="2"/>
  <c r="L1591" i="2"/>
  <c r="L1590" i="2"/>
  <c r="L1589" i="2"/>
  <c r="L1588" i="2"/>
  <c r="L1587" i="2"/>
  <c r="L1586" i="2"/>
  <c r="L1585" i="2"/>
  <c r="L1583" i="2"/>
  <c r="L1582" i="2"/>
  <c r="L1581" i="2"/>
  <c r="L1571" i="2"/>
  <c r="L1569" i="2"/>
  <c r="L1567" i="2"/>
  <c r="L1560" i="2"/>
  <c r="L1558" i="2"/>
  <c r="L1556" i="2"/>
  <c r="L1555" i="2"/>
  <c r="L1554" i="2"/>
  <c r="L1552" i="2"/>
  <c r="L1551" i="2"/>
  <c r="L1548" i="2"/>
  <c r="L1543" i="2"/>
  <c r="L1540" i="2"/>
  <c r="L1539" i="2"/>
  <c r="L1538" i="2"/>
  <c r="L1534" i="2"/>
  <c r="L1533" i="2"/>
  <c r="L1531" i="2"/>
  <c r="L1530" i="2"/>
  <c r="L1529" i="2"/>
  <c r="L1526" i="2"/>
  <c r="L1524" i="2"/>
  <c r="L1523" i="2"/>
  <c r="L1515" i="2"/>
  <c r="L1512" i="2"/>
  <c r="L1510" i="2"/>
  <c r="L1509" i="2"/>
  <c r="L1508" i="2"/>
  <c r="L1505" i="2"/>
  <c r="L1493" i="2"/>
  <c r="L1492" i="2"/>
  <c r="L1489" i="2"/>
  <c r="L1488" i="2"/>
  <c r="N1485" i="2"/>
  <c r="Q1485" i="2" s="1"/>
  <c r="M1485" i="2"/>
  <c r="P1485" i="2" s="1"/>
  <c r="J1485" i="2"/>
  <c r="L1485" i="2" s="1"/>
  <c r="N1484" i="2"/>
  <c r="Q1484" i="2" s="1"/>
  <c r="M1484" i="2"/>
  <c r="P1484" i="2" s="1"/>
  <c r="J1484" i="2"/>
  <c r="L1484" i="2" s="1"/>
  <c r="N1480" i="2"/>
  <c r="N1481" i="2" s="1"/>
  <c r="Q1481" i="2" s="1"/>
  <c r="M1480" i="2"/>
  <c r="M1481" i="2" s="1"/>
  <c r="P1481" i="2" s="1"/>
  <c r="J1480" i="2"/>
  <c r="J1481" i="2" s="1"/>
  <c r="L1481" i="2" s="1"/>
  <c r="L1460" i="2"/>
  <c r="L1452" i="2"/>
  <c r="L1451" i="2"/>
  <c r="L1450" i="2"/>
  <c r="L1448" i="2"/>
  <c r="L1404" i="2"/>
  <c r="L1401" i="2"/>
  <c r="L1392" i="2"/>
  <c r="L1391" i="2"/>
  <c r="L1388" i="2"/>
  <c r="L1387" i="2"/>
  <c r="L1373" i="2"/>
  <c r="L1371" i="2"/>
  <c r="L1370" i="2"/>
  <c r="L1368" i="2"/>
  <c r="L1367" i="2"/>
  <c r="L1366" i="2"/>
  <c r="L1364" i="2"/>
  <c r="L1363" i="2"/>
  <c r="N1355" i="2"/>
  <c r="Q1355" i="2" s="1"/>
  <c r="M1355" i="2"/>
  <c r="P1355" i="2" s="1"/>
  <c r="J1355" i="2"/>
  <c r="L1355" i="2" s="1"/>
  <c r="L1353" i="2"/>
  <c r="N1342" i="2"/>
  <c r="Q1342" i="2" s="1"/>
  <c r="M1342" i="2"/>
  <c r="P1342" i="2" s="1"/>
  <c r="J1342" i="2"/>
  <c r="L1342" i="2" s="1"/>
  <c r="L1339" i="2"/>
  <c r="L1337" i="2"/>
  <c r="L1336" i="2"/>
  <c r="L1318" i="2"/>
  <c r="L1315" i="2"/>
  <c r="L1314" i="2"/>
  <c r="L1313" i="2"/>
  <c r="L1294" i="2"/>
  <c r="L1292" i="2"/>
  <c r="L1280" i="2"/>
  <c r="L1279" i="2"/>
  <c r="L1276" i="2"/>
  <c r="L1275" i="2"/>
  <c r="L1271" i="2"/>
  <c r="L1269" i="2"/>
  <c r="L1267" i="2"/>
  <c r="L1265" i="2"/>
  <c r="L1264" i="2"/>
  <c r="L1261" i="2"/>
  <c r="L1243" i="2"/>
  <c r="L1242" i="2"/>
  <c r="L1240" i="2"/>
  <c r="L1237" i="2"/>
  <c r="L1235" i="2"/>
  <c r="L1234" i="2"/>
  <c r="L1233" i="2"/>
  <c r="L1231" i="2"/>
  <c r="L1228" i="2"/>
  <c r="L1226" i="2"/>
  <c r="L1223" i="2"/>
  <c r="L1206" i="2"/>
  <c r="N1203" i="2"/>
  <c r="Q1203" i="2" s="1"/>
  <c r="M1203" i="2"/>
  <c r="P1203" i="2" s="1"/>
  <c r="J1203" i="2"/>
  <c r="L1203" i="2" s="1"/>
  <c r="L1201" i="2"/>
  <c r="L1200" i="2"/>
  <c r="N1197" i="2"/>
  <c r="Q1197" i="2" s="1"/>
  <c r="M1197" i="2"/>
  <c r="P1197" i="2" s="1"/>
  <c r="J1197" i="2"/>
  <c r="L1197" i="2" s="1"/>
  <c r="N1196" i="2"/>
  <c r="Q1196" i="2" s="1"/>
  <c r="M1196" i="2"/>
  <c r="P1196" i="2" s="1"/>
  <c r="J1196" i="2"/>
  <c r="L1196" i="2" s="1"/>
  <c r="L1194" i="2"/>
  <c r="N1191" i="2"/>
  <c r="Q1191" i="2" s="1"/>
  <c r="M1191" i="2"/>
  <c r="P1191" i="2" s="1"/>
  <c r="J1191" i="2"/>
  <c r="L1191" i="2" s="1"/>
  <c r="L1190" i="2"/>
  <c r="L1178" i="2"/>
  <c r="L1176" i="2"/>
  <c r="L1174" i="2"/>
  <c r="L1172" i="2"/>
  <c r="L1170" i="2"/>
  <c r="O1147" i="2"/>
  <c r="O1148" i="2" s="1"/>
  <c r="Q1148" i="2" s="1"/>
  <c r="K1147" i="2"/>
  <c r="L1147" i="2" s="1"/>
  <c r="L1146" i="2"/>
  <c r="O1143" i="2"/>
  <c r="O1144" i="2" s="1"/>
  <c r="Q1144" i="2" s="1"/>
  <c r="K1143" i="2"/>
  <c r="K1144" i="2" s="1"/>
  <c r="L1144" i="2" s="1"/>
  <c r="L1142" i="2"/>
  <c r="O1139" i="2"/>
  <c r="Q1139" i="2" s="1"/>
  <c r="K1139" i="2"/>
  <c r="K1140" i="2" s="1"/>
  <c r="L1140" i="2" s="1"/>
  <c r="L1138" i="2"/>
  <c r="O1135" i="2"/>
  <c r="O1136" i="2" s="1"/>
  <c r="Q1136" i="2" s="1"/>
  <c r="K1135" i="2"/>
  <c r="L1135" i="2" s="1"/>
  <c r="L1134" i="2"/>
  <c r="O1131" i="2"/>
  <c r="O1132" i="2" s="1"/>
  <c r="P1132" i="2" s="1"/>
  <c r="K1131" i="2"/>
  <c r="L1131" i="2" s="1"/>
  <c r="L1130" i="2"/>
  <c r="L1122" i="2"/>
  <c r="L1119" i="2"/>
  <c r="L1118" i="2"/>
  <c r="L1117" i="2"/>
  <c r="L1115" i="2"/>
  <c r="L1113" i="2"/>
  <c r="L1112" i="2"/>
  <c r="L1111" i="2"/>
  <c r="L1110" i="2"/>
  <c r="L1109" i="2"/>
  <c r="L1108" i="2"/>
  <c r="L1107" i="2"/>
  <c r="L1106" i="2"/>
  <c r="L1105" i="2"/>
  <c r="L1103" i="2"/>
  <c r="L1102" i="2"/>
  <c r="L1101" i="2"/>
  <c r="L1091" i="2"/>
  <c r="L1089" i="2"/>
  <c r="L1087" i="2"/>
  <c r="L1085" i="2"/>
  <c r="L1078" i="2"/>
  <c r="L1075" i="2"/>
  <c r="L1073" i="2"/>
  <c r="L1071" i="2"/>
  <c r="L1069" i="2"/>
  <c r="L1068" i="2"/>
  <c r="L1059" i="2"/>
  <c r="L1058" i="2"/>
  <c r="L1048" i="2"/>
  <c r="L1045" i="2"/>
  <c r="L1044" i="2"/>
  <c r="L1042" i="2"/>
  <c r="L1041" i="2"/>
  <c r="L1040" i="2"/>
  <c r="L1036" i="2"/>
  <c r="L1035" i="2"/>
  <c r="L1033" i="2"/>
  <c r="L1026" i="2"/>
  <c r="L1023" i="2"/>
  <c r="L1022" i="2"/>
  <c r="L1021" i="2"/>
  <c r="L1017" i="2"/>
  <c r="L1016" i="2"/>
  <c r="L1014" i="2"/>
  <c r="L1013" i="2"/>
  <c r="L1012" i="2"/>
  <c r="L1009" i="2"/>
  <c r="L1007" i="2"/>
  <c r="L1006" i="2"/>
  <c r="L998" i="2"/>
  <c r="L995" i="2"/>
  <c r="L993" i="2"/>
  <c r="L992" i="2"/>
  <c r="L991" i="2"/>
  <c r="L988" i="2"/>
  <c r="L976" i="2"/>
  <c r="L975" i="2"/>
  <c r="L972" i="2"/>
  <c r="L971" i="2"/>
  <c r="L968" i="2"/>
  <c r="N967" i="2"/>
  <c r="Q967" i="2" s="1"/>
  <c r="M967" i="2"/>
  <c r="P967" i="2" s="1"/>
  <c r="J967" i="2"/>
  <c r="L967" i="2" s="1"/>
  <c r="N966" i="2"/>
  <c r="Q966" i="2" s="1"/>
  <c r="M966" i="2"/>
  <c r="P966" i="2" s="1"/>
  <c r="J966" i="2"/>
  <c r="L966" i="2" s="1"/>
  <c r="L963" i="2"/>
  <c r="N959" i="2"/>
  <c r="N960" i="2" s="1"/>
  <c r="Q960" i="2" s="1"/>
  <c r="M959" i="2"/>
  <c r="M960" i="2" s="1"/>
  <c r="P960" i="2" s="1"/>
  <c r="J959" i="2"/>
  <c r="J960" i="2" s="1"/>
  <c r="L960" i="2" s="1"/>
  <c r="L939" i="2"/>
  <c r="L938" i="2"/>
  <c r="L937" i="2"/>
  <c r="L936" i="2"/>
  <c r="L928" i="2"/>
  <c r="N927" i="2"/>
  <c r="Q927" i="2" s="1"/>
  <c r="M927" i="2"/>
  <c r="P927" i="2" s="1"/>
  <c r="J927" i="2"/>
  <c r="L927" i="2" s="1"/>
  <c r="L926" i="2"/>
  <c r="L925" i="2"/>
  <c r="L924" i="2"/>
  <c r="L921" i="2"/>
  <c r="L919" i="2"/>
  <c r="L917" i="2"/>
  <c r="L916" i="2"/>
  <c r="L915" i="2"/>
  <c r="L913" i="2"/>
  <c r="L869" i="2"/>
  <c r="L866" i="2"/>
  <c r="L857" i="2"/>
  <c r="L854" i="2"/>
  <c r="L853" i="2"/>
  <c r="L850" i="2"/>
  <c r="L848" i="2"/>
  <c r="L847" i="2"/>
  <c r="L846" i="2"/>
  <c r="L845" i="2"/>
  <c r="L844" i="2"/>
  <c r="L843" i="2"/>
  <c r="L842" i="2"/>
  <c r="L841" i="2"/>
  <c r="L840" i="2"/>
  <c r="L837" i="2"/>
  <c r="L836" i="2"/>
  <c r="L822" i="2"/>
  <c r="L810" i="2"/>
  <c r="L807" i="2"/>
  <c r="L804" i="2"/>
  <c r="L802" i="2"/>
  <c r="L800" i="2"/>
  <c r="L799" i="2"/>
  <c r="L797" i="2"/>
  <c r="L796" i="2"/>
  <c r="L795" i="2"/>
  <c r="L793" i="2"/>
  <c r="N792" i="2"/>
  <c r="Q792" i="2" s="1"/>
  <c r="M792" i="2"/>
  <c r="P792" i="2" s="1"/>
  <c r="J792" i="2"/>
  <c r="L792" i="2" s="1"/>
  <c r="N784" i="2"/>
  <c r="Q784" i="2" s="1"/>
  <c r="M784" i="2"/>
  <c r="P784" i="2" s="1"/>
  <c r="J784" i="2"/>
  <c r="L784" i="2" s="1"/>
  <c r="L782" i="2"/>
  <c r="N771" i="2"/>
  <c r="Q771" i="2" s="1"/>
  <c r="M771" i="2"/>
  <c r="P771" i="2" s="1"/>
  <c r="J771" i="2"/>
  <c r="L771" i="2" s="1"/>
  <c r="L768" i="2"/>
  <c r="L766" i="2"/>
  <c r="L765" i="2"/>
  <c r="L747" i="2"/>
  <c r="L745" i="2"/>
  <c r="L742" i="2"/>
  <c r="L741" i="2"/>
  <c r="L740" i="2"/>
  <c r="L737" i="2"/>
  <c r="L718" i="2"/>
  <c r="L716" i="2"/>
  <c r="L714" i="2"/>
  <c r="L706" i="2"/>
  <c r="L705" i="2"/>
  <c r="L703" i="2"/>
  <c r="L691" i="2"/>
  <c r="L690" i="2"/>
  <c r="L689" i="2"/>
  <c r="L686" i="2"/>
  <c r="L685" i="2"/>
  <c r="L684" i="2"/>
  <c r="L680" i="2"/>
  <c r="L678" i="2"/>
  <c r="L676" i="2"/>
  <c r="L674" i="2"/>
  <c r="L673" i="2"/>
  <c r="L672" i="2"/>
  <c r="L671" i="2"/>
  <c r="L670" i="2"/>
  <c r="L667" i="2"/>
  <c r="L666" i="2"/>
  <c r="L665" i="2"/>
  <c r="L664" i="2"/>
  <c r="L646" i="2"/>
  <c r="L645" i="2"/>
  <c r="L643" i="2"/>
  <c r="L642" i="2"/>
  <c r="L641" i="2"/>
  <c r="L638" i="2"/>
  <c r="L636" i="2"/>
  <c r="L635" i="2"/>
  <c r="L634" i="2"/>
  <c r="L633" i="2"/>
  <c r="L632" i="2"/>
  <c r="L630" i="2"/>
  <c r="L627" i="2"/>
  <c r="L626" i="2"/>
  <c r="L625" i="2"/>
  <c r="L623" i="2"/>
  <c r="L621" i="2"/>
  <c r="L616" i="2"/>
  <c r="L599" i="2"/>
  <c r="N596" i="2"/>
  <c r="Q596" i="2" s="1"/>
  <c r="M596" i="2"/>
  <c r="P596" i="2" s="1"/>
  <c r="J596" i="2"/>
  <c r="L596" i="2" s="1"/>
  <c r="L594" i="2"/>
  <c r="L593" i="2"/>
  <c r="N590" i="2"/>
  <c r="Q590" i="2" s="1"/>
  <c r="M590" i="2"/>
  <c r="P590" i="2" s="1"/>
  <c r="J590" i="2"/>
  <c r="L590" i="2" s="1"/>
  <c r="N589" i="2"/>
  <c r="Q589" i="2" s="1"/>
  <c r="M589" i="2"/>
  <c r="P589" i="2" s="1"/>
  <c r="J589" i="2"/>
  <c r="L589" i="2" s="1"/>
  <c r="L587" i="2"/>
  <c r="N584" i="2"/>
  <c r="Q584" i="2" s="1"/>
  <c r="M584" i="2"/>
  <c r="P584" i="2" s="1"/>
  <c r="J584" i="2"/>
  <c r="L584" i="2" s="1"/>
  <c r="L583" i="2"/>
  <c r="O570" i="2"/>
  <c r="Q570" i="2" s="1"/>
  <c r="K570" i="2"/>
  <c r="L570" i="2" s="1"/>
  <c r="L569" i="2"/>
  <c r="O566" i="2"/>
  <c r="Q566" i="2" s="1"/>
  <c r="K566" i="2"/>
  <c r="L566" i="2" s="1"/>
  <c r="L565" i="2"/>
  <c r="O562" i="2"/>
  <c r="P562" i="2" s="1"/>
  <c r="K562" i="2"/>
  <c r="K563" i="2" s="1"/>
  <c r="L563" i="2" s="1"/>
  <c r="L561" i="2"/>
  <c r="L553" i="2"/>
  <c r="L550" i="2"/>
  <c r="L549" i="2"/>
  <c r="L548" i="2"/>
  <c r="L546" i="2"/>
  <c r="L544" i="2"/>
  <c r="L543" i="2"/>
  <c r="L542" i="2"/>
  <c r="L541" i="2"/>
  <c r="L540" i="2"/>
  <c r="L539" i="2"/>
  <c r="L538" i="2"/>
  <c r="L537" i="2"/>
  <c r="L536" i="2"/>
  <c r="L534" i="2"/>
  <c r="L533" i="2"/>
  <c r="L532" i="2"/>
  <c r="L525" i="2"/>
  <c r="L523" i="2"/>
  <c r="L521" i="2"/>
  <c r="L516" i="2"/>
  <c r="L513" i="2"/>
  <c r="L512" i="2"/>
  <c r="L511" i="2"/>
  <c r="L510" i="2"/>
  <c r="L509" i="2"/>
  <c r="L507" i="2"/>
  <c r="L506" i="2"/>
  <c r="L505" i="2"/>
  <c r="L501" i="2"/>
  <c r="L496" i="2"/>
  <c r="L494" i="2"/>
  <c r="L493" i="2"/>
  <c r="L492" i="2"/>
  <c r="L488" i="2"/>
  <c r="L486" i="2"/>
  <c r="L485" i="2"/>
  <c r="L482" i="2"/>
  <c r="L480" i="2"/>
  <c r="L479" i="2"/>
  <c r="L473" i="2"/>
  <c r="L471" i="2"/>
  <c r="L470" i="2"/>
  <c r="L466" i="2"/>
  <c r="L461" i="2"/>
  <c r="L458" i="2"/>
  <c r="L456" i="2"/>
  <c r="L454" i="2"/>
  <c r="L451" i="2"/>
  <c r="L449" i="2"/>
  <c r="L447" i="2"/>
  <c r="L445" i="2"/>
  <c r="L444" i="2"/>
  <c r="L443" i="2"/>
  <c r="L442" i="2"/>
  <c r="L440" i="2"/>
  <c r="L429" i="2"/>
  <c r="L428" i="2"/>
  <c r="L425" i="2"/>
  <c r="L424" i="2"/>
  <c r="L421" i="2"/>
  <c r="N420" i="2"/>
  <c r="Q420" i="2" s="1"/>
  <c r="M420" i="2"/>
  <c r="P420" i="2" s="1"/>
  <c r="J420" i="2"/>
  <c r="L420" i="2" s="1"/>
  <c r="N419" i="2"/>
  <c r="Q419" i="2" s="1"/>
  <c r="M419" i="2"/>
  <c r="P419" i="2" s="1"/>
  <c r="J419" i="2"/>
  <c r="L419" i="2" s="1"/>
  <c r="L416" i="2"/>
  <c r="L395" i="2"/>
  <c r="L386" i="2"/>
  <c r="N385" i="2"/>
  <c r="Q385" i="2" s="1"/>
  <c r="M385" i="2"/>
  <c r="P385" i="2" s="1"/>
  <c r="J385" i="2"/>
  <c r="L385" i="2" s="1"/>
  <c r="L384" i="2"/>
  <c r="L383" i="2"/>
  <c r="L382" i="2"/>
  <c r="L339" i="2"/>
  <c r="N336" i="2"/>
  <c r="N337" i="2" s="1"/>
  <c r="Q337" i="2" s="1"/>
  <c r="M336" i="2"/>
  <c r="M337" i="2" s="1"/>
  <c r="P337" i="2" s="1"/>
  <c r="J336" i="2"/>
  <c r="J337" i="2" s="1"/>
  <c r="L337" i="2" s="1"/>
  <c r="L333" i="2"/>
  <c r="L324" i="2"/>
  <c r="L321" i="2"/>
  <c r="L319" i="2"/>
  <c r="L318" i="2"/>
  <c r="L315" i="2"/>
  <c r="L301" i="2"/>
  <c r="L289" i="2"/>
  <c r="L286" i="2"/>
  <c r="L284" i="2"/>
  <c r="L283" i="2"/>
  <c r="L280" i="2"/>
  <c r="L278" i="2"/>
  <c r="L277" i="2"/>
  <c r="L275" i="2"/>
  <c r="L274" i="2"/>
  <c r="L273" i="2"/>
  <c r="L271" i="2"/>
  <c r="L270" i="2"/>
  <c r="N262" i="2"/>
  <c r="Q262" i="2" s="1"/>
  <c r="M262" i="2"/>
  <c r="P262" i="2" s="1"/>
  <c r="J262" i="2"/>
  <c r="L262" i="2" s="1"/>
  <c r="L260" i="2"/>
  <c r="N249" i="2"/>
  <c r="Q249" i="2" s="1"/>
  <c r="M249" i="2"/>
  <c r="P249" i="2" s="1"/>
  <c r="J249" i="2"/>
  <c r="L249" i="2" s="1"/>
  <c r="L246" i="2"/>
  <c r="L244" i="2"/>
  <c r="L243" i="2"/>
  <c r="L225" i="2"/>
  <c r="L224" i="2"/>
  <c r="L222" i="2"/>
  <c r="L221" i="2"/>
  <c r="L220" i="2"/>
  <c r="L219" i="2"/>
  <c r="L216" i="2"/>
  <c r="L213" i="2"/>
  <c r="L212" i="2"/>
  <c r="L209" i="2"/>
  <c r="L190" i="2"/>
  <c r="L188" i="2"/>
  <c r="L185" i="2"/>
  <c r="L177" i="2"/>
  <c r="L176" i="2"/>
  <c r="L174" i="2"/>
  <c r="L162" i="2"/>
  <c r="L161" i="2"/>
  <c r="L158" i="2"/>
  <c r="L157" i="2"/>
  <c r="L156" i="2"/>
  <c r="L152" i="2"/>
  <c r="L150" i="2"/>
  <c r="L148" i="2"/>
  <c r="L146" i="2"/>
  <c r="L145" i="2"/>
  <c r="L144" i="2"/>
  <c r="L143" i="2"/>
  <c r="L140" i="2"/>
  <c r="L139" i="2"/>
  <c r="L138" i="2"/>
  <c r="L120" i="2"/>
  <c r="L119" i="2"/>
  <c r="L117" i="2"/>
  <c r="L116" i="2"/>
  <c r="L115" i="2"/>
  <c r="L112" i="2"/>
  <c r="L110" i="2"/>
  <c r="L109" i="2"/>
  <c r="L108" i="2"/>
  <c r="L107" i="2"/>
  <c r="L105" i="2"/>
  <c r="L102" i="2"/>
  <c r="L101" i="2"/>
  <c r="L100" i="2"/>
  <c r="L98" i="2"/>
  <c r="L96" i="2"/>
  <c r="L91" i="2"/>
  <c r="H76" i="2"/>
  <c r="L74" i="2"/>
  <c r="N71" i="2"/>
  <c r="Q71" i="2" s="1"/>
  <c r="M71" i="2"/>
  <c r="P71" i="2" s="1"/>
  <c r="J71" i="2"/>
  <c r="L71" i="2" s="1"/>
  <c r="L69" i="2"/>
  <c r="L68" i="2"/>
  <c r="N65" i="2"/>
  <c r="Q65" i="2" s="1"/>
  <c r="M65" i="2"/>
  <c r="P65" i="2" s="1"/>
  <c r="J65" i="2"/>
  <c r="L65" i="2" s="1"/>
  <c r="N64" i="2"/>
  <c r="Q64" i="2" s="1"/>
  <c r="M64" i="2"/>
  <c r="P64" i="2" s="1"/>
  <c r="J64" i="2"/>
  <c r="L64" i="2" s="1"/>
  <c r="L62" i="2"/>
  <c r="N59" i="2"/>
  <c r="Q59" i="2" s="1"/>
  <c r="M59" i="2"/>
  <c r="P59" i="2" s="1"/>
  <c r="J59" i="2"/>
  <c r="L59" i="2" s="1"/>
  <c r="L58" i="2"/>
  <c r="L46" i="2"/>
  <c r="L45" i="2"/>
  <c r="L44" i="2"/>
  <c r="L43" i="2"/>
  <c r="L42" i="2"/>
  <c r="L41" i="2"/>
  <c r="L40" i="2"/>
  <c r="L39" i="2"/>
  <c r="L38" i="2"/>
  <c r="L37" i="2"/>
  <c r="L36" i="2"/>
  <c r="L35" i="2"/>
  <c r="L34" i="2"/>
  <c r="L33" i="2"/>
  <c r="L30" i="2"/>
  <c r="L22" i="2"/>
  <c r="L21" i="2"/>
  <c r="L20" i="2"/>
  <c r="L19" i="2"/>
  <c r="L18" i="2"/>
  <c r="L17" i="2"/>
  <c r="L16" i="2"/>
  <c r="L15" i="2"/>
  <c r="L14" i="2"/>
  <c r="L13" i="2"/>
  <c r="L12" i="2"/>
  <c r="L11" i="2"/>
  <c r="L9" i="2"/>
  <c r="J2017" i="1"/>
  <c r="I1975" i="1"/>
  <c r="J1975" i="1" s="1"/>
  <c r="J1974" i="1"/>
  <c r="I1971" i="1"/>
  <c r="I1972" i="1" s="1"/>
  <c r="J1972" i="1" s="1"/>
  <c r="J1970" i="1"/>
  <c r="J1962" i="1"/>
  <c r="J1960" i="1"/>
  <c r="J1957" i="1"/>
  <c r="J1956" i="1"/>
  <c r="J1955" i="1"/>
  <c r="J1953" i="1"/>
  <c r="J1951" i="1"/>
  <c r="J1950" i="1"/>
  <c r="J1949" i="1"/>
  <c r="J1948" i="1"/>
  <c r="J1947" i="1"/>
  <c r="J1946" i="1"/>
  <c r="J1945" i="1"/>
  <c r="J1944" i="1"/>
  <c r="J1943" i="1"/>
  <c r="J1941" i="1"/>
  <c r="J1940" i="1"/>
  <c r="J1939" i="1"/>
  <c r="J1932" i="1"/>
  <c r="J1930" i="1"/>
  <c r="J1928" i="1"/>
  <c r="J1923" i="1"/>
  <c r="J1920" i="1"/>
  <c r="J1916" i="1"/>
  <c r="J1914" i="1"/>
  <c r="J1908" i="1"/>
  <c r="J1903" i="1"/>
  <c r="J1901" i="1"/>
  <c r="J1900" i="1"/>
  <c r="J1899" i="1"/>
  <c r="J1895" i="1"/>
  <c r="J1893" i="1"/>
  <c r="J1892" i="1"/>
  <c r="J1889" i="1"/>
  <c r="J1887" i="1"/>
  <c r="J1886" i="1"/>
  <c r="J1880" i="1"/>
  <c r="J1878" i="1"/>
  <c r="J1877" i="1"/>
  <c r="J1873" i="1"/>
  <c r="J1868" i="1"/>
  <c r="J1865" i="1"/>
  <c r="J1863" i="1"/>
  <c r="J1860" i="1"/>
  <c r="J1857" i="1"/>
  <c r="J1855" i="1"/>
  <c r="J1853" i="1"/>
  <c r="J1851" i="1"/>
  <c r="J1850" i="1"/>
  <c r="J1847" i="1"/>
  <c r="J1836" i="1"/>
  <c r="H1832" i="1"/>
  <c r="J1832" i="1" s="1"/>
  <c r="J1831" i="1"/>
  <c r="J1827" i="1"/>
  <c r="J1824" i="1"/>
  <c r="J1821" i="1"/>
  <c r="J1820" i="1"/>
  <c r="J1819" i="1"/>
  <c r="J1799" i="1"/>
  <c r="J1790" i="1"/>
  <c r="J1789" i="1"/>
  <c r="J1788" i="1"/>
  <c r="J1787" i="1"/>
  <c r="J1786" i="1"/>
  <c r="H1777" i="1"/>
  <c r="J1777" i="1" s="1"/>
  <c r="J1768" i="1"/>
  <c r="J1765" i="1"/>
  <c r="J1752" i="1"/>
  <c r="J1740" i="1"/>
  <c r="J1739" i="1"/>
  <c r="J1738" i="1"/>
  <c r="J1735" i="1"/>
  <c r="J1733" i="1"/>
  <c r="J1732" i="1"/>
  <c r="H1730" i="1"/>
  <c r="J1730" i="1" s="1"/>
  <c r="H1729" i="1"/>
  <c r="J1729" i="1" s="1"/>
  <c r="H1721" i="1"/>
  <c r="J1721" i="1" s="1"/>
  <c r="H1718" i="1"/>
  <c r="J1718" i="1" s="1"/>
  <c r="J1716" i="1"/>
  <c r="J1715" i="1"/>
  <c r="J1697" i="1"/>
  <c r="H1694" i="1"/>
  <c r="J1694" i="1" s="1"/>
  <c r="J1675" i="1"/>
  <c r="H1673" i="1"/>
  <c r="J1673" i="1" s="1"/>
  <c r="J1671" i="1"/>
  <c r="J1662" i="1"/>
  <c r="J1660" i="1"/>
  <c r="J1658" i="1"/>
  <c r="J1656" i="1"/>
  <c r="J1654" i="1"/>
  <c r="J1653" i="1"/>
  <c r="H1652" i="1"/>
  <c r="J1652" i="1" s="1"/>
  <c r="J1650" i="1"/>
  <c r="I1627" i="1"/>
  <c r="J1626" i="1"/>
  <c r="I1623" i="1"/>
  <c r="I1624" i="1" s="1"/>
  <c r="J1624" i="1" s="1"/>
  <c r="J1622" i="1"/>
  <c r="I1619" i="1"/>
  <c r="J1619" i="1" s="1"/>
  <c r="J1618" i="1"/>
  <c r="I1615" i="1"/>
  <c r="J1615" i="1" s="1"/>
  <c r="J1614" i="1"/>
  <c r="I1611" i="1"/>
  <c r="I1612" i="1" s="1"/>
  <c r="J1612" i="1" s="1"/>
  <c r="J1610" i="1"/>
  <c r="J1602" i="1"/>
  <c r="J1599" i="1"/>
  <c r="J1598" i="1"/>
  <c r="J1597" i="1"/>
  <c r="J1595" i="1"/>
  <c r="J1593" i="1"/>
  <c r="J1592" i="1"/>
  <c r="J1591" i="1"/>
  <c r="J1590" i="1"/>
  <c r="J1589" i="1"/>
  <c r="J1588" i="1"/>
  <c r="J1587" i="1"/>
  <c r="J1586" i="1"/>
  <c r="J1585" i="1"/>
  <c r="J1583" i="1"/>
  <c r="J1582" i="1"/>
  <c r="J1581" i="1"/>
  <c r="J1571" i="1"/>
  <c r="J1569" i="1"/>
  <c r="J1567" i="1"/>
  <c r="J1560" i="1"/>
  <c r="J1558" i="1"/>
  <c r="J1556" i="1"/>
  <c r="J1555" i="1"/>
  <c r="J1554" i="1"/>
  <c r="J1552" i="1"/>
  <c r="J1551" i="1"/>
  <c r="J1548" i="1"/>
  <c r="J1543" i="1"/>
  <c r="J1540" i="1"/>
  <c r="J1539" i="1"/>
  <c r="J1538" i="1"/>
  <c r="J1534" i="1"/>
  <c r="J1533" i="1"/>
  <c r="J1531" i="1"/>
  <c r="J1530" i="1"/>
  <c r="J1529" i="1"/>
  <c r="J1526" i="1"/>
  <c r="J1524" i="1"/>
  <c r="J1523" i="1"/>
  <c r="J1515" i="1"/>
  <c r="J1512" i="1"/>
  <c r="J1510" i="1"/>
  <c r="J1509" i="1"/>
  <c r="J1508" i="1"/>
  <c r="J1505" i="1"/>
  <c r="J1493" i="1"/>
  <c r="J1492" i="1"/>
  <c r="J1489" i="1"/>
  <c r="J1488" i="1"/>
  <c r="H1485" i="1"/>
  <c r="J1485" i="1" s="1"/>
  <c r="H1484" i="1"/>
  <c r="J1484" i="1" s="1"/>
  <c r="H1480" i="1"/>
  <c r="J1480" i="1" s="1"/>
  <c r="J1460" i="1"/>
  <c r="J1452" i="1"/>
  <c r="J1451" i="1"/>
  <c r="J1450" i="1"/>
  <c r="J1448" i="1"/>
  <c r="J1404" i="1"/>
  <c r="J1401" i="1"/>
  <c r="J1392" i="1"/>
  <c r="J1391" i="1"/>
  <c r="J1388" i="1"/>
  <c r="J1387" i="1"/>
  <c r="J1373" i="1"/>
  <c r="J1371" i="1"/>
  <c r="J1370" i="1"/>
  <c r="J1368" i="1"/>
  <c r="J1367" i="1"/>
  <c r="J1366" i="1"/>
  <c r="J1364" i="1"/>
  <c r="J1363" i="1"/>
  <c r="H1355" i="1"/>
  <c r="J1355" i="1" s="1"/>
  <c r="J1353" i="1"/>
  <c r="H1342" i="1"/>
  <c r="J1342" i="1" s="1"/>
  <c r="J1339" i="1"/>
  <c r="J1337" i="1"/>
  <c r="J1336" i="1"/>
  <c r="J1318" i="1"/>
  <c r="J1315" i="1"/>
  <c r="J1314" i="1"/>
  <c r="J1313" i="1"/>
  <c r="J1294" i="1"/>
  <c r="J1292" i="1"/>
  <c r="J1280" i="1"/>
  <c r="J1279" i="1"/>
  <c r="J1276" i="1"/>
  <c r="J1275" i="1"/>
  <c r="J1271" i="1"/>
  <c r="J1269" i="1"/>
  <c r="J1267" i="1"/>
  <c r="J1265" i="1"/>
  <c r="J1264" i="1"/>
  <c r="J1261" i="1"/>
  <c r="J1243" i="1"/>
  <c r="J1242" i="1"/>
  <c r="J1240" i="1"/>
  <c r="J1237" i="1"/>
  <c r="J1235" i="1"/>
  <c r="J1234" i="1"/>
  <c r="J1233" i="1"/>
  <c r="J1231" i="1"/>
  <c r="J1228" i="1"/>
  <c r="J1226" i="1"/>
  <c r="J1223" i="1"/>
  <c r="J1206" i="1"/>
  <c r="H1203" i="1"/>
  <c r="J1203" i="1" s="1"/>
  <c r="J1201" i="1"/>
  <c r="J1200" i="1"/>
  <c r="H1197" i="1"/>
  <c r="J1197" i="1" s="1"/>
  <c r="H1196" i="1"/>
  <c r="J1196" i="1" s="1"/>
  <c r="J1194" i="1"/>
  <c r="H1191" i="1"/>
  <c r="J1191" i="1" s="1"/>
  <c r="J1190" i="1"/>
  <c r="J1178" i="1"/>
  <c r="J1176" i="1"/>
  <c r="J1174" i="1"/>
  <c r="J1172" i="1"/>
  <c r="J1170" i="1"/>
  <c r="I1147" i="1"/>
  <c r="J1147" i="1" s="1"/>
  <c r="J1146" i="1"/>
  <c r="I1143" i="1"/>
  <c r="J1143" i="1" s="1"/>
  <c r="J1142" i="1"/>
  <c r="I1139" i="1"/>
  <c r="I1140" i="1" s="1"/>
  <c r="J1140" i="1" s="1"/>
  <c r="J1138" i="1"/>
  <c r="I1135" i="1"/>
  <c r="I1136" i="1" s="1"/>
  <c r="J1136" i="1" s="1"/>
  <c r="J1134" i="1"/>
  <c r="I1131" i="1"/>
  <c r="I1132" i="1" s="1"/>
  <c r="J1132" i="1" s="1"/>
  <c r="J1130" i="1"/>
  <c r="J1122" i="1"/>
  <c r="J1119" i="1"/>
  <c r="J1118" i="1"/>
  <c r="J1117" i="1"/>
  <c r="J1115" i="1"/>
  <c r="J1113" i="1"/>
  <c r="J1112" i="1"/>
  <c r="J1111" i="1"/>
  <c r="J1110" i="1"/>
  <c r="J1109" i="1"/>
  <c r="J1108" i="1"/>
  <c r="J1107" i="1"/>
  <c r="J1106" i="1"/>
  <c r="J1105" i="1"/>
  <c r="J1103" i="1"/>
  <c r="J1102" i="1"/>
  <c r="J1101" i="1"/>
  <c r="J1091" i="1"/>
  <c r="J1089" i="1"/>
  <c r="J1087" i="1"/>
  <c r="J1085" i="1"/>
  <c r="J1078" i="1"/>
  <c r="J1075" i="1"/>
  <c r="J1073" i="1"/>
  <c r="J1071" i="1"/>
  <c r="J1069" i="1"/>
  <c r="J1068" i="1"/>
  <c r="J1059" i="1"/>
  <c r="J1058" i="1"/>
  <c r="J1048" i="1"/>
  <c r="J1045" i="1"/>
  <c r="J1044" i="1"/>
  <c r="J1042" i="1"/>
  <c r="J1041" i="1"/>
  <c r="J1040" i="1"/>
  <c r="J1036" i="1"/>
  <c r="J1035" i="1"/>
  <c r="J1033" i="1"/>
  <c r="J1026" i="1"/>
  <c r="J1023" i="1"/>
  <c r="J1022" i="1"/>
  <c r="J1021" i="1"/>
  <c r="J1017" i="1"/>
  <c r="J1016" i="1"/>
  <c r="J1014" i="1"/>
  <c r="J1013" i="1"/>
  <c r="J1012" i="1"/>
  <c r="J1009" i="1"/>
  <c r="J1007" i="1"/>
  <c r="J1006" i="1"/>
  <c r="J998" i="1"/>
  <c r="J995" i="1"/>
  <c r="J993" i="1"/>
  <c r="J992" i="1"/>
  <c r="J991" i="1"/>
  <c r="J988" i="1"/>
  <c r="J976" i="1"/>
  <c r="J975" i="1"/>
  <c r="J972" i="1"/>
  <c r="J971" i="1"/>
  <c r="J968" i="1"/>
  <c r="H967" i="1"/>
  <c r="J967" i="1" s="1"/>
  <c r="H966" i="1"/>
  <c r="J966" i="1" s="1"/>
  <c r="J963" i="1"/>
  <c r="H959" i="1"/>
  <c r="H960" i="1" s="1"/>
  <c r="J960" i="1" s="1"/>
  <c r="J939" i="1"/>
  <c r="J938" i="1"/>
  <c r="J937" i="1"/>
  <c r="J936" i="1"/>
  <c r="J928" i="1"/>
  <c r="H927" i="1"/>
  <c r="J927" i="1" s="1"/>
  <c r="J926" i="1"/>
  <c r="J925" i="1"/>
  <c r="J924" i="1"/>
  <c r="J921" i="1"/>
  <c r="J919" i="1"/>
  <c r="J917" i="1"/>
  <c r="J916" i="1"/>
  <c r="J915" i="1"/>
  <c r="J913" i="1"/>
  <c r="J869" i="1"/>
  <c r="J866" i="1"/>
  <c r="J857" i="1"/>
  <c r="J854" i="1"/>
  <c r="J853" i="1"/>
  <c r="J850" i="1"/>
  <c r="J848" i="1"/>
  <c r="J847" i="1"/>
  <c r="J846" i="1"/>
  <c r="J845" i="1"/>
  <c r="J844" i="1"/>
  <c r="J843" i="1"/>
  <c r="J842" i="1"/>
  <c r="J841" i="1"/>
  <c r="J840" i="1"/>
  <c r="J837" i="1"/>
  <c r="J836" i="1"/>
  <c r="J822" i="1"/>
  <c r="J810" i="1"/>
  <c r="J807" i="1"/>
  <c r="J804" i="1"/>
  <c r="J802" i="1"/>
  <c r="J800" i="1"/>
  <c r="J799" i="1"/>
  <c r="J797" i="1"/>
  <c r="J796" i="1"/>
  <c r="J795" i="1"/>
  <c r="J793" i="1"/>
  <c r="H792" i="1"/>
  <c r="J792" i="1" s="1"/>
  <c r="H784" i="1"/>
  <c r="J784" i="1" s="1"/>
  <c r="J782" i="1"/>
  <c r="H771" i="1"/>
  <c r="J771" i="1" s="1"/>
  <c r="J768" i="1"/>
  <c r="J766" i="1"/>
  <c r="J765" i="1"/>
  <c r="J747" i="1"/>
  <c r="J745" i="1"/>
  <c r="J742" i="1"/>
  <c r="J741" i="1"/>
  <c r="J740" i="1"/>
  <c r="J737" i="1"/>
  <c r="J718" i="1"/>
  <c r="J716" i="1"/>
  <c r="J714" i="1"/>
  <c r="J706" i="1"/>
  <c r="J705" i="1"/>
  <c r="J703" i="1"/>
  <c r="J691" i="1"/>
  <c r="J690" i="1"/>
  <c r="J689" i="1"/>
  <c r="J686" i="1"/>
  <c r="J685" i="1"/>
  <c r="J684" i="1"/>
  <c r="J680" i="1"/>
  <c r="J678" i="1"/>
  <c r="J676" i="1"/>
  <c r="J674" i="1"/>
  <c r="J673" i="1"/>
  <c r="J672" i="1"/>
  <c r="J671" i="1"/>
  <c r="J670" i="1"/>
  <c r="J667" i="1"/>
  <c r="J666" i="1"/>
  <c r="J665" i="1"/>
  <c r="J664" i="1"/>
  <c r="J646" i="1"/>
  <c r="J645" i="1"/>
  <c r="J643" i="1"/>
  <c r="J642" i="1"/>
  <c r="J641" i="1"/>
  <c r="J638" i="1"/>
  <c r="J636" i="1"/>
  <c r="J635" i="1"/>
  <c r="J634" i="1"/>
  <c r="J633" i="1"/>
  <c r="J632" i="1"/>
  <c r="J630" i="1"/>
  <c r="J627" i="1"/>
  <c r="J626" i="1"/>
  <c r="J625" i="1"/>
  <c r="J623" i="1"/>
  <c r="J621" i="1"/>
  <c r="J616" i="1"/>
  <c r="J599" i="1"/>
  <c r="H596" i="1"/>
  <c r="J596" i="1" s="1"/>
  <c r="J594" i="1"/>
  <c r="J593" i="1"/>
  <c r="H590" i="1"/>
  <c r="J590" i="1" s="1"/>
  <c r="H589" i="1"/>
  <c r="J589" i="1" s="1"/>
  <c r="J587" i="1"/>
  <c r="H584" i="1"/>
  <c r="J584" i="1" s="1"/>
  <c r="J583" i="1"/>
  <c r="I570" i="1"/>
  <c r="I571" i="1" s="1"/>
  <c r="J571" i="1" s="1"/>
  <c r="J569" i="1"/>
  <c r="I566" i="1"/>
  <c r="J566" i="1" s="1"/>
  <c r="J565" i="1"/>
  <c r="I562" i="1"/>
  <c r="I563" i="1" s="1"/>
  <c r="J563" i="1" s="1"/>
  <c r="J561" i="1"/>
  <c r="J553" i="1"/>
  <c r="J550" i="1"/>
  <c r="J549" i="1"/>
  <c r="J548" i="1"/>
  <c r="J546" i="1"/>
  <c r="J544" i="1"/>
  <c r="J543" i="1"/>
  <c r="J542" i="1"/>
  <c r="J541" i="1"/>
  <c r="J540" i="1"/>
  <c r="J539" i="1"/>
  <c r="J538" i="1"/>
  <c r="J537" i="1"/>
  <c r="J536" i="1"/>
  <c r="J534" i="1"/>
  <c r="J533" i="1"/>
  <c r="J532" i="1"/>
  <c r="J525" i="1"/>
  <c r="J523" i="1"/>
  <c r="J521" i="1"/>
  <c r="J516" i="1"/>
  <c r="J513" i="1"/>
  <c r="J512" i="1"/>
  <c r="J511" i="1"/>
  <c r="J510" i="1"/>
  <c r="J509" i="1"/>
  <c r="J507" i="1"/>
  <c r="J506" i="1"/>
  <c r="J505" i="1"/>
  <c r="J501" i="1"/>
  <c r="J496" i="1"/>
  <c r="J494" i="1"/>
  <c r="J493" i="1"/>
  <c r="J492" i="1"/>
  <c r="J488" i="1"/>
  <c r="J486" i="1"/>
  <c r="J485" i="1"/>
  <c r="J482" i="1"/>
  <c r="J480" i="1"/>
  <c r="J479" i="1"/>
  <c r="J473" i="1"/>
  <c r="J471" i="1"/>
  <c r="J470" i="1"/>
  <c r="J466" i="1"/>
  <c r="J461" i="1"/>
  <c r="J458" i="1"/>
  <c r="J456" i="1"/>
  <c r="J454" i="1"/>
  <c r="J451" i="1"/>
  <c r="J449" i="1"/>
  <c r="J447" i="1"/>
  <c r="J445" i="1"/>
  <c r="J444" i="1"/>
  <c r="J443" i="1"/>
  <c r="J442" i="1"/>
  <c r="J440" i="1"/>
  <c r="J429" i="1"/>
  <c r="J428" i="1"/>
  <c r="J425" i="1"/>
  <c r="J424" i="1"/>
  <c r="J421" i="1"/>
  <c r="H420" i="1"/>
  <c r="J420" i="1" s="1"/>
  <c r="H419" i="1"/>
  <c r="J419" i="1" s="1"/>
  <c r="J416" i="1"/>
  <c r="J395" i="1"/>
  <c r="J386" i="1"/>
  <c r="H385" i="1"/>
  <c r="J385" i="1" s="1"/>
  <c r="J384" i="1"/>
  <c r="J383" i="1"/>
  <c r="J382" i="1"/>
  <c r="J339" i="1"/>
  <c r="H336" i="1"/>
  <c r="H415" i="1" s="1"/>
  <c r="J415" i="1" s="1"/>
  <c r="J333" i="1"/>
  <c r="J324" i="1"/>
  <c r="J321" i="1"/>
  <c r="J319" i="1"/>
  <c r="J318" i="1"/>
  <c r="J315" i="1"/>
  <c r="J301" i="1"/>
  <c r="J289" i="1"/>
  <c r="J286" i="1"/>
  <c r="J284" i="1"/>
  <c r="J283" i="1"/>
  <c r="J280" i="1"/>
  <c r="J278" i="1"/>
  <c r="J277" i="1"/>
  <c r="J275" i="1"/>
  <c r="J274" i="1"/>
  <c r="J273" i="1"/>
  <c r="J271" i="1"/>
  <c r="J270" i="1"/>
  <c r="H262" i="1"/>
  <c r="J262" i="1" s="1"/>
  <c r="J260" i="1"/>
  <c r="H249" i="1"/>
  <c r="J249" i="1" s="1"/>
  <c r="J246" i="1"/>
  <c r="J244" i="1"/>
  <c r="J243" i="1"/>
  <c r="J225" i="1"/>
  <c r="J224" i="1"/>
  <c r="J222" i="1"/>
  <c r="J221" i="1"/>
  <c r="J220" i="1"/>
  <c r="J219" i="1"/>
  <c r="J216" i="1"/>
  <c r="J213" i="1"/>
  <c r="J212" i="1"/>
  <c r="J209" i="1"/>
  <c r="J190" i="1"/>
  <c r="J188" i="1"/>
  <c r="J185" i="1"/>
  <c r="J177" i="1"/>
  <c r="J176" i="1"/>
  <c r="J174" i="1"/>
  <c r="J162" i="1"/>
  <c r="J161" i="1"/>
  <c r="J158" i="1"/>
  <c r="J157" i="1"/>
  <c r="J156" i="1"/>
  <c r="J152" i="1"/>
  <c r="J150" i="1"/>
  <c r="J148" i="1"/>
  <c r="J146" i="1"/>
  <c r="J145" i="1"/>
  <c r="J144" i="1"/>
  <c r="J143" i="1"/>
  <c r="J140" i="1"/>
  <c r="J139" i="1"/>
  <c r="J138" i="1"/>
  <c r="J120" i="1"/>
  <c r="J119" i="1"/>
  <c r="J117" i="1"/>
  <c r="J116" i="1"/>
  <c r="J115" i="1"/>
  <c r="J112" i="1"/>
  <c r="J110" i="1"/>
  <c r="J109" i="1"/>
  <c r="J108" i="1"/>
  <c r="J107" i="1"/>
  <c r="J105" i="1"/>
  <c r="J102" i="1"/>
  <c r="J101" i="1"/>
  <c r="J100" i="1"/>
  <c r="J98" i="1"/>
  <c r="J96" i="1"/>
  <c r="J91" i="1"/>
  <c r="F76" i="1"/>
  <c r="J74" i="1"/>
  <c r="H71" i="1"/>
  <c r="J71" i="1" s="1"/>
  <c r="J69" i="1"/>
  <c r="J68" i="1"/>
  <c r="H65" i="1"/>
  <c r="J65" i="1" s="1"/>
  <c r="H64" i="1"/>
  <c r="J64" i="1" s="1"/>
  <c r="J62" i="1"/>
  <c r="H59" i="1"/>
  <c r="J59" i="1" s="1"/>
  <c r="J58" i="1"/>
  <c r="J46" i="1"/>
  <c r="J45" i="1"/>
  <c r="J44" i="1"/>
  <c r="J43" i="1"/>
  <c r="J42" i="1"/>
  <c r="J41" i="1"/>
  <c r="J40" i="1"/>
  <c r="J39" i="1"/>
  <c r="J38" i="1"/>
  <c r="J37" i="1"/>
  <c r="J36" i="1"/>
  <c r="J35" i="1"/>
  <c r="J34" i="1"/>
  <c r="J33" i="1"/>
  <c r="J30" i="1"/>
  <c r="J22" i="1"/>
  <c r="J21" i="1"/>
  <c r="J20" i="1"/>
  <c r="J19" i="1"/>
  <c r="J18" i="1"/>
  <c r="J17" i="1"/>
  <c r="J16" i="1"/>
  <c r="J15" i="1"/>
  <c r="J14" i="1"/>
  <c r="J13" i="1"/>
  <c r="J12" i="1"/>
  <c r="J11" i="1"/>
  <c r="J9" i="1"/>
  <c r="Q1143" i="2" l="1"/>
  <c r="P1143" i="2"/>
  <c r="P566" i="2"/>
  <c r="P1619" i="2"/>
  <c r="Q1132" i="2"/>
  <c r="P1832" i="2"/>
  <c r="Q562" i="2"/>
  <c r="P1131" i="2"/>
  <c r="P1148" i="2"/>
  <c r="Q1971" i="2"/>
  <c r="P1136" i="2"/>
  <c r="P336" i="2"/>
  <c r="Q1131" i="2"/>
  <c r="P1628" i="2"/>
  <c r="P959" i="2"/>
  <c r="Q959" i="2"/>
  <c r="Q336" i="2"/>
  <c r="P1976" i="2"/>
  <c r="P1480" i="2"/>
  <c r="P1623" i="2"/>
  <c r="P1144" i="2"/>
  <c r="Q1480" i="2"/>
  <c r="P1139" i="2"/>
  <c r="P570" i="2"/>
  <c r="P1135" i="2"/>
  <c r="P1147" i="2"/>
  <c r="P1615" i="2"/>
  <c r="P1627" i="2"/>
  <c r="P1975" i="2"/>
  <c r="Q1135" i="2"/>
  <c r="Q1147" i="2"/>
  <c r="Q1627" i="2"/>
  <c r="Q1975" i="2"/>
  <c r="K567" i="2"/>
  <c r="L567" i="2" s="1"/>
  <c r="L1480" i="2"/>
  <c r="L1832" i="2"/>
  <c r="K571" i="2"/>
  <c r="L571" i="2" s="1"/>
  <c r="L1143" i="2"/>
  <c r="K1620" i="2"/>
  <c r="L1620" i="2" s="1"/>
  <c r="K1616" i="2"/>
  <c r="L1616" i="2" s="1"/>
  <c r="K1148" i="2"/>
  <c r="L1148" i="2" s="1"/>
  <c r="O1620" i="2"/>
  <c r="O1624" i="2"/>
  <c r="O571" i="2"/>
  <c r="I1976" i="1"/>
  <c r="J1976" i="1" s="1"/>
  <c r="I567" i="1"/>
  <c r="J567" i="1" s="1"/>
  <c r="J1611" i="1"/>
  <c r="H1833" i="1"/>
  <c r="J1833" i="1" s="1"/>
  <c r="J336" i="1"/>
  <c r="J562" i="1"/>
  <c r="I1144" i="1"/>
  <c r="J1144" i="1" s="1"/>
  <c r="J1971" i="1"/>
  <c r="H337" i="1"/>
  <c r="J337" i="1" s="1"/>
  <c r="J1139" i="1"/>
  <c r="H1481" i="1"/>
  <c r="J1481" i="1" s="1"/>
  <c r="I1616" i="1"/>
  <c r="J1616" i="1" s="1"/>
  <c r="M415" i="2"/>
  <c r="P415" i="2" s="1"/>
  <c r="O567" i="2"/>
  <c r="L959" i="2"/>
  <c r="O1616" i="2"/>
  <c r="O563" i="2"/>
  <c r="O1140" i="2"/>
  <c r="O1612" i="2"/>
  <c r="K1132" i="2"/>
  <c r="L1132" i="2" s="1"/>
  <c r="L1611" i="2"/>
  <c r="J415" i="2"/>
  <c r="L415" i="2" s="1"/>
  <c r="N415" i="2"/>
  <c r="Q415" i="2" s="1"/>
  <c r="K1136" i="2"/>
  <c r="L1136" i="2" s="1"/>
  <c r="N1833" i="2"/>
  <c r="Q1833" i="2" s="1"/>
  <c r="K1976" i="2"/>
  <c r="L1976" i="2" s="1"/>
  <c r="K1628" i="2"/>
  <c r="L1628" i="2" s="1"/>
  <c r="K1624" i="2"/>
  <c r="L1624" i="2" s="1"/>
  <c r="O1972" i="2"/>
  <c r="L562" i="2"/>
  <c r="L1139" i="2"/>
  <c r="L336" i="2"/>
  <c r="L1971" i="2"/>
  <c r="J1135" i="1"/>
  <c r="J959" i="1"/>
  <c r="J1627" i="1"/>
  <c r="I1628" i="1"/>
  <c r="J1628" i="1" s="1"/>
  <c r="J1131" i="1"/>
  <c r="J1623" i="1"/>
  <c r="J570" i="1"/>
  <c r="I1148" i="1"/>
  <c r="J1148" i="1" s="1"/>
  <c r="I1620" i="1"/>
  <c r="J1620" i="1" s="1"/>
  <c r="Q1612" i="2" l="1"/>
  <c r="P1612" i="2"/>
  <c r="Q1140" i="2"/>
  <c r="P1140" i="2"/>
  <c r="Q1972" i="2"/>
  <c r="P1972" i="2"/>
  <c r="Q563" i="2"/>
  <c r="P563" i="2"/>
  <c r="Q1616" i="2"/>
  <c r="P1616" i="2"/>
  <c r="Q567" i="2"/>
  <c r="P567" i="2"/>
  <c r="Q571" i="2"/>
  <c r="P571" i="2"/>
  <c r="Q1624" i="2"/>
  <c r="P1624" i="2"/>
  <c r="Q1620" i="2"/>
  <c r="P1620" i="2"/>
</calcChain>
</file>

<file path=xl/sharedStrings.xml><?xml version="1.0" encoding="utf-8"?>
<sst xmlns="http://schemas.openxmlformats.org/spreadsheetml/2006/main" count="17376" uniqueCount="2274">
  <si>
    <t>Structure</t>
  </si>
  <si>
    <t>Bill No.</t>
  </si>
  <si>
    <t>Item No.</t>
  </si>
  <si>
    <t>Pay Ref</t>
  </si>
  <si>
    <t>Description</t>
  </si>
  <si>
    <t>Unit</t>
  </si>
  <si>
    <t>Contract Quantity</t>
  </si>
  <si>
    <t>Contract Rate</t>
  </si>
  <si>
    <t>Contract Amount</t>
  </si>
  <si>
    <t>Forecast Amount</t>
  </si>
  <si>
    <t>Section 1 Preliminaries</t>
  </si>
  <si>
    <t>Bill No. 1: Fixed Charge Items</t>
  </si>
  <si>
    <t xml:space="preserve">SECTION NO. 1 </t>
  </si>
  <si>
    <t>SANS 1200A</t>
  </si>
  <si>
    <t xml:space="preserve">PRELIMINARY AND GENERAL  </t>
  </si>
  <si>
    <t xml:space="preserve">(Applicable to the whole of the Works) </t>
  </si>
  <si>
    <t xml:space="preserve">BILL NO. 1 </t>
  </si>
  <si>
    <t xml:space="preserve">FIXED CHARGE ITEMS </t>
  </si>
  <si>
    <t xml:space="preserve">PREAMBLE </t>
  </si>
  <si>
    <t xml:space="preserve">A detailed breakdown of the Preliminaries  and General costs should be submitted with  this tender </t>
  </si>
  <si>
    <t>A</t>
  </si>
  <si>
    <t>8.3.1</t>
  </si>
  <si>
    <t>Contractual requirements</t>
  </si>
  <si>
    <t>SUM</t>
  </si>
  <si>
    <t>8.3.2.2</t>
  </si>
  <si>
    <t xml:space="preserve">Facilities for Contractor </t>
  </si>
  <si>
    <t>B</t>
  </si>
  <si>
    <t>8.3.2.2.a)</t>
  </si>
  <si>
    <t>Offices and storage sheds</t>
  </si>
  <si>
    <t>C</t>
  </si>
  <si>
    <t>8.3.2.2.b)</t>
  </si>
  <si>
    <t>Workshops</t>
  </si>
  <si>
    <t>D</t>
  </si>
  <si>
    <t>8.3.2.2.c)</t>
  </si>
  <si>
    <t xml:space="preserve">Laboratories. </t>
  </si>
  <si>
    <t>Sum</t>
  </si>
  <si>
    <t>E</t>
  </si>
  <si>
    <t>8.3.2.2.d)</t>
  </si>
  <si>
    <t xml:space="preserve">Living accommodation. </t>
  </si>
  <si>
    <t>F</t>
  </si>
  <si>
    <t>8.3.2.2.e)</t>
  </si>
  <si>
    <t xml:space="preserve">Ablution and latrine facilities. </t>
  </si>
  <si>
    <t>G</t>
  </si>
  <si>
    <t>8.3.2.2.f)</t>
  </si>
  <si>
    <t>Tools and equipment</t>
  </si>
  <si>
    <t>H</t>
  </si>
  <si>
    <t>8.3.2.2.g)</t>
  </si>
  <si>
    <t>Water supplies, electric power, communications, dealing with water, and access</t>
  </si>
  <si>
    <t>J</t>
  </si>
  <si>
    <t>8.3.2.2.j)</t>
  </si>
  <si>
    <t xml:space="preserve">Plant. </t>
  </si>
  <si>
    <t>K</t>
  </si>
  <si>
    <t>Medicals and inductions</t>
  </si>
  <si>
    <t>L</t>
  </si>
  <si>
    <t>Fencing of laydown area</t>
  </si>
  <si>
    <t>M</t>
  </si>
  <si>
    <t>8.3.3</t>
  </si>
  <si>
    <t xml:space="preserve">Other fixed charge obligations </t>
  </si>
  <si>
    <t>N</t>
  </si>
  <si>
    <t>8.3.4</t>
  </si>
  <si>
    <t>Removal of site establishment</t>
  </si>
  <si>
    <t>Bill No. 2: Time Related Items</t>
  </si>
  <si>
    <t xml:space="preserve">BILL NO. 2 </t>
  </si>
  <si>
    <t xml:space="preserve">TIME RELATED ITEMS </t>
  </si>
  <si>
    <t>8.4.1</t>
  </si>
  <si>
    <t>8.4.2</t>
  </si>
  <si>
    <t xml:space="preserve">Operation and Maintenance of Facilities on Site, for Duration of Construction, (unless otherwise stated) </t>
  </si>
  <si>
    <t>8.4.2.2</t>
  </si>
  <si>
    <t>8.4.2.2.a)</t>
  </si>
  <si>
    <t>8.4.2.2.b)</t>
  </si>
  <si>
    <t>8.4.2.2.c)</t>
  </si>
  <si>
    <t>Laboratories</t>
  </si>
  <si>
    <t>8.4.2.2.d)</t>
  </si>
  <si>
    <t>Living accommodation</t>
  </si>
  <si>
    <t>8.4.2.2.e)</t>
  </si>
  <si>
    <t>Ablution and latrine facilities</t>
  </si>
  <si>
    <t>8.4.2.2.f)</t>
  </si>
  <si>
    <t>8.4.2.2.g)</t>
  </si>
  <si>
    <t>8.4.2.2.j)</t>
  </si>
  <si>
    <t>Plant</t>
  </si>
  <si>
    <t>8.4.3</t>
  </si>
  <si>
    <t>Supervision for duration of construction</t>
  </si>
  <si>
    <t>8.4.4</t>
  </si>
  <si>
    <t>Company and head office overhead costs for duration of the contract</t>
  </si>
  <si>
    <t>Safety Compliance</t>
  </si>
  <si>
    <t>8.4.5</t>
  </si>
  <si>
    <t>Other time related obligations</t>
  </si>
  <si>
    <t>P</t>
  </si>
  <si>
    <t>8.4.5.1</t>
  </si>
  <si>
    <t>Community Liason Officer's Salary</t>
  </si>
  <si>
    <t>Q</t>
  </si>
  <si>
    <t>8.4.5.2</t>
  </si>
  <si>
    <t>Security for the duration of the project</t>
  </si>
  <si>
    <t>Section 2: Media Centre</t>
  </si>
  <si>
    <t>Bill No. 1: Earthworks</t>
  </si>
  <si>
    <t>SECTION NO. 2</t>
  </si>
  <si>
    <t>LEPHADIMISHA - MEDIA CENTRE</t>
  </si>
  <si>
    <t>BILL NO. 1</t>
  </si>
  <si>
    <t>SANS 1200D</t>
  </si>
  <si>
    <t xml:space="preserve">EARTHWORKS </t>
  </si>
  <si>
    <t>NOTES</t>
  </si>
  <si>
    <t>For preambles see "Model Preambles for Trades 2017"</t>
  </si>
  <si>
    <t xml:space="preserve">SUPPLEMENTARY PREAMBLES </t>
  </si>
  <si>
    <t xml:space="preserve">Nature of ground </t>
  </si>
  <si>
    <t xml:space="preserve">Descriptions of excavations shall be deemed to include all ground conditions classifiable as "earth", and where conditions of a more difficult character are indicated, these are separately measured. </t>
  </si>
  <si>
    <t>8.3</t>
  </si>
  <si>
    <t xml:space="preserve">SCHEDULED ITEMS </t>
  </si>
  <si>
    <t>Site preparation</t>
  </si>
  <si>
    <t>8.3.1.1</t>
  </si>
  <si>
    <t>Rip and scarify in-situ 150mm layer free of organic material and compact to 93% Mod AASHTO density</t>
  </si>
  <si>
    <r>
      <t>m</t>
    </r>
    <r>
      <rPr>
        <vertAlign val="superscript"/>
        <sz val="10"/>
        <rFont val="Arial"/>
        <family val="2"/>
      </rPr>
      <t>2</t>
    </r>
  </si>
  <si>
    <t>8.3.1.2</t>
  </si>
  <si>
    <t>Remove topsoil to nominal depth 150mm, stockpile and maintain</t>
  </si>
  <si>
    <t xml:space="preserve">EXCAVATION, FILLING, ETC </t>
  </si>
  <si>
    <t>Restricted Excavation</t>
  </si>
  <si>
    <t>8.3.3.a.1)</t>
  </si>
  <si>
    <t>Excavate for restricted footings in all materials</t>
  </si>
  <si>
    <r>
      <t>m</t>
    </r>
    <r>
      <rPr>
        <vertAlign val="superscript"/>
        <sz val="10"/>
        <rFont val="Arial"/>
        <family val="2"/>
      </rPr>
      <t>3</t>
    </r>
  </si>
  <si>
    <t>Extra-over for</t>
  </si>
  <si>
    <t>8.3.3.b.1)</t>
  </si>
  <si>
    <t>Intermediate excavation</t>
  </si>
  <si>
    <t>8.3.3.b.2)</t>
  </si>
  <si>
    <t>Hard rock excavation</t>
  </si>
  <si>
    <t xml:space="preserve">Importing of Material </t>
  </si>
  <si>
    <t>8.3.4.a)</t>
  </si>
  <si>
    <t>Extra-over for importation of materials from commercial sources</t>
  </si>
  <si>
    <t>G5 material compacted in 150mm thick layers to 95% MOD AASHTO density at 1% to 2% optimum moisture content under footing</t>
  </si>
  <si>
    <t>G5 Material in layers compacted to 95% Mod AASHTO density in layers not exceeding 150mm under surface bed</t>
  </si>
  <si>
    <t>8.3.6</t>
  </si>
  <si>
    <t>Overhaul</t>
  </si>
  <si>
    <t>8.3.6.b)</t>
  </si>
  <si>
    <t>Long overhaul in excess of 2km and within a 20km radius</t>
  </si>
  <si>
    <r>
      <t>m</t>
    </r>
    <r>
      <rPr>
        <vertAlign val="superscript"/>
        <sz val="10"/>
        <rFont val="Arial"/>
        <family val="2"/>
      </rPr>
      <t>3</t>
    </r>
    <r>
      <rPr>
        <sz val="10"/>
        <rFont val="Arial"/>
        <family val="2"/>
      </rPr>
      <t>.km</t>
    </r>
  </si>
  <si>
    <t>SOIL POISONING</t>
  </si>
  <si>
    <t>Soil insecticide in accordance with SANS 5859</t>
  </si>
  <si>
    <t>Under floors etc. including forming and poisoning shallow
furrows against foundation walls etc., filling in furrows and
ramming</t>
  </si>
  <si>
    <t>Bill No. 2: Concrete (Structural)</t>
  </si>
  <si>
    <t>BILL NO. 2</t>
  </si>
  <si>
    <t>SANS 1200G</t>
  </si>
  <si>
    <t xml:space="preserve">CONCRETE (STRUCTURAL) </t>
  </si>
  <si>
    <t xml:space="preserve">Cost of tests </t>
  </si>
  <si>
    <t>The costs of making, storing and testing of concrete test cubes as required under clause 7 "Tests" of SANS 1200G shall include the cost of providing cube moulds necessary for the purpose, for testing costs and for submitting reports on the tests to the Supervisor.  The testing shall be undertaken by an independent firm or institution nominated by the contractor to the approval of the Supervisor.  (Test cubes are measured separately)</t>
  </si>
  <si>
    <t xml:space="preserve">Formwork </t>
  </si>
  <si>
    <t>Formwork to soffits of solids etc. shall be deemed to be slabs not exceeding 300mm thick unless otherwise described</t>
  </si>
  <si>
    <t xml:space="preserve">Formwork to sides of bases, pile caps, ground beams, etc. will only be measured where it is prescribed by the engineer for design reasons.  Formwork necessitated by irregularity or collapse of excavated faces will not be measured and the cost thereof shall be deemed to be included in the allowance for taking the risk of collapse of the sides of the excavations, provision for which is made in "Earthworks" </t>
  </si>
  <si>
    <t xml:space="preserve">All H.D bolts, washers and nuts to be supplied by the contractor </t>
  </si>
  <si>
    <t>Rates to include for sandblasting and galvanizing all bolts and metal work to applicable specification</t>
  </si>
  <si>
    <t>8.2</t>
  </si>
  <si>
    <t>FORMWORK (PROVISIONAL)</t>
  </si>
  <si>
    <t>8.2.1</t>
  </si>
  <si>
    <t xml:space="preserve">Rough formwork </t>
  </si>
  <si>
    <t>To sides footing</t>
  </si>
  <si>
    <t>REINFORCEMENT (PROVISIONAL)</t>
  </si>
  <si>
    <t>Steel Bars in Structural Steel</t>
  </si>
  <si>
    <t xml:space="preserve">Steel Bars </t>
  </si>
  <si>
    <t xml:space="preserve">High-tensile </t>
  </si>
  <si>
    <t>Various Bars</t>
  </si>
  <si>
    <t>t</t>
  </si>
  <si>
    <t>Mild steel</t>
  </si>
  <si>
    <t>8.3.2</t>
  </si>
  <si>
    <t xml:space="preserve">High-tensile welded mesh </t>
  </si>
  <si>
    <t>Ref 395 layer mesh in surface bed</t>
  </si>
  <si>
    <t>Ref 395 layer mesh in veranda</t>
  </si>
  <si>
    <t>Ref 395 layer mesh in apron</t>
  </si>
  <si>
    <t>8.4</t>
  </si>
  <si>
    <t xml:space="preserve">CONCRETE </t>
  </si>
  <si>
    <t xml:space="preserve">50mm Blinding Layer in 15MPa/19mm  </t>
  </si>
  <si>
    <t>Under footings and bases</t>
  </si>
  <si>
    <t xml:space="preserve">Reinforced Concrete 25MPa/19mm  </t>
  </si>
  <si>
    <t>In surface bed</t>
  </si>
  <si>
    <t>In verander</t>
  </si>
  <si>
    <t>In footing</t>
  </si>
  <si>
    <t>In apron</t>
  </si>
  <si>
    <t xml:space="preserve">Test Cubes </t>
  </si>
  <si>
    <t xml:space="preserve">Making and testing 150 x 150 x 150mm concrete strength test cube.  (Provisional) </t>
  </si>
  <si>
    <t>No</t>
  </si>
  <si>
    <t xml:space="preserve">Unformed Surface Finishes </t>
  </si>
  <si>
    <t>8.4.4.c)</t>
  </si>
  <si>
    <t xml:space="preserve">Wooden-floated finish </t>
  </si>
  <si>
    <t>Top of surface bed</t>
  </si>
  <si>
    <t>O</t>
  </si>
  <si>
    <t>Top of veranda</t>
  </si>
  <si>
    <t>Top Apron</t>
  </si>
  <si>
    <t>8.5</t>
  </si>
  <si>
    <t>Movement Joints, Etc.</t>
  </si>
  <si>
    <t>10mm expansion joints in concrete slab with 10mm Jointex. Once the concrete is set rake out the top 10mm of Jointex and seal with approved polysulphide or similar joint sealant.</t>
  </si>
  <si>
    <t>m</t>
  </si>
  <si>
    <t>R</t>
  </si>
  <si>
    <t>Expansion joints with 10mm bitumen impregnated softboard or closed cell expanded polyethylene between vertical concrete and brick surfaces</t>
  </si>
  <si>
    <t>Bill No. 3: Masonry</t>
  </si>
  <si>
    <t>BILL NO. 3</t>
  </si>
  <si>
    <t xml:space="preserve">MASONRY </t>
  </si>
  <si>
    <t>Where sizes in descriptions are given in brick units, "one brick" shall represent the length and "half brick the width of the brick</t>
  </si>
  <si>
    <t>Face bricks</t>
  </si>
  <si>
    <t>Bricks shall be ordered timeously to obtain uniformity in size and colour</t>
  </si>
  <si>
    <t>Pointing</t>
  </si>
  <si>
    <t>Descriptions of recessed pointing to fair face brickwork and face brickwork shall be deemed to include square recessed, hollow recessed, weathered pointing, etc.</t>
  </si>
  <si>
    <t xml:space="preserve">Reinforced brick lintels </t>
  </si>
  <si>
    <t xml:space="preserve">Lintels shall bear at least 160mm onto adjacent walling.  Where such bearing cannot be obtained due to the proximity of adjacent openings the lintel shall be continuous </t>
  </si>
  <si>
    <t>BRICKWORK</t>
  </si>
  <si>
    <t xml:space="preserve">FOUNDATION </t>
  </si>
  <si>
    <t xml:space="preserve">Brickwork of NFP bricks in class II mortar </t>
  </si>
  <si>
    <t>Pier brick wall</t>
  </si>
  <si>
    <t>One brick wall</t>
  </si>
  <si>
    <t>Half brick wall</t>
  </si>
  <si>
    <t xml:space="preserve">SUPERSTRUCTURE </t>
  </si>
  <si>
    <t>One brick walls in beamfilling</t>
  </si>
  <si>
    <t>Brick-on-edge header course copings, sills, face bricks pointed with recessed joints on all exposed faces</t>
  </si>
  <si>
    <t>Window sills</t>
  </si>
  <si>
    <t>Prestressed fabricated concrete lintels including necessary  temporary supports</t>
  </si>
  <si>
    <t>I</t>
  </si>
  <si>
    <t>110 x 75mm Standard precast concrete lintels to openings in brickwork not exceeding 2000mm In width, minimum bearing distance to be 115mm</t>
  </si>
  <si>
    <t xml:space="preserve">Turning pieces </t>
  </si>
  <si>
    <t>230mm Wide turning piece to lintels, etc.</t>
  </si>
  <si>
    <t>FACE BRICKWORK</t>
  </si>
  <si>
    <t>User note</t>
  </si>
  <si>
    <t>Face bricks pointed with recessed horizontal and vertical joints</t>
  </si>
  <si>
    <t>Extra over pier for face brickwork</t>
  </si>
  <si>
    <t>Extra over brickwork for face brickwork</t>
  </si>
  <si>
    <t>Brick on edge for face brickwork</t>
  </si>
  <si>
    <t xml:space="preserve">SUNDRIES </t>
  </si>
  <si>
    <t xml:space="preserve">Brickwork reinforcement </t>
  </si>
  <si>
    <t xml:space="preserve">75mm Wide brick reinforcement </t>
  </si>
  <si>
    <t xml:space="preserve">150mm Wide brick reinforcement </t>
  </si>
  <si>
    <t>Bill No. 4: Waterproofing</t>
  </si>
  <si>
    <t>BILL NO. 4</t>
  </si>
  <si>
    <t xml:space="preserve">WATERPROOFING </t>
  </si>
  <si>
    <t>Waterproofing of roofs, basements, etc. shall be laid under a  ten year guarantee.  Waterproofing to roofs shall be laid to  even falls to outlets etc. with necessary ridges, hips and  valleys. Descriptions of sheet or membrane waterproofing  shall be deemed to include additional labour to turn-ups and  turn-downs.</t>
  </si>
  <si>
    <t>All the components to be cleaned and surveyed for defects and cracks, etc. before the application /installation of any form of water proofing.</t>
  </si>
  <si>
    <t xml:space="preserve">DAMPPROOFING OF WALLS AND  FLOORS </t>
  </si>
  <si>
    <t xml:space="preserve">One layer of 375 Micron Consol Plastics  Brikgrip DPC embossed damp proof course </t>
  </si>
  <si>
    <t>In walls</t>
  </si>
  <si>
    <t xml:space="preserve">One layer of 250 Micron "Plastall Gunplas USB Green" waterproof sheeting Type C, sealed at laps with "Gunplas Pressure Sensitive Tape" </t>
  </si>
  <si>
    <t>Under surface beds</t>
  </si>
  <si>
    <t>Under apron</t>
  </si>
  <si>
    <t>Bill No. 5: Roof Covering and Cladding</t>
  </si>
  <si>
    <t>BILL NO. 5</t>
  </si>
  <si>
    <t xml:space="preserve">ROOF COVERING AND CLADDING ETC </t>
  </si>
  <si>
    <t>PROFILED METAL SHEETING AND ACCESSORIES</t>
  </si>
  <si>
    <t>0,6mm IBR Galvanized Corrugated Iron roof sheets with "Chromadek" finish on one side, in single lengths fixed to timber purlins or rails and 0,6mm galvanised steel accessories with "Chromadek" finish on one side</t>
  </si>
  <si>
    <t>Roof coverings with pitches to 40 degrees,  including all flashings, ridge caps, fasteners and clips</t>
  </si>
  <si>
    <t xml:space="preserve">Supply and install ancillaries </t>
  </si>
  <si>
    <t>Extra over for ridge cap</t>
  </si>
  <si>
    <t>ROOF INSULATION</t>
  </si>
  <si>
    <t>75mm insulation on straining wires, as per manufacturer's specification</t>
  </si>
  <si>
    <t>m2</t>
  </si>
  <si>
    <t>Bill No. 6: Capentry and Joinery</t>
  </si>
  <si>
    <t>BILL NO. 6</t>
  </si>
  <si>
    <t xml:space="preserve">CARPENTRY AND JOINERY </t>
  </si>
  <si>
    <t xml:space="preserve">Fixing </t>
  </si>
  <si>
    <t>Items described as "nailed" shall be deemed to be fixed with  hardened steel nails or pins, or to be shot-pinned, to  brickwork or concrete</t>
  </si>
  <si>
    <t>Items described as "plugged" shall be deemed to include  screwing to fibre, plastic or metal plugs at not exceeding  500mm centres, and where described as "bolted", the bolts  have been given elsewhere</t>
  </si>
  <si>
    <t xml:space="preserve">Joinery </t>
  </si>
  <si>
    <t>Descriptions of frames shall be deemed to include frames,  transoms, rails, etc.</t>
  </si>
  <si>
    <t>Descriptions of hardwood joinery shall be deemed to include  sinking and pelleting heads and nuts of bolts</t>
  </si>
  <si>
    <t xml:space="preserve">Decorative thermosetting plastic laminate covering </t>
  </si>
  <si>
    <t>Laminate covering shall be glued under pressure and edge  strips of same shall be butt jointed at junctions with adjacent  similar finish</t>
  </si>
  <si>
    <t>Dimensions in descriptions of trusses are nominal and actual measurements are to be obtained from the architect/engineer and/or taken on site before design or fabrication commences</t>
  </si>
  <si>
    <t>EAVES, VERGES, ETC</t>
  </si>
  <si>
    <t>Fibre-cement fascia boards, screw fixed to truss ends &amp; countersunk brass screw.</t>
  </si>
  <si>
    <t>250x10mm thick FC77 pressed fibre cement Fascias and barge boards</t>
  </si>
  <si>
    <t xml:space="preserve">DOORS, FRAMES ETC </t>
  </si>
  <si>
    <t>Wooden Doors</t>
  </si>
  <si>
    <t>Size 813 x 2032 x 44mm thick solid timber door with concealed
hardwood edges and Masonite finish to both sides (T01)</t>
  </si>
  <si>
    <t>Size 813 x 2032 x 44mm thick solid timber door with concealed hardwood edges and Masonite finish to both sides  (TO2)</t>
  </si>
  <si>
    <t xml:space="preserve">SKIRTING </t>
  </si>
  <si>
    <t>MERANTI SKIRTING:</t>
  </si>
  <si>
    <t>69mm x 19mm selected wrot Meranti skirting, slightly rounded on top leading edge and ploughed on rear face, needle
steel nailed to walls at 600mm centres. The skirting is to have splayed header joints and mitred angles. Finish skirting
with 25 x 25 mm selected wrot Meranti quarter round, needle steel nailed to wall through skirting @ 600mm centres.</t>
  </si>
  <si>
    <t>Carpentry and joinery fittings, supplied and installed complete</t>
  </si>
  <si>
    <t>Worktops</t>
  </si>
  <si>
    <t>Worktop size 1545 x 1350, in section 750mm wide with standard adjustment chromed legs including surface, substrate, backer, ironmongery, etc complete as described</t>
  </si>
  <si>
    <t>Worktop with shelves under size 1545 x 1350, in section 650mm wide with standard adjustment chromed legs including surface, substrate, backer, ironmongery, etc complete as described</t>
  </si>
  <si>
    <t>Fixed Shelving size 1545 x 2700, in section 750mm wide with standard adjustment chromed legs including surface, substrate, backer, ironmongery, etc complete as described</t>
  </si>
  <si>
    <t>Wall shelving 2400 x 1500mm high</t>
  </si>
  <si>
    <t>Office Table and Chairs</t>
  </si>
  <si>
    <t xml:space="preserve">120cm round desk </t>
  </si>
  <si>
    <t>Classic Ultra Exec Mid-Back Chair</t>
  </si>
  <si>
    <t>Bill No. 7: Ceilings and Partitions</t>
  </si>
  <si>
    <t>BILL NO. 7</t>
  </si>
  <si>
    <t xml:space="preserve">CEILINGS AND PARTITIONS </t>
  </si>
  <si>
    <t>Fixing</t>
  </si>
  <si>
    <t>Items described as "nailed" shall be deemed to be fixed with hardened steel nails or pins, or to be shot-pinned, to brickwork or concrete</t>
  </si>
  <si>
    <t>Items described as "plugged" shall be deemed to include screwing to fibre, plastic or metal plugs at not exceeding 500mm centres, and where described as "bolted", the bolts have been given elsewhere</t>
  </si>
  <si>
    <t>Ceilings</t>
  </si>
  <si>
    <t>Unless otherwise described ceilings shall be deemed to be horizontal</t>
  </si>
  <si>
    <t>Electrical light fittings, diffusers, panels etc are generally "lay-in" units of the same dimensions as the suspension grid described and allowance must be made in the rates accordingly for their support inclusive of any flexibility in setting out that may be required (ceiling panels have not been deducted and pricing is to take cognisance thereof)</t>
  </si>
  <si>
    <t>Steel components</t>
  </si>
  <si>
    <t>All steel components for ceilings, partitions, etc. are to be galvanised in accordance with SANS 121</t>
  </si>
  <si>
    <t>NAILED UP CEILINGS</t>
  </si>
  <si>
    <t>6mm Gypsum ceiling Board fixed to 38x38mm SAP battens.</t>
  </si>
  <si>
    <t xml:space="preserve">Ceilings including as pine brandering at 500mm centres in both directions, </t>
  </si>
  <si>
    <t>Extra over ceiling for 600 x 600mm trap door</t>
  </si>
  <si>
    <t>CORNICES</t>
  </si>
  <si>
    <t>75mm Gypsum coved cornice nailed to wall and ceiling.</t>
  </si>
  <si>
    <t>INSULATION</t>
  </si>
  <si>
    <t>Non-combustible fibreglass insulation of a density of not less than 10kg/m3 bonded with an inert thermo-setting resin</t>
  </si>
  <si>
    <t>135mm Fibre blanket insulation</t>
  </si>
  <si>
    <t>Bill No. 8: Floor Coverings</t>
  </si>
  <si>
    <t>BILL NO. 8</t>
  </si>
  <si>
    <t>FLOOR COVERINGS</t>
  </si>
  <si>
    <t>Proprietary Products In Descriptions Proprietary products shall be deemed to include the statement "or similarly approved" in the description specified. Substitute products of similar quality and specification may be used with prior approval by the Principal Agent.</t>
  </si>
  <si>
    <t>VINYL SHEET</t>
  </si>
  <si>
    <t xml:space="preserve">FloorworX Superflex fully flexible vinyl floor sheeting 1,2m wide x 2mm thick x 15m long (Subfloor measured elsewhere)  	 	</t>
  </si>
  <si>
    <t>On floors</t>
  </si>
  <si>
    <t>POLISH, SEALERS, ETC</t>
  </si>
  <si>
    <t>Two coats wax polish on vinly floors</t>
  </si>
  <si>
    <t>Bill No. 9: Ironmongery</t>
  </si>
  <si>
    <t>BILL NO. 9</t>
  </si>
  <si>
    <t xml:space="preserve">IRONMONGERY </t>
  </si>
  <si>
    <t>HINGES, BOLTS, ETC</t>
  </si>
  <si>
    <t>100 x 75mm Aluminium hinge with stainless steel washers</t>
  </si>
  <si>
    <t>150mm Chromium plated  barrel bolt</t>
  </si>
  <si>
    <t xml:space="preserve">DOOR LOCKSETS, HANDLES etc. </t>
  </si>
  <si>
    <t>3 lever mortice lock or similar approved</t>
  </si>
  <si>
    <t>75 x 150mm anodised aluminium pull door handles with back plates</t>
  </si>
  <si>
    <t xml:space="preserve">90 x 150mm anodised aluminium pull door handles with back plates </t>
  </si>
  <si>
    <t>PUSH PLATES AND KICKING PLATES</t>
  </si>
  <si>
    <t>079/160 160 x 160 x 1.6mm push plate SS</t>
  </si>
  <si>
    <t>SS5089-650W. Kick plate 813mm x 900mm high</t>
  </si>
  <si>
    <t>DOOR STOP</t>
  </si>
  <si>
    <t>Half Moon Satin Nickel Door Stopper</t>
  </si>
  <si>
    <t>Shelves etc</t>
  </si>
  <si>
    <t xml:space="preserve">Gondola wall band shelving  or similar approved free standing steel shelving units with standard epoxy powder coated finish including heavy duty uprights, open base foot pieces, shelf brackets, shelves, spacers, top rails, top finishing plates </t>
  </si>
  <si>
    <t>2 209  x 914x 2 438mm 5 tier High powder coated mild steel wall bands at 600mm centres fixed with 457mm mild steel wall brackets to 16mm melamine shelves (colour:grey)</t>
  </si>
  <si>
    <t>Magazines and Newpapers Steel Cabinet</t>
  </si>
  <si>
    <t>Desk</t>
  </si>
  <si>
    <t xml:space="preserve">800x 1800 x 700 High Mediterrianean desk 3 drawer pedistal with freestanding "L" extension brown frame with postforme Oak top.
</t>
  </si>
  <si>
    <t>FILING CABINETS</t>
  </si>
  <si>
    <t xml:space="preserve">Locker Logistic filing cabinet with locking mechanism powder coated finish, installed strictly to manufacturer's specifications </t>
  </si>
  <si>
    <t xml:space="preserve">FC-4 four drawer filing cabinet </t>
  </si>
  <si>
    <t>Bill No. 10: Structural Steelwork</t>
  </si>
  <si>
    <t>BILL NO. 10</t>
  </si>
  <si>
    <t>STRUCTURAL STEELWORK</t>
  </si>
  <si>
    <t>SUPPLEMENTARY PREAMBLES</t>
  </si>
  <si>
    <t>Erection shall include site transportation and handling to point of assembly. Supply includes delivery to site</t>
  </si>
  <si>
    <t>All steelwork shall be hot dip galvanised</t>
  </si>
  <si>
    <t>Where materials are not covered by Anglo Specifications included in the Works Information they shall be  supplied to SANS 1431 Gr 300WA and Rolled section shall be supplied to Gr 350WA</t>
  </si>
  <si>
    <t>Structural Steelwork</t>
  </si>
  <si>
    <t>Roof covering an area of 171 meter squared with an overhang of 600mm to have light weight steel trusses and purlins, Bracing strap, screws for truss and screws for fixing purlins</t>
  </si>
  <si>
    <t>Bill No. 11: Metalwork</t>
  </si>
  <si>
    <t>BILL NO. 11</t>
  </si>
  <si>
    <t xml:space="preserve">METALWORK </t>
  </si>
  <si>
    <t xml:space="preserve">Descriptions of bolts shall be deemed to include nuts and washers  </t>
  </si>
  <si>
    <t xml:space="preserve">Descriptions of expansion anchors and bolts and chemical anchors and bolts shall be deemed to include nuts, washers and mortices in brickwork or concrete </t>
  </si>
  <si>
    <t xml:space="preserve">Metalwork described as "holed for bolt(s)" shall be deemed to exclude the bolts unless otherwise described </t>
  </si>
  <si>
    <t>DOORS, WINDOWS, CURTAIN WALLING, SHOPFRONTS, ETC</t>
  </si>
  <si>
    <t>PRESSED STEEL DOOR FRAMES (1,2mm rebated)</t>
  </si>
  <si>
    <t>Supply and install complete rebated frames suitable for brick walls</t>
  </si>
  <si>
    <t>1,2mm Rebated frames suitable For door 883 x 2 032mm high</t>
  </si>
  <si>
    <t>STEEL WINDOWS, DOORS, ETC</t>
  </si>
  <si>
    <t>GALVANISED STEEL WINDOWS, DOORS, ETC</t>
  </si>
  <si>
    <t xml:space="preserve">Standard School Window 900 x 1250 mm high sabs hollow core tube frame completes </t>
  </si>
  <si>
    <t xml:space="preserve">Standard School Window 900 x 550 mm sabs hollow core tube frame completes </t>
  </si>
  <si>
    <t>BENCHES, SEATS, CHAIRS, ETC</t>
  </si>
  <si>
    <t xml:space="preserve">SS Airport four seater free standing chairs, each seat size 420 x 520 wide, finished with epoxy powder coated frame and brushed stainless steel perforated shells, aluminium epoxy powder coated legs including fixing bolts, etc as C21  	 	 	 	</t>
  </si>
  <si>
    <t>SECURITY GATE</t>
  </si>
  <si>
    <t>Supply and install complete security gate suitable for one brick walls</t>
  </si>
  <si>
    <t>Frame for door 864 x 2134mm high Xpanda security gate argent or similar approved (Gs01)</t>
  </si>
  <si>
    <t>Bill No. 12: Plastering</t>
  </si>
  <si>
    <t>BILL NO. 12</t>
  </si>
  <si>
    <t>PLASTERING</t>
  </si>
  <si>
    <t>SCREEDS</t>
  </si>
  <si>
    <t>1:3 Cement plaster screeds steel floated</t>
  </si>
  <si>
    <t>40mm Thick on floors and landings</t>
  </si>
  <si>
    <t xml:space="preserve">INTERNAL PLASTER </t>
  </si>
  <si>
    <t>One coat 1:4 cement plaster  rendering on brickwork with a smooth surface with a steel trowel.</t>
  </si>
  <si>
    <t>On brick walls</t>
  </si>
  <si>
    <t xml:space="preserve">On narrow widths </t>
  </si>
  <si>
    <t>GRANOLITHIC</t>
  </si>
  <si>
    <t>Bill No. 13: plumbing and Drainage</t>
  </si>
  <si>
    <t>BILL NO. 13</t>
  </si>
  <si>
    <t>PLUMBING AND DRAINAGE</t>
  </si>
  <si>
    <t>Wire gratings</t>
  </si>
  <si>
    <t>Descriptions of gutter outlets etc. shall be deemed to include wire balloon gratings</t>
  </si>
  <si>
    <t>Stainless steel basins, sinks, wash troughs, urinals, etc.</t>
  </si>
  <si>
    <t>Stainless steel for economy basins, domestic sinks and worktops shall be Type 430 (17/0)  Stainless steel for urinals, basins, quality sinks, wash troughs, institutional equipment, etc. shall be Type 304 (18/8)  Stainless steel for laboratory sinks, photographic equipment, etc. shall be Type 316 (18/8)  Units shall have standard aprons on all exposed edges and tiling keys against walls where applicable</t>
  </si>
  <si>
    <t>Sealing of edges</t>
  </si>
  <si>
    <t>Outer edges of sinks, basins, baths, urinals, etc. are to be sealed against adjacent surfaces with approved silicone</t>
  </si>
  <si>
    <t>U-PVC pipes and fittings</t>
  </si>
  <si>
    <t>Sewer and drainage pipes and fittings shall be jointed and sealed with butyl rubber rings  Soil, waste and vent pipes and fittings shall be solvent weld jointed or sealed with butyl rubber rings</t>
  </si>
  <si>
    <t>U-PVC pressure pipes and fittings</t>
  </si>
  <si>
    <t>Pipes of 50mm diameter and smaller shall be plain ended with solvent welded U-PVC loose sockets and fittings  Pipes of 63mm diameter and greater shall have sockets and spigots with push-in type integral rubber ring joints.  Bends shall be U-PVC and all other fittings shall be cast iron, all with similar push-in type joints</t>
  </si>
  <si>
    <t>Polypropylene pipes</t>
  </si>
  <si>
    <t>Polypropylene pipes 54mm diameter and smaller shall be seamless copper coloured Class 16 pipes jointed with heat welded thermoplastic or where so described compression fittings  Pipes shall be firmly fixed to walls, etc. with coloured nylon snap-in pipe clips with provision for accommodating thermal movement and jointed and fixed strictly in accordance with the manufacturer's instructions</t>
  </si>
  <si>
    <t>Reducing fittings</t>
  </si>
  <si>
    <t>Where fittings have reducing ends or branches they are described as "reducing" and only the largest end or branch size is given. Should the contractor wish to use other fittings and bushes or reducers he may do so on the understanding that no claim in this regard will be entertained</t>
  </si>
  <si>
    <t>Fixing of pipes</t>
  </si>
  <si>
    <t>Unless specifically otherwise stated, descriptions of pipes shall be deemed to include fixing to walls, etc., casting in, building in or suspending not exceeding 1m below suspension level</t>
  </si>
  <si>
    <t>Paper wrapping to pipes</t>
  </si>
  <si>
    <t>Pipes chased into brickwork must be wrapped with two layers of stout brown paper tied with wire.  Rates are to include for wrapping around joints and fittings</t>
  </si>
  <si>
    <t>Disinfection of water pipework</t>
  </si>
  <si>
    <t>Water pipework is to be disinfected at completion</t>
  </si>
  <si>
    <t>Petrolatum anti-corrosion tape</t>
  </si>
  <si>
    <t>Pipes to be taped shall be coated with the appropriate primer and the tape shall be applied in the appropriate widths and with ?% overlaps  Couplings and fittings to pipes shall be taped in strict accordance with the manufacturer's instructions</t>
  </si>
  <si>
    <t>Prices for wrapping of pipes shall include for all work as described to couplings in the length</t>
  </si>
  <si>
    <t>Laying, backfilling, bedding, etc. of pipes</t>
  </si>
  <si>
    <t>Pipes shall be laid and bedded in accordance with manufacturers' instructions and trenches shall be carefully backfilled</t>
  </si>
  <si>
    <t>Where no manufacturers' instructions exist, pipes shall be laid in accordance with the relevant section of SANS 2001</t>
  </si>
  <si>
    <t>General</t>
  </si>
  <si>
    <t>Descriptions of cast iron roof outlets shall be deemed to include joints to pipes and casting into concrete (adaptors for joints to PVC pipes, etc. are given separately)  Descriptions of overflow pipes where measured in number, shall be deemed to include joints to cisterns and splay cut ends</t>
  </si>
  <si>
    <t>Descriptions of pipes laid in and including trenches and of inspection chambers, catch pits, etc. shall be deemed to include excavation, bedding, backfilling, compaction to a minimum of 93% Mod AASHTO density and disposal of surplus material on site</t>
  </si>
  <si>
    <t>Descriptions of service pipes and flexible connecting pipes shall be deemed to include connections to taps, cisterns, etc. and to steel pipes (adaptors for connections to copper pipes, etc. are given separately)</t>
  </si>
  <si>
    <t>Descriptions of WC pans, slop hoppers, etc. shall be deemed to include for joints to soil pipes (pan connectors are separately measured)</t>
  </si>
  <si>
    <t>As-built drawings</t>
  </si>
  <si>
    <t>Where required, the contractor shall prepare an updated set of as-built drawings.  At completion of the contract the contractor shall hand these drawings to the principal agent for reproducing onto the originals for handing over to the employer (provision for allowance of as-built drawings elsewhere)</t>
  </si>
  <si>
    <t>RAINWATER DISPOSAL:</t>
  </si>
  <si>
    <t>PVC Gutters and Downpipes:</t>
  </si>
  <si>
    <t>100mm x 100mm 0.58mm(Thickness) Traffic green Chromadek rainwater gutter at standard length</t>
  </si>
  <si>
    <t>Extra over eaves gutter for stopped end.</t>
  </si>
  <si>
    <t>Extra over eaves gutter for outlet for 75mm PVC
downpipe.</t>
  </si>
  <si>
    <t>105mm x 70mm x 0.58mm (Thickness) Traffic green rectangular fluted Chromadek. rainwater downpipe at standard length</t>
  </si>
  <si>
    <t>Extra over rainwater downpipe for bends</t>
  </si>
  <si>
    <t>Bill No. 14: Glazing</t>
  </si>
  <si>
    <t>BILL NO. 14</t>
  </si>
  <si>
    <t>GLAZING</t>
  </si>
  <si>
    <t>GLAZING TO STEEL WITH PUTTY</t>
  </si>
  <si>
    <t>4mm Clear float glass</t>
  </si>
  <si>
    <t>Panes exceeding 0,5m2 and not exceeding 2m2</t>
  </si>
  <si>
    <t>Bill No. 15: Paintwork</t>
  </si>
  <si>
    <t>BILL NO. 15</t>
  </si>
  <si>
    <t xml:space="preserve">PAINTWORK </t>
  </si>
  <si>
    <t>Adjoining paint surfaces:  The contractor is to take into consideration that the paintwork to the external facade will be applied to different textures as well as differ in paint specification and colour adjoining each other. No claims whatsoever for cost or time extension will be entertained for the above-mentioned. Quality monitoring of paint surfaces:  The contractor needs to allow for quality checks of all primer coats by an approved authority (for example Qualitec) prior commencement of final coats.  No claims whatsoever for cost or time extension will be entertained for the above-mentioned</t>
  </si>
  <si>
    <t>PREPARATORY WORK TO EXISTING WORK</t>
  </si>
  <si>
    <t>Previously painted plastered surfaces</t>
  </si>
  <si>
    <t>Surfaces shall be thoroughly washed down and allowed to dry completely before any paint is applied. Blistered or peeling paint shall be completely removed and cracks shall be opened, filled with a suitable filler and finished smooth</t>
  </si>
  <si>
    <t>Previously painted metal surfaces</t>
  </si>
  <si>
    <t>Surfaces shall be thoroughly rubbed and cleaned down.  Blistered or peeling paint shall be completely removed down to bare metal</t>
  </si>
  <si>
    <t>Roof Surfaces shall be thoroughly sanded, pressure washed, rust treated and re-sealed before being painted.</t>
  </si>
  <si>
    <t>Previously painted wood surfaces</t>
  </si>
  <si>
    <t>Surfaces shall be thoroughly cleaned down.  Blistered or peeling paint shall be completely removed and cracks and crevices shall be primed, filled with suitable filler and finished smooth</t>
  </si>
  <si>
    <t>PAINTWORK, ETC TO NEW WORK ON:</t>
  </si>
  <si>
    <t xml:space="preserve">FLOATED PLASTER SURFACES WITH </t>
  </si>
  <si>
    <t xml:space="preserve">Apply one coat primer, one coat  undercoat and two coats acrylic PVA. </t>
  </si>
  <si>
    <t>On internal plaster</t>
  </si>
  <si>
    <t>Narrow widths</t>
  </si>
  <si>
    <t>ON FIBRE-CEMENT BOARD SURFACES</t>
  </si>
  <si>
    <t xml:space="preserve">Apply one coat plascon 'merit plaster primer', and two coats plascon 'vip plastic PVA'. </t>
  </si>
  <si>
    <t xml:space="preserve">Ceiling boards </t>
  </si>
  <si>
    <t>Cornices</t>
  </si>
  <si>
    <t>Fascias and barge boards</t>
  </si>
  <si>
    <t>ON METAL SURFACES</t>
  </si>
  <si>
    <t>One coat alkyd based universal undercoat and one coat superior quality universal enamel paint</t>
  </si>
  <si>
    <t>Doors frames</t>
  </si>
  <si>
    <t>Window frame</t>
  </si>
  <si>
    <t>ON WOOD SURFACES WITH</t>
  </si>
  <si>
    <t>One coat oil wood primer, one coat universal undercoat and two coats super universal enamel paint on</t>
  </si>
  <si>
    <t>Doors</t>
  </si>
  <si>
    <t>Skirtings, rails, etc not exceeding 300mm girth</t>
  </si>
  <si>
    <t>Bill No. 16: Electrical Installations</t>
  </si>
  <si>
    <t>BILL NO. 16</t>
  </si>
  <si>
    <t>ELECTRICAL INSTALLATIONS</t>
  </si>
  <si>
    <t xml:space="preserve"> DISTRIBUTION BOARD</t>
  </si>
  <si>
    <t>COMPLETE SUPPLY &amp; INSTALLATION OF ALL MATERIAL LISTED HEREUNDER:</t>
  </si>
  <si>
    <t>NOTE: TENDERERS ARE ADVISED TO STUDY THEPROJECT SPECIFICATION, QUALITY OF MATERIAL AND INSTALLATION SPECIFICATION THAT IS APPLICABLE TO THE EQUIPMENT AND MATERIALS IN THIS BILL</t>
  </si>
  <si>
    <t xml:space="preserve">Distribution Board DB-MC : Media Centre </t>
  </si>
  <si>
    <t>Supply and install flush mounted distribution board complete with doors, frames, sub-frames, chassis, fixtures, fittings, terminations, busbars and wiring with spare space as per specification as well as security detail. Material and labour excluding the items listed hereunder Equipment provided in Distribution Board</t>
  </si>
  <si>
    <t>No.</t>
  </si>
  <si>
    <t>Moulded Case Circuit Breakers</t>
  </si>
  <si>
    <t>10 Ampere S.P. 3 kA</t>
  </si>
  <si>
    <t>20 Ampere S.P. 3 kA</t>
  </si>
  <si>
    <t>30 Ampere S.P. 3kA</t>
  </si>
  <si>
    <t>63 Ampere D.P. 3kA Main switch</t>
  </si>
  <si>
    <t>Earth Leakage Units</t>
  </si>
  <si>
    <t>63 Ampere DP. 3 kA 30 mA</t>
  </si>
  <si>
    <t>Surge Arrestors</t>
  </si>
  <si>
    <t>Domestic S.P. +N 10 kA</t>
  </si>
  <si>
    <t>Labels</t>
  </si>
  <si>
    <t>Danger sign and labels as specified</t>
  </si>
  <si>
    <t>Item</t>
  </si>
  <si>
    <t>Low Voltage Cables</t>
  </si>
  <si>
    <t>600/1000V grade PVC/PVC/SWA/PVC stranded copper conductor cable (terminations and earth conductors elsewhere measured) Cable laid in trenching (excavations elsewhere measured)</t>
  </si>
  <si>
    <t>16mm² x 2-core</t>
  </si>
  <si>
    <t>Cable Terminations connections and commissioning complete including glands, shrouds, lugs,</t>
  </si>
  <si>
    <t xml:space="preserve"> Stranded Copper Earth Wire strapped to Cables including Terminations complete with drilling, bolting, lugs, connections and commissioning</t>
  </si>
  <si>
    <t>10mm² (insulated copper earth wire)</t>
  </si>
  <si>
    <t>EXCAVATIONS</t>
  </si>
  <si>
    <t xml:space="preserve">All excavations, backlocal labour temporary support of sides, keeping excavations dry,  filling and compaction must be done manually using backfilling and compacting to the Engineer's specification. </t>
  </si>
  <si>
    <t>Pickable Soil (0.3 widex0.6 deep)</t>
  </si>
  <si>
    <t>m³</t>
  </si>
  <si>
    <t>For Soft Rock</t>
  </si>
  <si>
    <t>For Hard Rock</t>
  </si>
  <si>
    <t>Bedding under and filling around cables comprising sifted sand</t>
  </si>
  <si>
    <t>CABLE MARKERS</t>
  </si>
  <si>
    <t>PVC warning marking tape roll of 500m</t>
  </si>
  <si>
    <t>S</t>
  </si>
  <si>
    <t>Concrete route markers</t>
  </si>
  <si>
    <t>SLEEVES</t>
  </si>
  <si>
    <t>T</t>
  </si>
  <si>
    <t>110mm dia</t>
  </si>
  <si>
    <t>U</t>
  </si>
  <si>
    <t>50mm dia</t>
  </si>
  <si>
    <t>V</t>
  </si>
  <si>
    <t>32mm dia</t>
  </si>
  <si>
    <t>DRAW WIRE</t>
  </si>
  <si>
    <t>W</t>
  </si>
  <si>
    <t xml:space="preserve">Galvanised 1,6mm dia. draw wire </t>
  </si>
  <si>
    <t>INTERNAL ELECTRICAL INSTALLATION SMALL POWER &amp; LIGHTING</t>
  </si>
  <si>
    <t>Tenderers are advised to study the specification before pricing the bill.</t>
  </si>
  <si>
    <t>(Complete installation : Internal Electrical Installation)</t>
  </si>
  <si>
    <t>SMALL POWER AND LIGHTING</t>
  </si>
  <si>
    <t>Conduit and accessories as specified. Conduit placed in position for casting into concrete or screed, for building or chased into concrete or brickwork and for surface mounted in ceiling void including bending, threading, jointing, short lengths, draw boxes, couplings, bends, tees and saddles.</t>
  </si>
  <si>
    <t>X</t>
  </si>
  <si>
    <t>20mm</t>
  </si>
  <si>
    <t>Y</t>
  </si>
  <si>
    <t>25mm</t>
  </si>
  <si>
    <t>Round conduit box as specified placed in position for casting into concrete, building or chased into brickwork or surface mounted including locknuts and bushes</t>
  </si>
  <si>
    <t>Z</t>
  </si>
  <si>
    <t>60mm deep</t>
  </si>
  <si>
    <t>Wall boxes as specified placed in position for casting into concrete, building or chased into brickwork including locknuts and bushes</t>
  </si>
  <si>
    <t>Where cavity walls or face brick walls are encountered tenderers must allow to install deep back to back (one end closed) wall boxes</t>
  </si>
  <si>
    <t>AA</t>
  </si>
  <si>
    <t>100 x 50mm</t>
  </si>
  <si>
    <t>AB</t>
  </si>
  <si>
    <t>100 x 100mm</t>
  </si>
  <si>
    <t>Blank Boxes &amp; Covers</t>
  </si>
  <si>
    <t>AC</t>
  </si>
  <si>
    <t xml:space="preserve">100x100mm </t>
  </si>
  <si>
    <t>Conductors</t>
  </si>
  <si>
    <t>600/1000V grade PVC insulated stranded copper conductors drawn</t>
  </si>
  <si>
    <t>into conduit</t>
  </si>
  <si>
    <t>AD</t>
  </si>
  <si>
    <t>2,5mm²</t>
  </si>
  <si>
    <t>AE</t>
  </si>
  <si>
    <t>4,0mm²</t>
  </si>
  <si>
    <t>AF</t>
  </si>
  <si>
    <t>6,0mm²</t>
  </si>
  <si>
    <t>Bare stranded copper earth conductors drawn into conduits</t>
  </si>
  <si>
    <t xml:space="preserve"> </t>
  </si>
  <si>
    <t>AG</t>
  </si>
  <si>
    <t>ABC Elec</t>
  </si>
  <si>
    <t>Appliances</t>
  </si>
  <si>
    <t>Complete with cover plate fixed in flush boxes (boxes elsewhere measured)</t>
  </si>
  <si>
    <t xml:space="preserve">Socket Outlets </t>
  </si>
  <si>
    <t>Double 16 Ampere round 3-pin 250V grade</t>
  </si>
  <si>
    <t>AH</t>
  </si>
  <si>
    <t>Switched socket outlet</t>
  </si>
  <si>
    <t>AJ</t>
  </si>
  <si>
    <t>Telephone point complete with boxes and covers on 100 x 100 box</t>
  </si>
  <si>
    <t>AK</t>
  </si>
  <si>
    <t>Data point complete with boxes and covers on 100 x 100 box</t>
  </si>
  <si>
    <t>AL</t>
  </si>
  <si>
    <t>Underfloor duct plug station (4)</t>
  </si>
  <si>
    <t>AM</t>
  </si>
  <si>
    <t>20A Isolators</t>
  </si>
  <si>
    <t>AN</t>
  </si>
  <si>
    <t>32A Isolators</t>
  </si>
  <si>
    <t>AP</t>
  </si>
  <si>
    <t>60A Isolators</t>
  </si>
  <si>
    <t>Light Switches</t>
  </si>
  <si>
    <t>AQ</t>
  </si>
  <si>
    <t>16 Ampere 250V grade single lever one way</t>
  </si>
  <si>
    <t>AR</t>
  </si>
  <si>
    <t>16 Ampere 250V grade single lever two way</t>
  </si>
  <si>
    <t>AS</t>
  </si>
  <si>
    <t>16 Ampere 250V grade double lever one way</t>
  </si>
  <si>
    <t>AT</t>
  </si>
  <si>
    <t>17 Ampere 250V grade four lever one way</t>
  </si>
  <si>
    <t>AU</t>
  </si>
  <si>
    <t>Galvanised draw wire (1.6mm)</t>
  </si>
  <si>
    <t>APPLIANCES</t>
  </si>
  <si>
    <t>Surface mounted appliance complete</t>
  </si>
  <si>
    <t>AV</t>
  </si>
  <si>
    <t>16 Ampere photo cell in an empty luminaire</t>
  </si>
  <si>
    <t>LUMINAIRES</t>
  </si>
  <si>
    <t>Installed and mounted to round boxes in brickwork or ceiling including</t>
  </si>
  <si>
    <t>all fixings, brackets, supports, connectors, connections and lamps.</t>
  </si>
  <si>
    <t>Type A</t>
  </si>
  <si>
    <t>AW</t>
  </si>
  <si>
    <t>1200mm long 2 x 18W LED lamp Open channel switch start  luminaire as per  quality specification.</t>
  </si>
  <si>
    <t>Type C1</t>
  </si>
  <si>
    <t>AX</t>
  </si>
  <si>
    <t>1 x 9W LED lamp bulkhead fitting with high pressure die cast aluminium base and an opal non discoloring acrylic diffuser. IP 65 rated. White</t>
  </si>
  <si>
    <t>Type C2</t>
  </si>
  <si>
    <t>AY</t>
  </si>
  <si>
    <t>1 x 28W LED lamp decorative bulkhead fitting with  aluminium base and an opal non discoloring acrylic diffuser. IP 65 rated, Black</t>
  </si>
  <si>
    <t>EARTHING INSTALLATION</t>
  </si>
  <si>
    <t>Conduit : Prices include cutting, bending, threading, reaming bending, setting, joints, draw boxes, expansion joint boxes and installation materials.</t>
  </si>
  <si>
    <t>Prices for concealed conduit shall be averaged for installation in any of the following situations:</t>
  </si>
  <si>
    <t>a) cast in concrete</t>
  </si>
  <si>
    <t>b) built in brickwork</t>
  </si>
  <si>
    <t>c) chased in brickwork</t>
  </si>
  <si>
    <t>AZ</t>
  </si>
  <si>
    <t xml:space="preserve">Trenches </t>
  </si>
  <si>
    <t>AAA</t>
  </si>
  <si>
    <t>Imported material for trenches 0,5 m deep for 70 mm²  bare stranded copper earth conductor :</t>
  </si>
  <si>
    <t>AAB</t>
  </si>
  <si>
    <t>a)  Soft sifted soil</t>
  </si>
  <si>
    <t>m3</t>
  </si>
  <si>
    <t>AAC</t>
  </si>
  <si>
    <t>70mm² bare stranded copper ( From earth bar to Roof structure)</t>
  </si>
  <si>
    <t>AAD</t>
  </si>
  <si>
    <t xml:space="preserve">16mm² PVC insulated </t>
  </si>
  <si>
    <t>AAE</t>
  </si>
  <si>
    <t>16mm² hard drawn aluminium</t>
  </si>
  <si>
    <t>AAF</t>
  </si>
  <si>
    <t>Supply and install Test terminals block with sliding lock in 100mmx100mm PVC box with cover, at bottom of each down conductor (450mm AFFL) complete with roll bolts.</t>
  </si>
  <si>
    <t>no</t>
  </si>
  <si>
    <t>AAG</t>
  </si>
  <si>
    <t>1,8 m Earth Rods</t>
  </si>
  <si>
    <t>AAH</t>
  </si>
  <si>
    <t>Cadwelds/Bolted connections</t>
  </si>
  <si>
    <t>AAJ</t>
  </si>
  <si>
    <t>16mm² to roof structures (Connection to roof sheet, with lugs)</t>
  </si>
  <si>
    <t>AAK</t>
  </si>
  <si>
    <t>70mm² to steel reinforcing</t>
  </si>
  <si>
    <t>AAL</t>
  </si>
  <si>
    <t>70mm² to earth rods</t>
  </si>
  <si>
    <t>Drilling</t>
  </si>
  <si>
    <t>AAM</t>
  </si>
  <si>
    <t>Drilling of 1,8m deep holes in solid rock</t>
  </si>
  <si>
    <t>Accessories</t>
  </si>
  <si>
    <t>AAN</t>
  </si>
  <si>
    <t>25mm x 5mm copper plated flat bar DB</t>
  </si>
  <si>
    <t>AAP</t>
  </si>
  <si>
    <t>Bonding strips for water pipe installations</t>
  </si>
  <si>
    <t>AAQ</t>
  </si>
  <si>
    <t>Testing to ensure that earthing are according to SABS   specification, do all nessasary corrections to the existing  installation in order to issue a new earthing and lightning  certificate</t>
  </si>
  <si>
    <t>TESTING AND COMMISSIONING</t>
  </si>
  <si>
    <t>AAR</t>
  </si>
  <si>
    <t>Testing and commission of the complete electrical  installation including</t>
  </si>
  <si>
    <t>DB CoC</t>
  </si>
  <si>
    <t>Bill No. 17: Provisional Sums</t>
  </si>
  <si>
    <t>BILL NO. 17</t>
  </si>
  <si>
    <t xml:space="preserve">PROVISIONAL SUM </t>
  </si>
  <si>
    <t>FIRE EQUIPMENT</t>
  </si>
  <si>
    <t>Allow a provisional sum of R10 000 (Ten Thousand Rand) for the supply and installation of fire equipment.</t>
  </si>
  <si>
    <t>Allow for attendance</t>
  </si>
  <si>
    <t>%</t>
  </si>
  <si>
    <t>Allow for profit</t>
  </si>
  <si>
    <t>SIGNAGE</t>
  </si>
  <si>
    <t xml:space="preserve">Allow a sum of R 5 000 (Five Thousand Rands) for door letters and name plates including rectangular sign boards </t>
  </si>
  <si>
    <t>LOOSE FURNITURE</t>
  </si>
  <si>
    <t>Allow a sum of R 20 000 (Twenty Thousand Rands) for supply and delivery of loose furniture</t>
  </si>
  <si>
    <t>Section 3: Admin Block</t>
  </si>
  <si>
    <t>SECTION NO. 3</t>
  </si>
  <si>
    <t>LEPHADIMISHA - ADMIN BLOCK</t>
  </si>
  <si>
    <t>Ref 395 layer mesh in slab and surface bed</t>
  </si>
  <si>
    <t>Slabs, including beams and inverted beams</t>
  </si>
  <si>
    <t>In veranda</t>
  </si>
  <si>
    <t>300mm Hollow walls of two half brick skins with cavities filled in with and including reinforced 15MPa/20mm concrete</t>
  </si>
  <si>
    <t xml:space="preserve">230mm Wide brick reinforcement </t>
  </si>
  <si>
    <t>To floors</t>
  </si>
  <si>
    <t>To apron</t>
  </si>
  <si>
    <t>0,6mm IBR ROOF SHEETING.</t>
  </si>
  <si>
    <t>Roof covering with pitched new canopies exceeding 15 degrees</t>
  </si>
  <si>
    <t>Size 1612 x 2032 x 44mm thick solid timber door with concealed hardwood edges and Masonite finish to both sides. external quality (T01)</t>
  </si>
  <si>
    <t>Size 813 x 2032 x 44mm thick solid timber door with concealed hardwood edges and Masonite finish to both sides  (TO3)</t>
  </si>
  <si>
    <t xml:space="preserve">Installation of carpentry and joinery fittings. Supply and installation of kitchen and sink cupboards complete. </t>
  </si>
  <si>
    <t>Aerolite Pink 50mm</t>
  </si>
  <si>
    <t>90 x 150mm anodised aluminium pull door handles with back plates.</t>
  </si>
  <si>
    <t>DOOR CLOSERS</t>
  </si>
  <si>
    <t>Code AB4370ESR door closer (390 x 84 x 225mm) Yale Hydraulic Door Closer - Silver)</t>
  </si>
  <si>
    <t>PINNING BOARDS, WRITING BOARDS, PROJECTION SCREENS, ETC</t>
  </si>
  <si>
    <t>Parrots</t>
  </si>
  <si>
    <t>Pinning board 2400 x 1200mm high</t>
  </si>
  <si>
    <t>Roof covering an area of 295 meter squared with an overhang of 600mm to have light weight steel trusses and purlins, Bracing strap, screws for truss and screws for fixing purlins</t>
  </si>
  <si>
    <t>1,2mm Rebated frames suitable For door 813 x 2 032mm high</t>
  </si>
  <si>
    <t>1,2mm Rebated frames suitable For door 1612 x 2 032mm high</t>
  </si>
  <si>
    <t>Standard school windows Window 900 x 900 mm high with 4mm clear safety glass</t>
  </si>
  <si>
    <t>Standard school windows Window  1500 x 1200 mm high with 4mm clear safety glass</t>
  </si>
  <si>
    <t>Standard school windows Window 600 x 900 mm high with 4mm clear safety glass</t>
  </si>
  <si>
    <t>Standard school windows Window 2100 x 1200 mm high with 4mm clear safety glass</t>
  </si>
  <si>
    <t>Standard 864 x 2134 mm sabs hollow core tube frame completes with
standard butt hinges (Gs01)</t>
  </si>
  <si>
    <t>Standard 1797 x 1908 mm sabs hollow core tube frame completes with
standard butt hinges (FD1)</t>
  </si>
  <si>
    <t>Aluminium frame complete with reception glass barrier 1233x 2907 mm high (SF-01)</t>
  </si>
  <si>
    <t>Aluminium frame complete with reception glass barrier 1233x 1200 mm high (SF-02)</t>
  </si>
  <si>
    <t>Aluminium frame complete with reception glass barrier 1233x 1200 mm high (SF-03)</t>
  </si>
  <si>
    <t>Frame for door 976 x 1908mm high Xpanda security gate argent or similar approved (Gs01)</t>
  </si>
  <si>
    <t>Frame for door 1797 x 1908mm high Xpanda security gate argent or similar approved (Gs01)</t>
  </si>
  <si>
    <t>STEEL STRONGROOM DOORS, VENTILATORS, ETC</t>
  </si>
  <si>
    <t>"Chubb Safes" strongroom doors etc suitable for 230mm walls, fixed
to brickwork or concrete</t>
  </si>
  <si>
    <t>"Light Duty" category 2AE (12mm) strongroom door and frame for
wall opening 950 x 1935mm high (mass 495kg)</t>
  </si>
  <si>
    <t>SANITARY FITTINGS</t>
  </si>
  <si>
    <t>VAAL or Equally Approved</t>
  </si>
  <si>
    <t>SINK</t>
  </si>
  <si>
    <t>Drop-on type sink and drainer size 1360mm long x 500mm wide of grade 304 (18/10) stainless steel with bowl complete with 40mm chromium plated brass unslotted wastes, plugs and chains and fixing to top of timber cabinet (elsewhere). Sink complete with sink mixer</t>
  </si>
  <si>
    <t>Basins</t>
  </si>
  <si>
    <t>510 x 405mm Vaal "Hibiscus" Sanitary ware vitreous China basin with three semi-punched tap holes integrated overflow and chain stay hole through the centre semi-punched. Basin complete with basin mixer</t>
  </si>
  <si>
    <t>Bottle trap, 32mm, chrome with 75mm deep re-seal and adjustable telescopic pipe, and 1¼" female inlet x 1¼" male outlet. (Code:COB-340)</t>
  </si>
  <si>
    <t>Anti-theft plug for basin wastes, chrome-plated with 72mm spindle and spindle-locking tab, and 39mm diameter plug. (Code: COB-309-32)</t>
  </si>
  <si>
    <t>WC</t>
  </si>
  <si>
    <t>Neo Classic  close couple suite white WC pan 354 x 180 x 400mm (CODE: S0012393)</t>
  </si>
  <si>
    <t>PARAPLEGIC</t>
  </si>
  <si>
    <t>Vaal Sanitaryware vitreous china “Protea Paraplegic” 90° outlet pan (code 750200) and matching 9 litre cistern (code 7116LP) complete with lid, fitments, and purpose-made C.P. side-flush lever (left or right) or a back inlet exposed flushvalve. Bottom inlet water supply must be on same side as flush lever. The suite is designed to flush effectively on 6 litres</t>
  </si>
  <si>
    <t>WINDOW GLASS</t>
  </si>
  <si>
    <t>4mm clear float glass puttied in steel window putty for 900 x 900 window frame</t>
  </si>
  <si>
    <t>4mm clear float glass puttied in steel window putty for 1500 x 1200 window frame</t>
  </si>
  <si>
    <t>4mm clear float glass puttied in steel window putty for 600 x 900 window frame</t>
  </si>
  <si>
    <t>4mm clear float glass puttied in steel window putty for 2100 x 1200 window frame</t>
  </si>
  <si>
    <t>SMOOTH CONCRETE SURFACES WITH</t>
  </si>
  <si>
    <t>One coat alkali resistant plaster primer and two coats PVA acrylic
emulsion paint on</t>
  </si>
  <si>
    <t>Ceilings and beams</t>
  </si>
  <si>
    <t>Fascia boards</t>
  </si>
  <si>
    <t>WOOD SURFACES</t>
  </si>
  <si>
    <t xml:space="preserve">One coat oil wood primer, one coat universal undercoat and two coats super universal enamel paint on </t>
  </si>
  <si>
    <t xml:space="preserve">Doors </t>
  </si>
  <si>
    <t>Meranti skirting</t>
  </si>
  <si>
    <t>ELECTRICAL WORK</t>
  </si>
  <si>
    <t>ELECTRICAL INSTALLATION</t>
  </si>
  <si>
    <t>DISTRIBUTION BOARDS</t>
  </si>
  <si>
    <t>Distribution Board DB-1 : Administration Building</t>
  </si>
  <si>
    <t>Equipment provided in Distribution Board</t>
  </si>
  <si>
    <t>Moulded Case Isolators</t>
  </si>
  <si>
    <t>Items</t>
  </si>
  <si>
    <t>INTERNAL ELECTRICAL INSTALLATION</t>
  </si>
  <si>
    <t>SMALL POWER &amp; LIGHTING</t>
  </si>
  <si>
    <t>Conduit and accessories as specified.</t>
  </si>
  <si>
    <t>60 mm deep</t>
  </si>
  <si>
    <t>Isolator 30 Ampere DP</t>
  </si>
  <si>
    <t>60A Isolators (geyser &amp; stove)</t>
  </si>
  <si>
    <t xml:space="preserve">600/1000V grade PVC insulated stranded </t>
  </si>
  <si>
    <t>copper conductors drawn into conduit</t>
  </si>
  <si>
    <t>Bare stranded copper earth conductors drawn</t>
  </si>
  <si>
    <t>into conduits</t>
  </si>
  <si>
    <t xml:space="preserve">Complete with cover plate fixed in flush boxes </t>
  </si>
  <si>
    <t>(boxes elsewhere measured)</t>
  </si>
  <si>
    <t>Single 16 Ampere round 3-pin 250V grade Switched socket outlet</t>
  </si>
  <si>
    <t>on power skirting</t>
  </si>
  <si>
    <t>Telephone point complete with boxes and covers on power skirting</t>
  </si>
  <si>
    <t>Data point complete with boxes and covers on power skirting</t>
  </si>
  <si>
    <t>(Complete installation : wireways for telephone and intercom system)</t>
  </si>
  <si>
    <t>WIREWAYS AND FITTINGS</t>
  </si>
  <si>
    <t xml:space="preserve">Conduit &amp; accessories as specified in the quality </t>
  </si>
  <si>
    <t xml:space="preserve">specification conduit placed in position for casting </t>
  </si>
  <si>
    <t>into concrete or screed, for building or chased</t>
  </si>
  <si>
    <t xml:space="preserve">into concrete or brickwork and for surface </t>
  </si>
  <si>
    <t xml:space="preserve">mounted in ceiling void including bending, </t>
  </si>
  <si>
    <t xml:space="preserve">threading, jointing, short lengths, draw </t>
  </si>
  <si>
    <t>boxes, couplings, bends, tees and saddles</t>
  </si>
  <si>
    <t xml:space="preserve">Wall boxes as specified placed in </t>
  </si>
  <si>
    <t xml:space="preserve">position for casting into concrete, building or </t>
  </si>
  <si>
    <t>chased into brickwork including locknuts</t>
  </si>
  <si>
    <t>and bushes</t>
  </si>
  <si>
    <t xml:space="preserve">Where cavity walls or face brick walls are </t>
  </si>
  <si>
    <t xml:space="preserve">encountered tenderers must allow to install </t>
  </si>
  <si>
    <t>deep back to back (one end closed) wall</t>
  </si>
  <si>
    <t>boxes</t>
  </si>
  <si>
    <t>300 x 300 x 75mm including door as specified</t>
  </si>
  <si>
    <t>Blank Covers</t>
  </si>
  <si>
    <t>Galvanised 1,6mm draw wire</t>
  </si>
  <si>
    <t xml:space="preserve">Installed and mounted to round boxes in </t>
  </si>
  <si>
    <t xml:space="preserve">brickwork or ceiling including all fixings, </t>
  </si>
  <si>
    <t>brackets, supports, connectors,</t>
  </si>
  <si>
    <t>connections and lamps.</t>
  </si>
  <si>
    <t>1 x 18W LED lamp bulkhead fitting with high pressure die cast aluminium base and an opal non discoloring acrylic diffuser. IP 65 rated. White</t>
  </si>
  <si>
    <t>1 x 18W LED lamp bulkhead fitting with high pressure die cast aluminium base and an opal non discoloring acrylic diffuser. IP 65 rated. Black</t>
  </si>
  <si>
    <t>TELEPHONE DISTRIBUTION BOARD</t>
  </si>
  <si>
    <t xml:space="preserve">Flush mounted telephone distribution board </t>
  </si>
  <si>
    <t xml:space="preserve">size 450 x 450 x 180mm flush mounted </t>
  </si>
  <si>
    <t xml:space="preserve">complete with doors, frames, sub-frames, </t>
  </si>
  <si>
    <t>fixtures and 20mm thick soft board</t>
  </si>
  <si>
    <r>
      <t xml:space="preserve">Testing to ensure that earthing are according to </t>
    </r>
    <r>
      <rPr>
        <sz val="10"/>
        <color rgb="FFFF0000"/>
        <rFont val="Arial"/>
        <family val="2"/>
      </rPr>
      <t>SABS</t>
    </r>
    <r>
      <rPr>
        <sz val="10"/>
        <rFont val="Arial"/>
        <family val="2"/>
      </rPr>
      <t xml:space="preserve">   specification, do all nessasary corrections to the existing  installation in order to issue a new earthing and lightning  certificate</t>
    </r>
  </si>
  <si>
    <t xml:space="preserve">Testing and commission of the complete </t>
  </si>
  <si>
    <t>electrical  installation including DB CoC</t>
  </si>
  <si>
    <t>DRAINAGE AND WATER RETICULATION SYSTEM</t>
  </si>
  <si>
    <t>Allow a provisional sum of R60 000 (Sixty Thousand Rand) for the supply and installation of the drainage and water reticulation system</t>
  </si>
  <si>
    <t>Allow a provisional sum of R20 000 (Twenty Thousand Rand) for the supply and installation of fire equipment.</t>
  </si>
  <si>
    <t>SHELVING</t>
  </si>
  <si>
    <t>Allow a sum of R 280 000 (Two Hundred and Eighty Thousand Rands) for all Shelving including worktops.</t>
  </si>
  <si>
    <t>Allow a sum of R 150 000 (One Fifty Thousand Rands) for supply and delivery of loose furniture</t>
  </si>
  <si>
    <t>Section 4: Classroom Conversion to SNP Kitchen</t>
  </si>
  <si>
    <t>Bill No. 1: Alterations</t>
  </si>
  <si>
    <t>SECTION NO. 4</t>
  </si>
  <si>
    <t>LEPHADIMISHA - CLASSROOM CONVERSION TO SNP KITCHEN</t>
  </si>
  <si>
    <t>ALTERATIONS</t>
  </si>
  <si>
    <t>View site</t>
  </si>
  <si>
    <t>Before submitting his tender the tenderer shall visit the site and satisfy himself as to the nature and extent of the work to be done and the value of the materials salvageable from the alterations.  No claim for any variations of the contract sum in respect of the nature and extent of the work or of inferior or damaged materials will be entertained</t>
  </si>
  <si>
    <t>Explosives</t>
  </si>
  <si>
    <t>No explosives whatsoever may be used for alteration purposes unless otherwise stated</t>
  </si>
  <si>
    <t>SCHOOL TO REMAIN OPERATIONAL: Tenderers are to note that all existing buildings of the facility will remain occupied and fully operational during the construction period and due allowance must be made for the work being carried out at such times and in such manner as directed by the Principal Agent to ensure the least interference with the routine of the School.</t>
  </si>
  <si>
    <t>Doors, fanlights, windows, fittings, frames, linings, etc which are to be re-used shall be thoroughly overhauled before refixing including taking off, easing and rehanging, cramping up, re-wedging as required and making good cramps, dowels, etc, and oiling, adjusting and repairing ironmongery as necessary, replacing any glass damaged in removal or subsequently and stopping up all nail and screw holes with tinted plastic wood to match timber, unless otherwise described. Re-painting or re-varnishing is given separately</t>
  </si>
  <si>
    <t>Prices for taking out of doors, windows, etc shall include for removal of all beads, architraves, ironmongery, etc</t>
  </si>
  <si>
    <t>Prices for taking out and removing doors and frames shall include for removing door stops, cabin hooks, etc</t>
  </si>
  <si>
    <t>With regard to building up of openings in existing walls, cement screeds and pavings, granolithic, tops of walls, etc, shall be levelled and prepared for raising of brickwork</t>
  </si>
  <si>
    <t>Making good of finishes shall include making good of the brick and concrete surfaces onto which the new finishes are applied, where necessary</t>
  </si>
  <si>
    <t>The contractor will be required to take all dimensions affecting the existing buildings on the site and he will be held solely responsible for the accuracy of all such dimensions where used in the manufacture of new items (doors, windows, fittings, etc)</t>
  </si>
  <si>
    <t>REMOVAL OF EXISTING WORK</t>
  </si>
  <si>
    <t>Breaking down and removing brickwork etc</t>
  </si>
  <si>
    <t>One brick walls</t>
  </si>
  <si>
    <t>Taking out/off and removing sundry metalwork</t>
  </si>
  <si>
    <t>30mm Screeds from floors</t>
  </si>
  <si>
    <t>Taking out and removing glass and mirrors</t>
  </si>
  <si>
    <t>Glass from steel windows, including cleaning out rebates and
preparing for new glass</t>
  </si>
  <si>
    <t xml:space="preserve">Taking out/off broken pin board and replace with new one </t>
  </si>
  <si>
    <t>Model 2402 green type writing board, wall mounted
board 2,00 x 1,20m high</t>
  </si>
  <si>
    <t xml:space="preserve">Removing Broken ceiling and replace with new one </t>
  </si>
  <si>
    <t>Ceilings and cornices</t>
  </si>
  <si>
    <t>Bill No. 2: Earthworks</t>
  </si>
  <si>
    <t>Bill No. 3: Concrete (Structural)</t>
  </si>
  <si>
    <t>high-tensile steel bars</t>
  </si>
  <si>
    <t>In Thickening</t>
  </si>
  <si>
    <t xml:space="preserve">Wooden floated finish </t>
  </si>
  <si>
    <t>Bill No. 4: Masonry</t>
  </si>
  <si>
    <t>Bill No. 5: Waterproofing</t>
  </si>
  <si>
    <t>Bill No. 6: Capentry</t>
  </si>
  <si>
    <t>Size 813x2032x40mm semi solid core door. finish with 1 coat universal undercoat and 2 coats Enamel paint. Galvanized Finish (T01)</t>
  </si>
  <si>
    <t>Size 813x2032x40mm semi solid core door. finish with 1 coat universal undercoat and 2 coats Enamel paint. Galvanized Finish  (TO2)</t>
  </si>
  <si>
    <t>Size 813x2032x40mm semi solid core door with louvre. finish with 1 coat universal undercoat and 2 coats Enamel paint. Galvanized Finish  (TO3)</t>
  </si>
  <si>
    <t>Bill No. 10: Ironmongery</t>
  </si>
  <si>
    <t>1,2mm Rebated frames suitable For door 800 x 2 032mm high</t>
  </si>
  <si>
    <t>Standard school windows Window 855 x 890 mm high with 4mm clear safety glass</t>
  </si>
  <si>
    <t xml:space="preserve">1175 X 2500 mm high roller sutter door, inclusive of glavanised steel 76x38x2.5mm Guidees and 75x1mm steel Galvanised roller sutter slats 	 	 	</t>
  </si>
  <si>
    <t>Bill No. 13: Plumbing and Drainage</t>
  </si>
  <si>
    <t>4mm clear float glass puttied in steel window putty for 855 x 890 window frame</t>
  </si>
  <si>
    <t>Bill No. 17: Provisional Sum</t>
  </si>
  <si>
    <t>Allow a provisional sum of R20 000 (Twenty Thousand Rand) for the supply and installation of the drainage and water reticulation system as per mechanical drawings</t>
  </si>
  <si>
    <t>Allow a sum of R 80 000 (Eighty Thousand Rands) for all Shelving including worktops.</t>
  </si>
  <si>
    <t>KITCHEN EQUIPMENT</t>
  </si>
  <si>
    <t>Allow a sum of R 50 000 (Fifty Thousand Rands) for all kitchen equipment</t>
  </si>
  <si>
    <t>Section 5: Refurbishment of Existing Classrooms</t>
  </si>
  <si>
    <t>SECTION NO. 5</t>
  </si>
  <si>
    <t>LEPHADIMISHA - REFURBISHMENT OF EXISTING CLASSROOMS</t>
  </si>
  <si>
    <t>Taking out and removing doors, windows, etc from brickwork to be
replaced with new</t>
  </si>
  <si>
    <t>Timber single door and steel frame 813 x 2032mm high overall from one brick wall</t>
  </si>
  <si>
    <t>Taking down and removing roofs, floors, panelling, ceilings, partitions, etc</t>
  </si>
  <si>
    <t>Corrugated iron roof covering and timber purlins</t>
  </si>
  <si>
    <t>Gypsum plasterboard ceilings, including cornices, timber brandering,
etc</t>
  </si>
  <si>
    <t>Broken Fascias and Barge boards</t>
  </si>
  <si>
    <t xml:space="preserve">Taking out/off broken pin board,chalk board and replace with new one </t>
  </si>
  <si>
    <t>Green type writing board, wall mounted
board 2000mm x 1200mm high</t>
  </si>
  <si>
    <t>Hacking up/off and removing granolithic, screeds, plaster, etc from concrete or brickwork and preparing surfaces for new screed, plaster, tile finishes, etc</t>
  </si>
  <si>
    <t>PREPARATORY WORK TO EXISTING SURFACES</t>
  </si>
  <si>
    <t>Hacking faces of existing painted walls to receive new paint</t>
  </si>
  <si>
    <t>CLEANING OF WALLS</t>
  </si>
  <si>
    <t>Cleaning of face brick walls</t>
  </si>
  <si>
    <t>Bill No. 2: Roof Coverings</t>
  </si>
  <si>
    <t>75mm insulation on straining wires, as per manufacturer's specification (of 4 existing classrom blocks)</t>
  </si>
  <si>
    <t>Bill No. 3: Capentry</t>
  </si>
  <si>
    <t>Size 813 x 2032 mm high doors 40mm thick internal solid timber door (T01)</t>
  </si>
  <si>
    <t>Bill No. 4: Ceilings</t>
  </si>
  <si>
    <t>Extra over ceiling for 600 x 600mm pressed steel trap door, hinged to open 180 degree onto ceiling, in 610 x 610mm T-section steel frame</t>
  </si>
  <si>
    <t>45 x 35mm Gyproc 9,5mm flush plaster trim cornices</t>
  </si>
  <si>
    <t>Bill No. 5: Ironmongery</t>
  </si>
  <si>
    <t>Green Chalkboard 4860mm x 1440mm high with chalk rail</t>
  </si>
  <si>
    <t>white writing board 3000mm x 1200mm high with pen rail, plugged</t>
  </si>
  <si>
    <t>Bill No. 6: Structural Steelwork</t>
  </si>
  <si>
    <t>Roof covering an area of 1104 meter squared with an overhang of 600mm to have light weight steel trusses and purlins, Bracing strap, screws for truss and screws for fixing purlins</t>
  </si>
  <si>
    <t>Bill No. 7: Metalwork</t>
  </si>
  <si>
    <t>Frame for door 813 x 2125mm high Xpanda security gate argent or similar approved (Gs01)</t>
  </si>
  <si>
    <t>Bill No. 8: Plastering</t>
  </si>
  <si>
    <t>Bill No. 9: Plumbing and Drainage</t>
  </si>
  <si>
    <t>RAINWATER DISPOSAL</t>
  </si>
  <si>
    <t>Bill No. 10: Glazing</t>
  </si>
  <si>
    <t>Repair of broken window glazing including fixing the putty</t>
  </si>
  <si>
    <t>4mm clear float glass puttied in steel window putty for 900 x 1250 window frame</t>
  </si>
  <si>
    <t>Bill No. 11: Paintwork</t>
  </si>
  <si>
    <t>WOOD SURFACES WITH</t>
  </si>
  <si>
    <t>One coat oil wood primer, one coat universal undercoat and two coats
super universal enamel paint on</t>
  </si>
  <si>
    <t>PAINTWORK, ETC TO PREVIOUSLY PAINTED
WORK ON</t>
  </si>
  <si>
    <t>External walls</t>
  </si>
  <si>
    <t>Internal walls</t>
  </si>
  <si>
    <t>Bill No. 12: Electrical Installations</t>
  </si>
  <si>
    <t>Distribution Board DB-5 : 3 Classroom Block E</t>
  </si>
  <si>
    <t>10mm² x 2-core</t>
  </si>
  <si>
    <t>Cable Terminations complete including glands, shrouds, lugs,</t>
  </si>
  <si>
    <t>connections and commissioning</t>
  </si>
  <si>
    <t xml:space="preserve">
EXCAVATIONS</t>
  </si>
  <si>
    <t>Bill No. 13: Provisional Sums</t>
  </si>
  <si>
    <t>Allow a provisional sum of R50 000 (Fifty Thousand Rand) for the supply and installation of fire equipment.</t>
  </si>
  <si>
    <t xml:space="preserve">Allow a sum of R 30 000 (Thirty Thousand Rands) for door letters and name plates including rectangular sign boards </t>
  </si>
  <si>
    <t>Section 6: Demolition of Existing Buildings</t>
  </si>
  <si>
    <t>Bill No. 1: Demolition</t>
  </si>
  <si>
    <t>SECTION NO. 6</t>
  </si>
  <si>
    <t>LEPHADIMISHA - DEMOLITION OF EXISTING LIBRARY AND MULTI-PURPOSE CLASSROOMS BLOCK</t>
  </si>
  <si>
    <t>DEMOLITIONS</t>
  </si>
  <si>
    <t>Unless otherwise stated, all materials from the alterations and demolition will belong to the builder</t>
  </si>
  <si>
    <t>The builder should allow for the removal of all debris from site and keeping the site clean at all times</t>
  </si>
  <si>
    <t>The Contractor should allow for removing of rubble from site on daily basis, failing which the client might stop the construction until the site has been cleaned.</t>
  </si>
  <si>
    <t>NATURE OF WORK: Tenderers are advised to visit the site and thoroughly acquaint themselves with the nature of demolitions, the nature and the extent the work to be done and adequate provisions are to be made in tendered rates for items not specifically mentioned which they may deem necessary for the proper completion of the work</t>
  </si>
  <si>
    <t>DEMOLITIONS OF BUILDINGS: Tenderers are to note that tendered rates for the demolitions of buildings are to cater for the following:</t>
  </si>
  <si>
    <t>The temporary closing off and/or diversion of existing services i.e. water supply, sewer lines, etc</t>
  </si>
  <si>
    <t>The complete ripping out and removal of old foundations and deed underground services as referred to above.</t>
  </si>
  <si>
    <t>Trenches, holes, etc. created as a result of the removal of foundations, services, etc shall be backfilled with approved filling material and compacted to 95% Mod AASHTO density.</t>
  </si>
  <si>
    <t>All other disturbed levels shall be ripped for a depth of
150mm, including breaking down oversize material and
compacted to 93% Mod AASHTO density.</t>
  </si>
  <si>
    <t>It will at all times throughout the contract period, be expected from the Contractor to, immediately after each portion of demolishing has been completed, remove and cart away all building rubble generated to a dumping site to be located by the Contractor off the hospital premises. The temporarily dumping and/or stockpiling of rubble on site will not be permitted</t>
  </si>
  <si>
    <t>CARTING AWAY OF EXCESSIVE AND/OR UNSUITABLE EXCAVATED MATERIAL, BUILDING RUBBLE, ETC</t>
  </si>
  <si>
    <t>Descriptions for "carting away excessive or unsuitable excavated material, building rubble from demolitions, etc from site" shall be deemed to include  the loading and hauling of excessive or unsuitable excavated material, building rubble from demolitions, etc. to a suitable dumping site to be located by the Contractor off the building site.</t>
  </si>
  <si>
    <t>The location of the intended dumping site will be subjected to prior written approval of the Principal Agent.</t>
  </si>
  <si>
    <t>The Contractor will also be liable to, upon completion, rehabilitate all those areas of the dumping site used dumping/spoiling by grading the area to follow the adjacent ground contours and afterwards compacted to 80% Mod AASHTO density, all to the satisfaction of the Principal Agent.</t>
  </si>
  <si>
    <t>Tendered rates must make provision for the abovementioned as no additional claims in this regard will afterwards be entertained.</t>
  </si>
  <si>
    <t>The re-use of old materials obtained from the demolitions in the contruction of the new buildings, for filling, etc will not be perimtted</t>
  </si>
  <si>
    <t>EXISTING SERVICES: Special care is to be taken by the Contractor not to interefere unnecessarily with existing services. Should be contractor encounter any existing services such as underground cables, pipes o sewers during the execution of the works he shall notify the Principal Agent immediately and suspend all affected work in the immediate vicinity until such have been dealt with (i.e. removed, disconnected, re-routed, etc) and instruction to proceed with the work has been given by the Principal Agent</t>
  </si>
  <si>
    <t>The Contractor shall afford every facility to Specialist which might be employed by the Principal Agent to effect the necessary removal, disconnection, re-routing, etc of services as might be required.</t>
  </si>
  <si>
    <t>PROTECTION: In taking down and demolishing existing work the utmost care is to be observed to avoid any structural or other damages to the remaining portions and/or adjacent buildings, structures and services, etc. It will be expected from the Contractor to, at all times, employ adequate precaution measures in this regard and to provide all necessary materials for so doing</t>
  </si>
  <si>
    <t>The Contractor will be held solely responsible for any damages to persons or property and for the safety of the structures throughout the whole of this Contract and shall make good at his own expense any such damages arising out of his failure to adhere to the aforesaid requirement.</t>
  </si>
  <si>
    <t>FILLING: Where described as "including back filling", "back filling" shall mean the filling of all trenches, holes, etc. with approved gravel filling ( Minimum G5 standard) to be obtained from a commercial source and compacted to 93% Mod AASHTO density.</t>
  </si>
  <si>
    <t>OLD MATERIAL:</t>
  </si>
  <si>
    <t>Unless specifically otherwise described, all other old materials from demolitions are to become the property of the SCHOOL, therefore, tendered rates for demolitions must cater for adequate credit in this regard.</t>
  </si>
  <si>
    <t>It will be expected from the Contractor that all old materials not required, rubble, rubbish, etc. to be immediately carted away and site left clean and unencumbered at all times.</t>
  </si>
  <si>
    <t>MEASUREMENT: Measurement given are approximate and the Contractor is advised to view the site and existing structures to be demolished and to thoroughly acquaint himself with the extent of the work to be done</t>
  </si>
  <si>
    <t>Any errors to the tendered rates in this regard shall be Contractor's expense as no claims in this regard will be entertained afterwards</t>
  </si>
  <si>
    <t>TENDER: The submission of a tender will imply that the Contractor has physically visited the site and fully understands the content and extent of the work described in this Bill and, therfore, accepts that no claims in this repect will thus be entertained afterwards</t>
  </si>
  <si>
    <t>DIMENSIONS The Contractor is advised to take all dimensions affecting the existing buildings on the site, as he will be held solely responsible for all new work being of the correct size.</t>
  </si>
  <si>
    <t>PIPES, ETC Special care is to be taken not to interfere unnecessary with any supply pipes or other piping that may be met with and found necessary to disconnect or cut, are to be effectively stopped off and any new connections that may be necessary are to be made with proper fittings and to the satisfaction of the QS to whom due notice must be given of any alterations to the existing services.</t>
  </si>
  <si>
    <t>PROTECTION In taking down and removing existing work the utmost care is to be observed to avoid any structural or other damage to the remaining portions of the buildings. The Contractor must also protect all work not removed such as walls, floors, doors, windows or other joinery,loose and fixed fittings and electrical appliances, etc. from damage during the progress of the work and provide all necessary materilas for doing so. The Contractor will be held solely responsible for any damage to persons or property and for the safety of the structure throughout the whole of this Contract and must make good at his own expense any damage that may occur.</t>
  </si>
  <si>
    <t>Unless otherwise stated, all usable material from the demolitions should be kept safety and handed over to the manager who shall sign for all material received.</t>
  </si>
  <si>
    <t>Demolishing and removing</t>
  </si>
  <si>
    <t>Demolition of existing library and multi-purpose classrooms block approximately  563m2 on plan including taking out roof, door including frames, windows, concrete floors, concrete footing, etc.</t>
  </si>
  <si>
    <t>Section</t>
  </si>
  <si>
    <t>Material Code</t>
  </si>
  <si>
    <t>Materials Code</t>
  </si>
  <si>
    <t>Accounts Code</t>
  </si>
  <si>
    <t>Progress Quantity</t>
  </si>
  <si>
    <t>Forecast Quantity</t>
  </si>
  <si>
    <t>Progress Amount</t>
  </si>
  <si>
    <t>New Materials Rate</t>
  </si>
  <si>
    <t>Trade Code</t>
  </si>
  <si>
    <t>TRADE CODE</t>
  </si>
  <si>
    <t>TRADE NAME</t>
  </si>
  <si>
    <t>PRE-</t>
  </si>
  <si>
    <t>Preliminaries</t>
  </si>
  <si>
    <t>EAR-</t>
  </si>
  <si>
    <t>Earthworks</t>
  </si>
  <si>
    <t>CFR-</t>
  </si>
  <si>
    <t>Concrete, Formwork &amp; Reinforcement</t>
  </si>
  <si>
    <t>PRC-</t>
  </si>
  <si>
    <t>Precast Concrete</t>
  </si>
  <si>
    <t>MAN-</t>
  </si>
  <si>
    <t>Masonry</t>
  </si>
  <si>
    <t>WPR-</t>
  </si>
  <si>
    <t>Waterproofing</t>
  </si>
  <si>
    <t>ROF-</t>
  </si>
  <si>
    <t>Roofing Coverings</t>
  </si>
  <si>
    <t>CRJ-</t>
  </si>
  <si>
    <t>Carpentry and Joinery</t>
  </si>
  <si>
    <t>CPA-</t>
  </si>
  <si>
    <t>FLR-</t>
  </si>
  <si>
    <t>IRM-</t>
  </si>
  <si>
    <t>STW-</t>
  </si>
  <si>
    <t>MTW-</t>
  </si>
  <si>
    <t>PLA-</t>
  </si>
  <si>
    <t>TIL-</t>
  </si>
  <si>
    <t>PLD-</t>
  </si>
  <si>
    <t>ELW-</t>
  </si>
  <si>
    <t>MEW-</t>
  </si>
  <si>
    <t>GLZ-</t>
  </si>
  <si>
    <t>EXT-</t>
  </si>
  <si>
    <t>PREFIX</t>
  </si>
  <si>
    <t>Ceilings, Partitions &amp; Access Flooring</t>
  </si>
  <si>
    <t>Floor Coverings, Wall Linings, Etc</t>
  </si>
  <si>
    <t>Ironmongery</t>
  </si>
  <si>
    <t>Metalwork</t>
  </si>
  <si>
    <t>Plastering</t>
  </si>
  <si>
    <t>Tiling</t>
  </si>
  <si>
    <t>Plumbing &amp; Drainage</t>
  </si>
  <si>
    <t>Electrical Work</t>
  </si>
  <si>
    <t>Mechanical Work</t>
  </si>
  <si>
    <t>Glazing</t>
  </si>
  <si>
    <t>Paintwork</t>
  </si>
  <si>
    <t>Paperhanging</t>
  </si>
  <si>
    <t>External Work</t>
  </si>
  <si>
    <t>PRE-Preliminaries</t>
  </si>
  <si>
    <t>Number</t>
  </si>
  <si>
    <t>Name</t>
  </si>
  <si>
    <t xml:space="preserve">1001 - </t>
  </si>
  <si>
    <t>Sales/ Revenue</t>
  </si>
  <si>
    <t xml:space="preserve">1002 - </t>
  </si>
  <si>
    <t>Cash Deposit</t>
  </si>
  <si>
    <t xml:space="preserve">2000 - </t>
  </si>
  <si>
    <t xml:space="preserve">2001 - </t>
  </si>
  <si>
    <t>Materials</t>
  </si>
  <si>
    <t xml:space="preserve">2002 - </t>
  </si>
  <si>
    <t>Labour</t>
  </si>
  <si>
    <t xml:space="preserve">2003 - </t>
  </si>
  <si>
    <t>Plant and Equipment</t>
  </si>
  <si>
    <t xml:space="preserve">2004 - </t>
  </si>
  <si>
    <t>Tools</t>
  </si>
  <si>
    <t xml:space="preserve">2005 - </t>
  </si>
  <si>
    <t>Consumables</t>
  </si>
  <si>
    <t xml:space="preserve">2006 - </t>
  </si>
  <si>
    <t>Inventory</t>
  </si>
  <si>
    <t xml:space="preserve">2007 - </t>
  </si>
  <si>
    <t>Subcontractor</t>
  </si>
  <si>
    <t xml:space="preserve">2008 - </t>
  </si>
  <si>
    <t>Other</t>
  </si>
  <si>
    <t xml:space="preserve">3000 - </t>
  </si>
  <si>
    <t xml:space="preserve">3001 - </t>
  </si>
  <si>
    <t>Contractual Requirements</t>
  </si>
  <si>
    <t xml:space="preserve">3002 - </t>
  </si>
  <si>
    <t>Site Facilities Required</t>
  </si>
  <si>
    <t xml:space="preserve">3003 - </t>
  </si>
  <si>
    <t>Small Tools, PPE &amp; Accessories</t>
  </si>
  <si>
    <t xml:space="preserve">3004 - </t>
  </si>
  <si>
    <t xml:space="preserve">3005 - </t>
  </si>
  <si>
    <t>Site Supervision and Personnel</t>
  </si>
  <si>
    <t xml:space="preserve">3006 - </t>
  </si>
  <si>
    <t>Site Staff expense</t>
  </si>
  <si>
    <t xml:space="preserve">4000 - </t>
  </si>
  <si>
    <t xml:space="preserve">4001 - </t>
  </si>
  <si>
    <t>Salaries</t>
  </si>
  <si>
    <t xml:space="preserve">4002 - </t>
  </si>
  <si>
    <t>Wages</t>
  </si>
  <si>
    <t xml:space="preserve">4003 - </t>
  </si>
  <si>
    <t>Rent</t>
  </si>
  <si>
    <t xml:space="preserve">4004 - </t>
  </si>
  <si>
    <t>Utilities</t>
  </si>
  <si>
    <t xml:space="preserve">4005 - </t>
  </si>
  <si>
    <t>Bank Charges</t>
  </si>
  <si>
    <t xml:space="preserve">4006 - </t>
  </si>
  <si>
    <t>Insurance</t>
  </si>
  <si>
    <t xml:space="preserve">4007 - </t>
  </si>
  <si>
    <t>Travel</t>
  </si>
  <si>
    <t xml:space="preserve">4008 - </t>
  </si>
  <si>
    <t>Staff expense</t>
  </si>
  <si>
    <t xml:space="preserve">4009 - </t>
  </si>
  <si>
    <t>Web hosting/Domains</t>
  </si>
  <si>
    <t xml:space="preserve">4010 - </t>
  </si>
  <si>
    <t>Software</t>
  </si>
  <si>
    <t xml:space="preserve">4011 - </t>
  </si>
  <si>
    <t>Office Supplies</t>
  </si>
  <si>
    <t xml:space="preserve">4012 - </t>
  </si>
  <si>
    <t>Computer Equipment *</t>
  </si>
  <si>
    <t xml:space="preserve">4013 - </t>
  </si>
  <si>
    <t>Furniture and Equipment</t>
  </si>
  <si>
    <t xml:space="preserve">4014 - </t>
  </si>
  <si>
    <t xml:space="preserve">4015 - </t>
  </si>
  <si>
    <t>Loan Repayment</t>
  </si>
  <si>
    <t xml:space="preserve">4016 - </t>
  </si>
  <si>
    <t>Service providers</t>
  </si>
  <si>
    <t xml:space="preserve">4017 - </t>
  </si>
  <si>
    <t>Account Code</t>
  </si>
  <si>
    <t xml:space="preserve">Item Code </t>
  </si>
  <si>
    <t>Material Variety</t>
  </si>
  <si>
    <t>Market Spec / Strength</t>
  </si>
  <si>
    <t>Market Rate</t>
  </si>
  <si>
    <t>CFR -</t>
  </si>
  <si>
    <t>CEM-42.5N</t>
  </si>
  <si>
    <t>Portland Cement</t>
  </si>
  <si>
    <t>42.5N Structural</t>
  </si>
  <si>
    <t>Bag</t>
  </si>
  <si>
    <t>CEM-52.5N</t>
  </si>
  <si>
    <t>High Strength Cement</t>
  </si>
  <si>
    <t>52.5N (for Columns/Slabs)</t>
  </si>
  <si>
    <t>SAN-RIV</t>
  </si>
  <si>
    <t>River Sand</t>
  </si>
  <si>
    <t>Sharp/Concreting Sand</t>
  </si>
  <si>
    <t>STO-19</t>
  </si>
  <si>
    <t>Concrete Stone</t>
  </si>
  <si>
    <t>19mm Crushed Aggregate</t>
  </si>
  <si>
    <t>STO-13</t>
  </si>
  <si>
    <t>13.2mm (for Thin Sections)</t>
  </si>
  <si>
    <t>STO-9.5</t>
  </si>
  <si>
    <t>9.5mm (for Rib &amp; Block)</t>
  </si>
  <si>
    <t>CON-CUR</t>
  </si>
  <si>
    <t>Curing Compound</t>
  </si>
  <si>
    <t>Prescribed Curing Liquid</t>
  </si>
  <si>
    <t>25L</t>
  </si>
  <si>
    <t>CON-GRO-NS</t>
  </si>
  <si>
    <t>Non-Shrink Grout</t>
  </si>
  <si>
    <t>For Column Bases/Beds</t>
  </si>
  <si>
    <t>25kg</t>
  </si>
  <si>
    <t>FRM-PLY-21</t>
  </si>
  <si>
    <t>Shutterboard</t>
  </si>
  <si>
    <t>21mm FHP Brown Film</t>
  </si>
  <si>
    <t>Sheet</t>
  </si>
  <si>
    <t>FRM-TIM-S5</t>
  </si>
  <si>
    <t>Shutter Timber</t>
  </si>
  <si>
    <t>38 x 114mm S5 Structural</t>
  </si>
  <si>
    <t>Lm</t>
  </si>
  <si>
    <t>FRM-OIL-RE</t>
  </si>
  <si>
    <t>Release Agent</t>
  </si>
  <si>
    <t>Shutter Oil (Chemical)</t>
  </si>
  <si>
    <t>20L</t>
  </si>
  <si>
    <t>FRM-TIE-RD</t>
  </si>
  <si>
    <t>Tie Rods</t>
  </si>
  <si>
    <t>High Tensile (for Walls/Columns)</t>
  </si>
  <si>
    <t>FRM-TIE-CO</t>
  </si>
  <si>
    <t>Ferrules/Cones</t>
  </si>
  <si>
    <t>Plastic Sleeves for Tie Rods</t>
  </si>
  <si>
    <t>Each</t>
  </si>
  <si>
    <t>FRM-CHM-ST</t>
  </si>
  <si>
    <t>Chamfer Strip</t>
  </si>
  <si>
    <t>20mm x 20mm PVC</t>
  </si>
  <si>
    <t>Y-REBAR-VAR</t>
  </si>
  <si>
    <t>High Yield Steel</t>
  </si>
  <si>
    <t>450MPa (Y10, Y12, Y16, Y20)</t>
  </si>
  <si>
    <t>Ton/ Kg</t>
  </si>
  <si>
    <t>R-REBAR-VAR</t>
  </si>
  <si>
    <t>Mild Steel Rods</t>
  </si>
  <si>
    <t>250MPa (R6, R8, R10)</t>
  </si>
  <si>
    <t>REF-MESH-VAR</t>
  </si>
  <si>
    <t>Fabric Reinforcement</t>
  </si>
  <si>
    <t>Ref 100, 245, 395, 617</t>
  </si>
  <si>
    <t>STL-CPL-MECH</t>
  </si>
  <si>
    <t>Mechanical Couplers</t>
  </si>
  <si>
    <t>Threaded Steel Couplers</t>
  </si>
  <si>
    <t>STL-SPC-PL</t>
  </si>
  <si>
    <t>Plastic Spacers</t>
  </si>
  <si>
    <t>25mm / 40mm / 50mm Cover</t>
  </si>
  <si>
    <t>STL-CHR-ST</t>
  </si>
  <si>
    <t>High Chairs</t>
  </si>
  <si>
    <t>Steel Reinforcement Chairs</t>
  </si>
  <si>
    <t>BIND-WIRE</t>
  </si>
  <si>
    <t>Binding Wire</t>
  </si>
  <si>
    <t>1.6mm Annealed</t>
  </si>
  <si>
    <t>50kg</t>
  </si>
  <si>
    <t>MAN -</t>
  </si>
  <si>
    <t>NFP-230</t>
  </si>
  <si>
    <t>Common Clay Brick</t>
  </si>
  <si>
    <t>222x106x73mm (Double skin)</t>
  </si>
  <si>
    <t>NFP-115</t>
  </si>
  <si>
    <t>222x106x73mm (Single skin)</t>
  </si>
  <si>
    <t>FBX-230</t>
  </si>
  <si>
    <t>Face Brick Extra</t>
  </si>
  <si>
    <t>222x106x73mm (High Grade)</t>
  </si>
  <si>
    <t>CEM-STD</t>
  </si>
  <si>
    <t>Cement Brick</t>
  </si>
  <si>
    <t>Standard 7MPa</t>
  </si>
  <si>
    <t>BLOCK-M140</t>
  </si>
  <si>
    <t>Hollow Block</t>
  </si>
  <si>
    <t>390x140x190mm</t>
  </si>
  <si>
    <t>BLOCK-M90</t>
  </si>
  <si>
    <t>390x90x190mm</t>
  </si>
  <si>
    <t>BLOCK-U140</t>
  </si>
  <si>
    <t>U-Block Lintel</t>
  </si>
  <si>
    <t>For 140mm Block walls</t>
  </si>
  <si>
    <t>CEM-PORT-42.4N</t>
  </si>
  <si>
    <t>42.5N Strength</t>
  </si>
  <si>
    <t>BUILD-LIME</t>
  </si>
  <si>
    <t>Building Lime</t>
  </si>
  <si>
    <t>Hydrated Mortar Lime</t>
  </si>
  <si>
    <t>BUILD-SAND</t>
  </si>
  <si>
    <t>Building Sand</t>
  </si>
  <si>
    <t>Screened Pit/River Sand</t>
  </si>
  <si>
    <t>MOR-PIGM</t>
  </si>
  <si>
    <t>Mortar Pigment</t>
  </si>
  <si>
    <t>Black/Red (for Facebrick)</t>
  </si>
  <si>
    <t>kg</t>
  </si>
  <si>
    <t>BRK-FOR-75</t>
  </si>
  <si>
    <t>Brickforce</t>
  </si>
  <si>
    <t>75mm Galvanized</t>
  </si>
  <si>
    <t>20m</t>
  </si>
  <si>
    <t>BRK-FOR-150</t>
  </si>
  <si>
    <t>150mm Galvanized</t>
  </si>
  <si>
    <t>HOOP-32</t>
  </si>
  <si>
    <t>Hoop Iron Tie</t>
  </si>
  <si>
    <t>32 x 1.6mm (Roof/Wall Ties)</t>
  </si>
  <si>
    <t>30m</t>
  </si>
  <si>
    <t>WALL-TIE-C</t>
  </si>
  <si>
    <t>Wall Tie</t>
  </si>
  <si>
    <t>Crimped Wire (5 per m2)</t>
  </si>
  <si>
    <t>Y10-REBAR</t>
  </si>
  <si>
    <t>10mm Bars (for Arches/Piers)</t>
  </si>
  <si>
    <t>Ton</t>
  </si>
  <si>
    <t>PAV-BEV-50</t>
  </si>
  <si>
    <t>Bevel Paver</t>
  </si>
  <si>
    <t>50mm Concrete</t>
  </si>
  <si>
    <t>PAV-TILE-C</t>
  </si>
  <si>
    <t>Cement Tile</t>
  </si>
  <si>
    <t>200x200mm Paving Tile</t>
  </si>
  <si>
    <t>PAV-QUARRY</t>
  </si>
  <si>
    <t>Quarry Tile</t>
  </si>
  <si>
    <t>150x150mm (Red/Brown)</t>
  </si>
  <si>
    <t>SILL-PRE-1</t>
  </si>
  <si>
    <t>Precast Sill</t>
  </si>
  <si>
    <t>175mm Standard</t>
  </si>
  <si>
    <t>KERB-FIG10</t>
  </si>
  <si>
    <t>Edging Kerb</t>
  </si>
  <si>
    <t>Fig 10 (150mm High)</t>
  </si>
  <si>
    <t>AIR-BRK-TC</t>
  </si>
  <si>
    <t>Airbrick</t>
  </si>
  <si>
    <t>225x150mm Terracotta</t>
  </si>
  <si>
    <t>CHIM-POT-C</t>
  </si>
  <si>
    <t>Chimney Pot</t>
  </si>
  <si>
    <t>Precast Concrete/Clay</t>
  </si>
  <si>
    <t>FIRE-JET-I</t>
  </si>
  <si>
    <t>Jetmaster Insert</t>
  </si>
  <si>
    <t>Standard Unit + Flues</t>
  </si>
  <si>
    <t>BAG-MIX</t>
  </si>
  <si>
    <t>Bagging Mix</t>
  </si>
  <si>
    <t>Cement/Sand/Waterproof</t>
  </si>
  <si>
    <t>WPR  -</t>
  </si>
  <si>
    <t>DPC-BRK-375</t>
  </si>
  <si>
    <t>SABS DPC Plastic</t>
  </si>
  <si>
    <t>375 Micron (Traditional Walls)</t>
  </si>
  <si>
    <t>DPC-TERM-75</t>
  </si>
  <si>
    <t>Anti-Termite DPC</t>
  </si>
  <si>
    <t>750 Micron (Specialized)</t>
  </si>
  <si>
    <t>DPC-BIT-FELT</t>
  </si>
  <si>
    <t>Bituminous Felt</t>
  </si>
  <si>
    <t>4mm Standard (Alternative)</t>
  </si>
  <si>
    <t>DPM-USB-250</t>
  </si>
  <si>
    <t>USB Green Plastic</t>
  </si>
  <si>
    <t>250 Micron Under-Slab</t>
  </si>
  <si>
    <t>Roll</t>
  </si>
  <si>
    <t>DPM-HD-300</t>
  </si>
  <si>
    <t>Heavy Duty DPM</t>
  </si>
  <si>
    <t>300 Micron (Rough Site Alternative)</t>
  </si>
  <si>
    <t>ACR-MEM-20</t>
  </si>
  <si>
    <t>Acrylic Membrane</t>
  </si>
  <si>
    <t>20L Drum (Standard)</t>
  </si>
  <si>
    <t>Drum</t>
  </si>
  <si>
    <t>BIT-LIQUI-20</t>
  </si>
  <si>
    <t>Bituminous Liquid</t>
  </si>
  <si>
    <t>Solvent-based (Alternative)</t>
  </si>
  <si>
    <t>CEM-SEAL-5</t>
  </si>
  <si>
    <t>Cementitious Seal</t>
  </si>
  <si>
    <t>2-Part Flexi (High Pressure)</t>
  </si>
  <si>
    <t>Kit</t>
  </si>
  <si>
    <t>PU-SEAL-10</t>
  </si>
  <si>
    <t>Polyurethane Seal</t>
  </si>
  <si>
    <t>UV Stable (Exposed Roof Alternative)</t>
  </si>
  <si>
    <t>MEM-FAB-100</t>
  </si>
  <si>
    <t>Membrane Fabric</t>
  </si>
  <si>
    <t>100m Roll (Reinforcement)</t>
  </si>
  <si>
    <t>SL-ACR</t>
  </si>
  <si>
    <t>Acrylic Sealer</t>
  </si>
  <si>
    <t>Clear UV Protection</t>
  </si>
  <si>
    <t>BIT-PR</t>
  </si>
  <si>
    <t>Bitumen Primer</t>
  </si>
  <si>
    <t>Standard Primer</t>
  </si>
  <si>
    <t>FLA-AL</t>
  </si>
  <si>
    <t>Aluminum Flashing</t>
  </si>
  <si>
    <t>250mm x 10m Self-Adhesive</t>
  </si>
  <si>
    <t>FLA-BT</t>
  </si>
  <si>
    <t>Bitumen Flashing</t>
  </si>
  <si>
    <t>Counter Flashing Alternative</t>
  </si>
  <si>
    <t>PVC-WS</t>
  </si>
  <si>
    <t>PVC Waterstop</t>
  </si>
  <si>
    <t>150mm Dumbbell (Construction Joints)</t>
  </si>
  <si>
    <t>SIL-300</t>
  </si>
  <si>
    <t>Silicone Sealant</t>
  </si>
  <si>
    <t>300ml Sanitary</t>
  </si>
  <si>
    <t>Tube</t>
  </si>
  <si>
    <t>PU-JOINT</t>
  </si>
  <si>
    <t>Polyurethane Joint</t>
  </si>
  <si>
    <t>600ml Sausage (Expansion Joints)</t>
  </si>
  <si>
    <t>SWELL-STR</t>
  </si>
  <si>
    <t>Swellable Strip</t>
  </si>
  <si>
    <t>For Pipe Penetrations (Alternative)</t>
  </si>
  <si>
    <t>ROF -</t>
  </si>
  <si>
    <t>STR-LEAN</t>
  </si>
  <si>
    <t>S5 Structural Timber</t>
  </si>
  <si>
    <t>38 x 114mm (Standard Lean-to)</t>
  </si>
  <si>
    <t>STR-CPLC</t>
  </si>
  <si>
    <t>50 x 150mm (Couplings/Beams)</t>
  </si>
  <si>
    <t>STR-KING</t>
  </si>
  <si>
    <t>King Post / Truss</t>
  </si>
  <si>
    <t>Prefabricated Unit</t>
  </si>
  <si>
    <t>STR-PURL</t>
  </si>
  <si>
    <t>Purlins / Battens</t>
  </si>
  <si>
    <t>38 x 38mm S5 Timber</t>
  </si>
  <si>
    <t>STR-WPLATE</t>
  </si>
  <si>
    <t>Wall Plate</t>
  </si>
  <si>
    <t>38 x 114mm Treated Timber</t>
  </si>
  <si>
    <t>TIM-TRE-CRE</t>
  </si>
  <si>
    <t>Treated Timber</t>
  </si>
  <si>
    <t>Creosote/Tanalised (External Alt)</t>
  </si>
  <si>
    <t>SKN-IBR580</t>
  </si>
  <si>
    <t>IBR Sheeting</t>
  </si>
  <si>
    <t>0.58mm ZincAlum (Standard)</t>
  </si>
  <si>
    <t>SKN-COR762</t>
  </si>
  <si>
    <t>Corrugated Iron</t>
  </si>
  <si>
    <t>0.50mm Galvanized (Alternative)</t>
  </si>
  <si>
    <t>SKN-DROM</t>
  </si>
  <si>
    <t>Concrete Tile</t>
  </si>
  <si>
    <t>Double Roman (Various colors)</t>
  </si>
  <si>
    <t>SKN-CLAY</t>
  </si>
  <si>
    <t>Clay Tile</t>
  </si>
  <si>
    <t>Terracotta (Premium Alternative)</t>
  </si>
  <si>
    <t>SKN-SLAT</t>
  </si>
  <si>
    <t>Natural Slate</t>
  </si>
  <si>
    <t>8-10mm Thick (Luxury Alternative)</t>
  </si>
  <si>
    <t>SKN-POLY</t>
  </si>
  <si>
    <t>Polycarb Sheet</t>
  </si>
  <si>
    <t>Clear/Bronze (Light Alternative)</t>
  </si>
  <si>
    <t>ACC-RIDG</t>
  </si>
  <si>
    <t>Ridge Capping</t>
  </si>
  <si>
    <t>Tapered Concrete Ridge</t>
  </si>
  <si>
    <t>ACC-VAL</t>
  </si>
  <si>
    <t>Valley Lining</t>
  </si>
  <si>
    <t>450mm Galvanized Valley</t>
  </si>
  <si>
    <t>ACC-EAVE</t>
  </si>
  <si>
    <t>Eave Closure</t>
  </si>
  <si>
    <t>Bird-proof closure strip</t>
  </si>
  <si>
    <t>ACC-VERG</t>
  </si>
  <si>
    <t>Verge Tile</t>
  </si>
  <si>
    <t>Left/Right Hand Universal</t>
  </si>
  <si>
    <t>ACC-INS</t>
  </si>
  <si>
    <t>Roof Insulation</t>
  </si>
  <si>
    <t>135mm Glasswool (Alu-backed)</t>
  </si>
  <si>
    <t>FIX-TIT-50</t>
  </si>
  <si>
    <t>Roof Screws</t>
  </si>
  <si>
    <t>50mm Timber/Steel (Top-speed)</t>
  </si>
  <si>
    <t>Box 100</t>
  </si>
  <si>
    <t>FIX-TEX-65</t>
  </si>
  <si>
    <t>Tek Screws</t>
  </si>
  <si>
    <t>65mm Hex Head (with washer)</t>
  </si>
  <si>
    <t>FIX-STT</t>
  </si>
  <si>
    <t>Stitching Screw</t>
  </si>
  <si>
    <t>22mm Lap Stitchers</t>
  </si>
  <si>
    <t>FIX-COAC</t>
  </si>
  <si>
    <t>Coach Screw</t>
  </si>
  <si>
    <t>10mm x 75mm (for Trusses)</t>
  </si>
  <si>
    <t>ACC-VENT</t>
  </si>
  <si>
    <t>Roof Vent</t>
  </si>
  <si>
    <t>Whirly-bird / Cyclone</t>
  </si>
  <si>
    <t>CRJ -</t>
  </si>
  <si>
    <t>TIM-S5-114</t>
  </si>
  <si>
    <t>38 x 114mm (Standard Pine)</t>
  </si>
  <si>
    <t>TIM-S5-152</t>
  </si>
  <si>
    <t>38 x 152mm (Standard Pine)</t>
  </si>
  <si>
    <t>TIM-LAM-BEAM</t>
  </si>
  <si>
    <t>Laminated Timber</t>
  </si>
  <si>
    <t>SAP Pine (Portal Frame Alt)</t>
  </si>
  <si>
    <t>TIM-TRUSS-PL</t>
  </si>
  <si>
    <t>Truss Plates</t>
  </si>
  <si>
    <t>Galvanized Nail Plates</t>
  </si>
  <si>
    <t>TIM-FIX-CONN</t>
  </si>
  <si>
    <t>Connectors</t>
  </si>
  <si>
    <t>Split Rings / Toothed Rings</t>
  </si>
  <si>
    <t>TIM-TRE-CREO</t>
  </si>
  <si>
    <t>Timber Treatment</t>
  </si>
  <si>
    <t>Creosote Surface Treatment</t>
  </si>
  <si>
    <t>TIM-FAS-PVC</t>
  </si>
  <si>
    <t>Fascia Board</t>
  </si>
  <si>
    <t>225mm PVC (Low Maint. Alt)</t>
  </si>
  <si>
    <t>TIM-FAS-FIB</t>
  </si>
  <si>
    <t>Nutec/Fiber Cement (Standard)</t>
  </si>
  <si>
    <t>TIM-FLR-PIN</t>
  </si>
  <si>
    <t>Floor Boarding</t>
  </si>
  <si>
    <t>22mm T&amp;G Pine</t>
  </si>
  <si>
    <t>TIM-SKR-PIN</t>
  </si>
  <si>
    <t>Skirting</t>
  </si>
  <si>
    <t>75mm Meranti/Pine</t>
  </si>
  <si>
    <t>TIM-BAT-FLR</t>
  </si>
  <si>
    <t>Floor Battens</t>
  </si>
  <si>
    <t>38 x 38mm Treated</t>
  </si>
  <si>
    <t>DR-FRM-MER</t>
  </si>
  <si>
    <t>Door Frame</t>
  </si>
  <si>
    <t>90x70mm Meranti (Standard)</t>
  </si>
  <si>
    <t>DR-HLO-INT</t>
  </si>
  <si>
    <t>Internal Door</t>
  </si>
  <si>
    <t>Hollow Core (Standard)</t>
  </si>
  <si>
    <t>DR-SLD-EXT</t>
  </si>
  <si>
    <t>External Door</t>
  </si>
  <si>
    <t>Solid Meranti (8-Panel Alt)</t>
  </si>
  <si>
    <t>DR-ARC-MER</t>
  </si>
  <si>
    <t>Architrave</t>
  </si>
  <si>
    <t>45mm Meranti Bead</t>
  </si>
  <si>
    <t>DR-SHUT-WD</t>
  </si>
  <si>
    <t>Timber Shutter</t>
  </si>
  <si>
    <t>Louvered SAP Pine</t>
  </si>
  <si>
    <t>BRD-MEL-WHT</t>
  </si>
  <si>
    <t>Melamine Board</t>
  </si>
  <si>
    <t>16mm White (Shelving)</t>
  </si>
  <si>
    <t>BRD-LAM-V</t>
  </si>
  <si>
    <t>Veneered Board</t>
  </si>
  <si>
    <t>Thermosetting Laminate (Alt)</t>
  </si>
  <si>
    <t>STR-TRD-MER</t>
  </si>
  <si>
    <t>Stair Tread</t>
  </si>
  <si>
    <t>22mm Meranti</t>
  </si>
  <si>
    <t>STR-BAL-PIN</t>
  </si>
  <si>
    <t>Baluster</t>
  </si>
  <si>
    <t>Turned Pine (Standard)</t>
  </si>
  <si>
    <t>STR-HAN-MER</t>
  </si>
  <si>
    <t>Handrail</t>
  </si>
  <si>
    <t>Molded Meranti</t>
  </si>
  <si>
    <t>PAN-ACO-BRD</t>
  </si>
  <si>
    <t>Acoustic Board</t>
  </si>
  <si>
    <t>Fabric-backed Linings</t>
  </si>
  <si>
    <t>PAN-GRN-TIM</t>
  </si>
  <si>
    <t>Grounds</t>
  </si>
  <si>
    <t>25 x 38mm Sawn Pine</t>
  </si>
  <si>
    <t>PAN-MOL-TIM</t>
  </si>
  <si>
    <t>Bolection Mould</t>
  </si>
  <si>
    <t>Decorative Timber Detail</t>
  </si>
  <si>
    <t>FIX-SCW-TIM</t>
  </si>
  <si>
    <t>Timber Screws</t>
  </si>
  <si>
    <t>Various sizes (Box 1000)</t>
  </si>
  <si>
    <t>Box</t>
  </si>
  <si>
    <t>CPA -</t>
  </si>
  <si>
    <t>CEL-GYP-6.4</t>
  </si>
  <si>
    <t>Gypsum Board</t>
  </si>
  <si>
    <t>6.4mm RhinoBoard (Standard)</t>
  </si>
  <si>
    <t>Board</t>
  </si>
  <si>
    <t>CEL-GYP-9.5</t>
  </si>
  <si>
    <t>9.5mm RhinoBoard (Premium Alt)</t>
  </si>
  <si>
    <t>CEL-FR-12.5</t>
  </si>
  <si>
    <t>Fire-Rated Board</t>
  </si>
  <si>
    <t>12.5mm (for Fire Barriers)</t>
  </si>
  <si>
    <t>CEL-PVC-9.0</t>
  </si>
  <si>
    <t>PVC Ceiling</t>
  </si>
  <si>
    <t>9mm Tongue &amp; Groove (Wet Area Alt)</t>
  </si>
  <si>
    <t>COR-TE10</t>
  </si>
  <si>
    <t>Cornice</t>
  </si>
  <si>
    <t>75mm Polyurethane (Standard)</t>
  </si>
  <si>
    <t>COR-COVE-75</t>
  </si>
  <si>
    <t>Cove Cornice</t>
  </si>
  <si>
    <t>75mm Gypsum (Alternative)</t>
  </si>
  <si>
    <t>CEL-INS-FIB</t>
  </si>
  <si>
    <t>Insulation</t>
  </si>
  <si>
    <t>135mm Glasswool/Slagwool</t>
  </si>
  <si>
    <t>PAR-STUD-64</t>
  </si>
  <si>
    <t>Drywall Stud</t>
  </si>
  <si>
    <t>63.5mm Galvanized</t>
  </si>
  <si>
    <t>PAR-TRK-64</t>
  </si>
  <si>
    <t>Drywall Track</t>
  </si>
  <si>
    <t>64mm Galvanized</t>
  </si>
  <si>
    <t>PAR-BRD-MOIS</t>
  </si>
  <si>
    <t>Moisture Board</t>
  </si>
  <si>
    <t>12mm Green Board (Kitchen/Bath Alt)</t>
  </si>
  <si>
    <t>PAR-INS-RW</t>
  </si>
  <si>
    <t>Cavity Insulation</t>
  </si>
  <si>
    <t>High-Density Rockwool (Acoustic Alt)</t>
  </si>
  <si>
    <t>FIX-SCW-35</t>
  </si>
  <si>
    <t>Drywall Screws</t>
  </si>
  <si>
    <t>35mm Sharp Point</t>
  </si>
  <si>
    <t>Box 1000</t>
  </si>
  <si>
    <t>CEL-TAPE-80</t>
  </si>
  <si>
    <t>Joint Tape</t>
  </si>
  <si>
    <t>80m Fiber Tape</t>
  </si>
  <si>
    <t>PAN-STL</t>
  </si>
  <si>
    <t>Floor Panel</t>
  </si>
  <si>
    <t>Steel Encapsulated (Standard)</t>
  </si>
  <si>
    <t>PAN-WOOD</t>
  </si>
  <si>
    <t>High-Density Wood Core (Alternative)</t>
  </si>
  <si>
    <t>PED-150</t>
  </si>
  <si>
    <t>Pedestal</t>
  </si>
  <si>
    <t>150-200mm Adjustable</t>
  </si>
  <si>
    <t>STR-600</t>
  </si>
  <si>
    <t>Stringer</t>
  </si>
  <si>
    <t>600mm Galvanized Support</t>
  </si>
  <si>
    <t>ADH-EP</t>
  </si>
  <si>
    <t>Pedestal Glue</t>
  </si>
  <si>
    <t>High-Strength Epoxy</t>
  </si>
  <si>
    <t>LFT-SUC</t>
  </si>
  <si>
    <t>Lifting Tool</t>
  </si>
  <si>
    <t>Suction Cup Lifter</t>
  </si>
  <si>
    <t>GRL-PAN</t>
  </si>
  <si>
    <t>Vent Grille</t>
  </si>
  <si>
    <t>Perforated Airflow Panel</t>
  </si>
  <si>
    <t>GRID-MAIN-3.6</t>
  </si>
  <si>
    <t>Main Tee</t>
  </si>
  <si>
    <t>3600mm White Grid</t>
  </si>
  <si>
    <t>GRID-CRSS-1.2</t>
  </si>
  <si>
    <t>Cross Tee</t>
  </si>
  <si>
    <t>1200mm White Grid</t>
  </si>
  <si>
    <t>GRID-ANGLE-36</t>
  </si>
  <si>
    <t>Wall Angle</t>
  </si>
  <si>
    <t>3600mm White</t>
  </si>
  <si>
    <t>CEL-TILE-VIN</t>
  </si>
  <si>
    <t>Vinyl Tile</t>
  </si>
  <si>
    <t>1200x600mm (Standard)</t>
  </si>
  <si>
    <t>CEL-TILE-ACO</t>
  </si>
  <si>
    <t>Acoustic Tile</t>
  </si>
  <si>
    <t>Mineral Fiber (Noise-Reduction Alt)</t>
  </si>
  <si>
    <t>FLR -</t>
  </si>
  <si>
    <t>VIN-SHT</t>
  </si>
  <si>
    <t>Vinyl Sheeting</t>
  </si>
  <si>
    <t>2mm Commercial Grade (Standard)</t>
  </si>
  <si>
    <t>VIN-LVT</t>
  </si>
  <si>
    <t>Luxury Vinyl Tile</t>
  </si>
  <si>
    <t>2.5mm Herringbone / SPC Click (Alt)</t>
  </si>
  <si>
    <t>RUB-DOT</t>
  </si>
  <si>
    <t>Rubber Flooring</t>
  </si>
  <si>
    <t>3mm Low Dot Stud (Black)</t>
  </si>
  <si>
    <t>CRK-NAT</t>
  </si>
  <si>
    <t>Cork Flooring</t>
  </si>
  <si>
    <t>Natural 4mm (Sustainable Alt)</t>
  </si>
  <si>
    <t>LIN-SHT</t>
  </si>
  <si>
    <t>Linoleum</t>
  </si>
  <si>
    <t>2.5mm Natural (Hospital Alt)</t>
  </si>
  <si>
    <t>CPT-SHT-VAR</t>
  </si>
  <si>
    <t>Broadloom Carpet</t>
  </si>
  <si>
    <t>Cut/Loop Pile (Standard)</t>
  </si>
  <si>
    <t>CPT-TILE-C</t>
  </si>
  <si>
    <t>Carpet Tiles</t>
  </si>
  <si>
    <t>500x500mm Commercial Grade</t>
  </si>
  <si>
    <t>CPT-UND-STD</t>
  </si>
  <si>
    <t>Rubber Underlay</t>
  </si>
  <si>
    <t>8mm Standard Foam</t>
  </si>
  <si>
    <t>CPT-UND-PRM</t>
  </si>
  <si>
    <t>Premium Underlay</t>
  </si>
  <si>
    <t>10mm High-Density (Alternative)</t>
  </si>
  <si>
    <t>WD-PAR-OAK</t>
  </si>
  <si>
    <t>Oak Parquet</t>
  </si>
  <si>
    <t>Mini Mosaic 640x320x8mm</t>
  </si>
  <si>
    <t>WD-ENG-OAK</t>
  </si>
  <si>
    <t>Engineered Oak</t>
  </si>
  <si>
    <t>2200x220mm Rustic (Alternative)</t>
  </si>
  <si>
    <t>WD-LAM-S5</t>
  </si>
  <si>
    <t>Laminate Flooring</t>
  </si>
  <si>
    <t>8mm AC4 (Budget Wood Alt)</t>
  </si>
  <si>
    <t>WD-BAM-SUST</t>
  </si>
  <si>
    <t>Bamboo Flooring</t>
  </si>
  <si>
    <t>Sustainable Solid Strand</t>
  </si>
  <si>
    <t>SKR-PVC</t>
  </si>
  <si>
    <t>PVC Skirting</t>
  </si>
  <si>
    <t>100mm Flexible (Standard)</t>
  </si>
  <si>
    <t>SKR-POL</t>
  </si>
  <si>
    <t>Polymer Skirting</t>
  </si>
  <si>
    <t>100mm Shadowline (Premium Alt)</t>
  </si>
  <si>
    <t>Length</t>
  </si>
  <si>
    <t>HAN-PL</t>
  </si>
  <si>
    <t>Plastic Handrail</t>
  </si>
  <si>
    <t>Wall Mounted (PVC/Composite)</t>
  </si>
  <si>
    <t>FIN-POL-VIN</t>
  </si>
  <si>
    <t>Vinyl Polish</t>
  </si>
  <si>
    <t>5L High Gloss Acrylic</t>
  </si>
  <si>
    <t>FIN-SEA-WD</t>
  </si>
  <si>
    <t>Wood Sealer</t>
  </si>
  <si>
    <t>5L Water-Borne Floor Matt</t>
  </si>
  <si>
    <t>ACC-EDG-STL</t>
  </si>
  <si>
    <t>Edge Strips</t>
  </si>
  <si>
    <t>Aluminum Transition/Nosing</t>
  </si>
  <si>
    <t>IRM -</t>
  </si>
  <si>
    <t>HNG-BUTT</t>
  </si>
  <si>
    <t>Butt Hinges</t>
  </si>
  <si>
    <t>100mm Stainless Steel (Pair)</t>
  </si>
  <si>
    <t>Pair</t>
  </si>
  <si>
    <t>HNG-SPR</t>
  </si>
  <si>
    <t>Floor Spring</t>
  </si>
  <si>
    <t>Double Action Hydraulic</t>
  </si>
  <si>
    <t>Set</t>
  </si>
  <si>
    <t>HND-LEV</t>
  </si>
  <si>
    <t>Lever Handle</t>
  </si>
  <si>
    <t>S/S Return-to-door (Standard)</t>
  </si>
  <si>
    <t>HND-PUL</t>
  </si>
  <si>
    <t>Pull Handle</t>
  </si>
  <si>
    <t>300mm D-Handle (Alternative)</t>
  </si>
  <si>
    <t>HK-HAT</t>
  </si>
  <si>
    <t>Hat &amp; Coat Hook</t>
  </si>
  <si>
    <t>Single Prong S/S</t>
  </si>
  <si>
    <t>LCK-CYL-3L</t>
  </si>
  <si>
    <t>Cylinder Lock</t>
  </si>
  <si>
    <t>3-Lever Standard</t>
  </si>
  <si>
    <t>LCK-CYL-EUR</t>
  </si>
  <si>
    <t>Euro Profile</t>
  </si>
  <si>
    <t>5-Pin Security Cylinder (Alt)</t>
  </si>
  <si>
    <t>LCK-MAS-KEY</t>
  </si>
  <si>
    <t>Master Key System</t>
  </si>
  <si>
    <t>Multi-Level Access Coding</t>
  </si>
  <si>
    <t>Per Door</t>
  </si>
  <si>
    <t>LCK-ENS-SUITE</t>
  </si>
  <si>
    <t>En Suite Locks</t>
  </si>
  <si>
    <t>Keyed Alike (per 10 units)</t>
  </si>
  <si>
    <t>CRD-SET</t>
  </si>
  <si>
    <t>Cording Set</t>
  </si>
  <si>
    <t>Emergency Pull / Sash Cord</t>
  </si>
  <si>
    <t>SLD-GR-INT</t>
  </si>
  <si>
    <t>Sliding Gear</t>
  </si>
  <si>
    <t>900mm Internal Door Track</t>
  </si>
  <si>
    <t>SLD-GR-HVY</t>
  </si>
  <si>
    <t>Heavy Duty Gear</t>
  </si>
  <si>
    <t>Industrial/Cavity Slider (Alt)</t>
  </si>
  <si>
    <t>RAL-TOW</t>
  </si>
  <si>
    <t>Towel Rail</t>
  </si>
  <si>
    <t>600mm Stainless Steel</t>
  </si>
  <si>
    <t>RAL-GRB</t>
  </si>
  <si>
    <t>Grab Rail</t>
  </si>
  <si>
    <t>300mm Paraplegic S/S</t>
  </si>
  <si>
    <t>FIT-LOK-MET</t>
  </si>
  <si>
    <t>Metal Locker</t>
  </si>
  <si>
    <t>Single Tier Steel Unit</t>
  </si>
  <si>
    <t>FIT-LOK-TIM</t>
  </si>
  <si>
    <t>Timber Locker</t>
  </si>
  <si>
    <t>Melamine / Veneer Unit (Alt)</t>
  </si>
  <si>
    <t>FIT-WRT-BRD</t>
  </si>
  <si>
    <t>Writing Board</t>
  </si>
  <si>
    <t>1200x900mm Whiteboard/Cork</t>
  </si>
  <si>
    <t>FIT-SEA-FOLD</t>
  </si>
  <si>
    <t>Folding Seat</t>
  </si>
  <si>
    <t>Wall Mounted Slatted</t>
  </si>
  <si>
    <t>FIT-CUB-MET</t>
  </si>
  <si>
    <t>Metal Cupboard</t>
  </si>
  <si>
    <t>Wall Mounted / Kitchen</t>
  </si>
  <si>
    <t xml:space="preserve">STW - </t>
  </si>
  <si>
    <t>S-UNI</t>
  </si>
  <si>
    <t>Universal Beams/Cols</t>
  </si>
  <si>
    <t>Fabricated Grade S355JR</t>
  </si>
  <si>
    <t>S-ANG</t>
  </si>
  <si>
    <t>Angle Iron</t>
  </si>
  <si>
    <t>40 x 40 x 3mm Mild Steel</t>
  </si>
  <si>
    <t>6m</t>
  </si>
  <si>
    <t>S-CHN</t>
  </si>
  <si>
    <t>Lipped Channel</t>
  </si>
  <si>
    <t>100 x 50 x 20 x 2mm (Purlins)</t>
  </si>
  <si>
    <t>S-PLT</t>
  </si>
  <si>
    <t>Base Plates</t>
  </si>
  <si>
    <t>10mm Mild Steel Plate</t>
  </si>
  <si>
    <t>S-TRUS</t>
  </si>
  <si>
    <t>Roof Trusses</t>
  </si>
  <si>
    <t>Engineered Structural Steel</t>
  </si>
  <si>
    <t>B-PLAIN</t>
  </si>
  <si>
    <t>Plain Metal Railing</t>
  </si>
  <si>
    <t>Vertical Bar Balustrade</t>
  </si>
  <si>
    <t>B-SSTEEL</t>
  </si>
  <si>
    <t>S/Steel Balustrade</t>
  </si>
  <si>
    <t>Grade 304 Polished (Premium Alt)</t>
  </si>
  <si>
    <t>B-GLASS</t>
  </si>
  <si>
    <t>Glass Balustrade</t>
  </si>
  <si>
    <t>Frameless Base Channel (Luxury Alt)</t>
  </si>
  <si>
    <t>S-STAIR</t>
  </si>
  <si>
    <t>Steel Staircase</t>
  </si>
  <si>
    <t>Standard Straight Flight (Fabricated)</t>
  </si>
  <si>
    <t>S-LAD</t>
  </si>
  <si>
    <t>Cat Ladder</t>
  </si>
  <si>
    <t>Industrial Galvanized</t>
  </si>
  <si>
    <t>FIX-BOL-M12</t>
  </si>
  <si>
    <t>Rawl Bolts</t>
  </si>
  <si>
    <t>M12 Expanding Anchor</t>
  </si>
  <si>
    <t>FIX-BOL-M20</t>
  </si>
  <si>
    <t>Heavy Duty Bolt</t>
  </si>
  <si>
    <t>M20 x 90mm Galvanized Hex</t>
  </si>
  <si>
    <t>FIX-WAS-M16</t>
  </si>
  <si>
    <t>Flat Washers</t>
  </si>
  <si>
    <t>M16 Galvanized</t>
  </si>
  <si>
    <t>FIX-ROD-WEL</t>
  </si>
  <si>
    <t>Welding Rods</t>
  </si>
  <si>
    <t>3.15mm E6013 (5kg Pack)</t>
  </si>
  <si>
    <t>FIX-ANC-CHM</t>
  </si>
  <si>
    <t>Chemical Anchor</t>
  </si>
  <si>
    <t>Epoxy Injection System (Alternative)</t>
  </si>
  <si>
    <t>FIN-PRM-ROX</t>
  </si>
  <si>
    <t>Red Oxide Primer</t>
  </si>
  <si>
    <t>Anti-Corrosive (Standard)</t>
  </si>
  <si>
    <t>5L</t>
  </si>
  <si>
    <t>FIN-GAL-HOT</t>
  </si>
  <si>
    <t>Hot Dip Galv</t>
  </si>
  <si>
    <t>SABS ISO 1461</t>
  </si>
  <si>
    <t>FIN-PDR</t>
  </si>
  <si>
    <t>Powder Coating</t>
  </si>
  <si>
    <t>UV Stable (Various Colors)</t>
  </si>
  <si>
    <t>MTW -</t>
  </si>
  <si>
    <t>PRS-762</t>
  </si>
  <si>
    <t>Steel Door Frame</t>
  </si>
  <si>
    <t>762 x 2032 x 115mm (Standard)</t>
  </si>
  <si>
    <t>PRS-813</t>
  </si>
  <si>
    <t>813 x 2032 x 115mm (Standard)</t>
  </si>
  <si>
    <t>PRS-HDY</t>
  </si>
  <si>
    <t>Heavy Duty Frame</t>
  </si>
  <si>
    <t>230mm Wall Depth (Double Rebate Alt)</t>
  </si>
  <si>
    <t>PRS-TFR</t>
  </si>
  <si>
    <t>Transformer Frame</t>
  </si>
  <si>
    <t>Heavy Duty Angle/Pressed Combo</t>
  </si>
  <si>
    <t>PRS-SUB</t>
  </si>
  <si>
    <t>Sub-station Door</t>
  </si>
  <si>
    <t>Single/Double Leaf (Steel plate)</t>
  </si>
  <si>
    <t>MS-ANG</t>
  </si>
  <si>
    <t>30 x 30 x 3mm (6m length)</t>
  </si>
  <si>
    <t>MS-ANG2</t>
  </si>
  <si>
    <t>40 x 40 x 3mm (6m length Alt)</t>
  </si>
  <si>
    <t>MS-FLT</t>
  </si>
  <si>
    <t>Flat Bar</t>
  </si>
  <si>
    <t>20 x 5mm x 6m (Light work)</t>
  </si>
  <si>
    <t>MS-FLT2</t>
  </si>
  <si>
    <t>50 x 5mm x 6m (Heavy work Alt)</t>
  </si>
  <si>
    <t>MS-TUB</t>
  </si>
  <si>
    <t>Square Tubing</t>
  </si>
  <si>
    <t>38 x 38 x 2mm (6m length)</t>
  </si>
  <si>
    <t>ALU-WIN-SLD</t>
  </si>
  <si>
    <t>Sliding Window</t>
  </si>
  <si>
    <t>1200 x 1200mm (Bronze/Natural)</t>
  </si>
  <si>
    <t>ALU-WIN-CSM</t>
  </si>
  <si>
    <t>Casement Window</t>
  </si>
  <si>
    <t>600 x 600mm (Top/Side Hung Alt)</t>
  </si>
  <si>
    <t>ALU-SF-STD</t>
  </si>
  <si>
    <t>Shopfront System</t>
  </si>
  <si>
    <t>Standard 10-15m2 Entrance</t>
  </si>
  <si>
    <t>Job</t>
  </si>
  <si>
    <t>ALU-LOU-VNT</t>
  </si>
  <si>
    <t>Aluminum Louvre</t>
  </si>
  <si>
    <t>500 x 1000mm Ventilation Unit</t>
  </si>
  <si>
    <t>ALU-SF-GLZ</t>
  </si>
  <si>
    <t>Laminated Glass</t>
  </si>
  <si>
    <t>6.38mm Clear (Shopfront Alt)</t>
  </si>
  <si>
    <t>MSH-EXP</t>
  </si>
  <si>
    <t>Expanded Metal</t>
  </si>
  <si>
    <t>2400 x 1200mm (Standard Sheet)</t>
  </si>
  <si>
    <t>MSH-GAL</t>
  </si>
  <si>
    <t>Galv Expanded</t>
  </si>
  <si>
    <t>Micro-mesh (Alternative)</t>
  </si>
  <si>
    <t>MSH-3680</t>
  </si>
  <si>
    <t>Heavy Duty 3680R-D</t>
  </si>
  <si>
    <t>FIN-GAL</t>
  </si>
  <si>
    <t>Galvanizing</t>
  </si>
  <si>
    <t>Hot Dip Galv (per m2)</t>
  </si>
  <si>
    <t>PLA -</t>
  </si>
  <si>
    <t>CMT-CEM-32.5</t>
  </si>
  <si>
    <t>Standard Cement</t>
  </si>
  <si>
    <t>32.5N Strength (Standard)</t>
  </si>
  <si>
    <t>CMT-CEM-42.5</t>
  </si>
  <si>
    <t>High Strength</t>
  </si>
  <si>
    <t>42.5N (For specific structural needs)</t>
  </si>
  <si>
    <t>SND-PLR-YRD</t>
  </si>
  <si>
    <t>Plaster Sand</t>
  </si>
  <si>
    <t>Bulk loose sand (Standard)</t>
  </si>
  <si>
    <t>SND-PLR-WSH</t>
  </si>
  <si>
    <t>Washed Sand</t>
  </si>
  <si>
    <t>Screened sand (For smoother finish)</t>
  </si>
  <si>
    <t>PLR-MIX-PRE</t>
  </si>
  <si>
    <t>Ready-Mix Plaster</t>
  </si>
  <si>
    <t>Pre-mixed sand/cement (Alternative)</t>
  </si>
  <si>
    <t>40kg</t>
  </si>
  <si>
    <t>PLR-ADH-BOND</t>
  </si>
  <si>
    <t>Bonding Agent</t>
  </si>
  <si>
    <t>Keying agent for smooth surfaces</t>
  </si>
  <si>
    <t>GYP-RHI-40</t>
  </si>
  <si>
    <t>Rhinolite</t>
  </si>
  <si>
    <t>Skimming Multipurpose (Standard)</t>
  </si>
  <si>
    <t>GYP-TACK-40</t>
  </si>
  <si>
    <t>Tacktile Plaster</t>
  </si>
  <si>
    <t>Gypsum Plaster (Alternative)</t>
  </si>
  <si>
    <t>GYP-CRT-40</t>
  </si>
  <si>
    <t>Cretestone</t>
  </si>
  <si>
    <t>High-gloss finishing plaster</t>
  </si>
  <si>
    <t>GYP-GLI-20</t>
  </si>
  <si>
    <t>Rhinoglide</t>
  </si>
  <si>
    <t>Jointing plaster for drywall</t>
  </si>
  <si>
    <t>20kg</t>
  </si>
  <si>
    <t>DEC-CEM-COL</t>
  </si>
  <si>
    <t>CemPlaster</t>
  </si>
  <si>
    <t>Coloured fibre-reinforced plaster</t>
  </si>
  <si>
    <t>DEC-TEX-EXT</t>
  </si>
  <si>
    <t>Textured Render</t>
  </si>
  <si>
    <t>Weather-resistant exterior finish</t>
  </si>
  <si>
    <t>DEC-INS-REN</t>
  </si>
  <si>
    <t>Insulated Render</t>
  </si>
  <si>
    <t>Thermal efficiency plaster (Alternative)</t>
  </si>
  <si>
    <t>FIX-PLR-FIB</t>
  </si>
  <si>
    <t>FibrePlast</t>
  </si>
  <si>
    <t>Polyethylene crack-prevention fibres</t>
  </si>
  <si>
    <t>250g</t>
  </si>
  <si>
    <t>ANC-BEAD-CRN</t>
  </si>
  <si>
    <t>Corner Bead</t>
  </si>
  <si>
    <t>3m Galvanized edge protector</t>
  </si>
  <si>
    <t>ANC-TAPE-FIB</t>
  </si>
  <si>
    <t>Scrim Tape</t>
  </si>
  <si>
    <t>45m x 48mm Fiberglass joint tape</t>
  </si>
  <si>
    <t>ANC-PRM-PLR</t>
  </si>
  <si>
    <t>Plaster Primer</t>
  </si>
  <si>
    <t>Light Grey (Pre-paint seal)</t>
  </si>
  <si>
    <t xml:space="preserve">TIL - </t>
  </si>
  <si>
    <t>CER-WHL</t>
  </si>
  <si>
    <t>Ceramic Wall Tile</t>
  </si>
  <si>
    <t>200 x 300mm Standard White</t>
  </si>
  <si>
    <t>CER-FLR</t>
  </si>
  <si>
    <t>Ceramic Floor Tile</t>
  </si>
  <si>
    <t>400 x 400mm Anti-slip (Standard)</t>
  </si>
  <si>
    <t>POR-POL</t>
  </si>
  <si>
    <t>Porcelain Tile</t>
  </si>
  <si>
    <t>600 x 600mm Polished (Standard)</t>
  </si>
  <si>
    <t>POR-MAT</t>
  </si>
  <si>
    <t>800 x 1600mm Rectified (Premium Alt)</t>
  </si>
  <si>
    <t>MOS-GLS</t>
  </si>
  <si>
    <t>Glass Mosaic</t>
  </si>
  <si>
    <t>300 x 300mm Mixed Blue Sheets</t>
  </si>
  <si>
    <t>MOS-NAT</t>
  </si>
  <si>
    <t>Natural Stone Mosaic</t>
  </si>
  <si>
    <t>300 x 300mm Carrara (Luxury Alt)</t>
  </si>
  <si>
    <t>ADH-CER-STD</t>
  </si>
  <si>
    <t>Ceramic Adhesive</t>
  </si>
  <si>
    <t>24-hour Standard Set</t>
  </si>
  <si>
    <t>ADH-POR-12H</t>
  </si>
  <si>
    <t>Porcelain Adhesive</t>
  </si>
  <si>
    <t>12-hour Quick Set (Standard)</t>
  </si>
  <si>
    <t>ADH-POR-RAP</t>
  </si>
  <si>
    <t>Rapid Set Adhesive</t>
  </si>
  <si>
    <t>6-hour High Strength (Premium Alt)</t>
  </si>
  <si>
    <t>ADH-MOS-WHT</t>
  </si>
  <si>
    <t>Mosaic Fix</t>
  </si>
  <si>
    <t>Super White (Specialized)</t>
  </si>
  <si>
    <t>5kg</t>
  </si>
  <si>
    <t>ADH-BND-LIQ</t>
  </si>
  <si>
    <t>Bonding Liquid</t>
  </si>
  <si>
    <t>Key-Kote / Latexflex Additive</t>
  </si>
  <si>
    <t>GRT-WAL-WHT</t>
  </si>
  <si>
    <t>Wall Grout</t>
  </si>
  <si>
    <t>Standard White (Water resistant)</t>
  </si>
  <si>
    <t>GRT-FLR-GRY</t>
  </si>
  <si>
    <t>Floor Grout</t>
  </si>
  <si>
    <t>Dove Grey / Light Grey</t>
  </si>
  <si>
    <t>GRT-EPX-CHM</t>
  </si>
  <si>
    <t>Epoxy Grout</t>
  </si>
  <si>
    <t>Acid-resistant (Industrial Alt)</t>
  </si>
  <si>
    <t>GRT-SIL-SAN</t>
  </si>
  <si>
    <t>Sanitary Silicone</t>
  </si>
  <si>
    <t>Anti-fungal (for corners/fixtures)</t>
  </si>
  <si>
    <t>ACC-TRM-PVC</t>
  </si>
  <si>
    <t>PVC Edge Trim</t>
  </si>
  <si>
    <t>9mm White Round Edge</t>
  </si>
  <si>
    <t>2.5m</t>
  </si>
  <si>
    <t>ACC-TRM-ALU</t>
  </si>
  <si>
    <t>Aluminum Trim</t>
  </si>
  <si>
    <t>10mm Silver Straight Edge</t>
  </si>
  <si>
    <t>ACC-SPC-3MM</t>
  </si>
  <si>
    <t>Tile Spacers</t>
  </si>
  <si>
    <t>3mm Cross Spacers</t>
  </si>
  <si>
    <t>Pack</t>
  </si>
  <si>
    <t>ACC-SKR-CER</t>
  </si>
  <si>
    <t>Ceramic Skirting</t>
  </si>
  <si>
    <t>100mm Cut from Matching Tile</t>
  </si>
  <si>
    <t>ACC-SCR-LEV</t>
  </si>
  <si>
    <t>Self-Levelling</t>
  </si>
  <si>
    <t>Under-tile floor screed</t>
  </si>
  <si>
    <t>PLD -</t>
  </si>
  <si>
    <t>RWD-GUT-PVC</t>
  </si>
  <si>
    <t>PVC Gutter</t>
  </si>
  <si>
    <t>125mm D-shape (Standard)</t>
  </si>
  <si>
    <t>RWD-GUT-ALU</t>
  </si>
  <si>
    <t>Seamless Alu Gutter</t>
  </si>
  <si>
    <t>Ogee Profile (Premium Alternative)</t>
  </si>
  <si>
    <t>RWD-PIPE-PVC</t>
  </si>
  <si>
    <t>Rainwater Pipe</t>
  </si>
  <si>
    <t>80mm Round PVC</t>
  </si>
  <si>
    <t>RWD-HEAD-BOX</t>
  </si>
  <si>
    <t>Rainwater Head</t>
  </si>
  <si>
    <t>Large Box Type (Custom Steel/PVC)</t>
  </si>
  <si>
    <t>RWD-ACC-SHOE</t>
  </si>
  <si>
    <t>Gutter Shoe</t>
  </si>
  <si>
    <t>Offset/Shoe for pipe discharge</t>
  </si>
  <si>
    <t>PIP-COP-15</t>
  </si>
  <si>
    <t>Copper Pipe</t>
  </si>
  <si>
    <t>15mm Class 0 (Standard Supply)</t>
  </si>
  <si>
    <t>PIP-PEX-15</t>
  </si>
  <si>
    <t>PEX Pipe</t>
  </si>
  <si>
    <t>15mm Multilayer (Flexible Alternative)</t>
  </si>
  <si>
    <t>PIP-PVC-110</t>
  </si>
  <si>
    <t>Waste Pipe</t>
  </si>
  <si>
    <t>110mm uPVC (In-ground/Standard)</t>
  </si>
  <si>
    <t>PIP-HDPE-50</t>
  </si>
  <si>
    <t>HDPE Pipe</t>
  </si>
  <si>
    <t>50mm (Suspended/High-pressure Alt)</t>
  </si>
  <si>
    <t>PIP-INS-FOAM</t>
  </si>
  <si>
    <t>Pipe Insulation</t>
  </si>
  <si>
    <t>Polyethylene Foam (Lagging)</t>
  </si>
  <si>
    <t>PIP-FIX-BKT</t>
  </si>
  <si>
    <t>Pipe Brackets</t>
  </si>
  <si>
    <t>Galvanized Holderbats (Suspended)</t>
  </si>
  <si>
    <t>SAN-WC-CC</t>
  </si>
  <si>
    <t>WC Suite</t>
  </si>
  <si>
    <t>Close-Coupled Ceramic (Standard)</t>
  </si>
  <si>
    <t>SAN-BAS-PED</t>
  </si>
  <si>
    <t>Wash Basin</t>
  </si>
  <si>
    <t>Pedestal/Wall-hung Ceramic</t>
  </si>
  <si>
    <t>SAN-GEY-150</t>
  </si>
  <si>
    <t>Electric Geyser</t>
  </si>
  <si>
    <t>150L Glass-lined (Standard)</t>
  </si>
  <si>
    <t>SAN-GEY-SOL</t>
  </si>
  <si>
    <t>Solar Geyser</t>
  </si>
  <si>
    <t>200L High Pressure (Green Alternative)</t>
  </si>
  <si>
    <t>SAN-TAP-MIX</t>
  </si>
  <si>
    <t>Basin Mixer</t>
  </si>
  <si>
    <t>Single Lever Chrome (Standard)</t>
  </si>
  <si>
    <t>SAN-SHW-SET</t>
  </si>
  <si>
    <t>Shower Rose/Arm</t>
  </si>
  <si>
    <t>Chrome Plated (Standard)</t>
  </si>
  <si>
    <t>DRN-GUL-PVC</t>
  </si>
  <si>
    <t>Gully</t>
  </si>
  <si>
    <t>110mm PVC Gully Trap</t>
  </si>
  <si>
    <t>DRN-TRP-GRS</t>
  </si>
  <si>
    <t>Grease Trap</t>
  </si>
  <si>
    <t>Industrial Polyethylene</t>
  </si>
  <si>
    <t>DRN-FILL-SND</t>
  </si>
  <si>
    <t>Bedding Sand</t>
  </si>
  <si>
    <t>Plaster/River Sand for pipe bedding</t>
  </si>
  <si>
    <t>DRN-FILL-STN</t>
  </si>
  <si>
    <t>Stone Filling</t>
  </si>
  <si>
    <t>19mm Stone for soakage pits</t>
  </si>
  <si>
    <t>DRN-CONC-ENC</t>
  </si>
  <si>
    <t>Concrete Encasement</t>
  </si>
  <si>
    <t>15MPa Mass Concrete (Protection)</t>
  </si>
  <si>
    <t>FIR-HOS-REE</t>
  </si>
  <si>
    <t>Fire Hose Reel</t>
  </si>
  <si>
    <t>30m SABS Approved</t>
  </si>
  <si>
    <t>FIR-EXT-DCP</t>
  </si>
  <si>
    <t>Extinguisher</t>
  </si>
  <si>
    <t>9kg Dry Chemical Powder</t>
  </si>
  <si>
    <t>FIR-HYD-VAL</t>
  </si>
  <si>
    <t>Hydrant Valve</t>
  </si>
  <si>
    <t>Cast Iron / Brass</t>
  </si>
  <si>
    <t>PLD-GEN-TST</t>
  </si>
  <si>
    <t>Pressure Test</t>
  </si>
  <si>
    <t>Testing and Commissioning Labor</t>
  </si>
  <si>
    <t>ELW -</t>
  </si>
  <si>
    <t>CON-PVC-20</t>
  </si>
  <si>
    <t>PVC Conduit</t>
  </si>
  <si>
    <t>20mm SABS Approved (4m Length)</t>
  </si>
  <si>
    <t>CON-PVC-25</t>
  </si>
  <si>
    <t>25mm SABS Approved (4m Length Alt)</t>
  </si>
  <si>
    <t>CON-BOX-44</t>
  </si>
  <si>
    <t>4x4 Wall Box</t>
  </si>
  <si>
    <t>PVC Flush/Surface Mount</t>
  </si>
  <si>
    <t>CON-BOX-42</t>
  </si>
  <si>
    <t>4x2 Wall Box</t>
  </si>
  <si>
    <t>PVC Flush Mount (Alternative)</t>
  </si>
  <si>
    <t>CON-ACC-BND</t>
  </si>
  <si>
    <t>PVC Bend</t>
  </si>
  <si>
    <t>20mm Inspection/Plain Bend</t>
  </si>
  <si>
    <t>CON-ACC-SAD</t>
  </si>
  <si>
    <t>PVC Saddles</t>
  </si>
  <si>
    <t>20mm Space-bar Saddles</t>
  </si>
  <si>
    <t>CAB-TE-1.5</t>
  </si>
  <si>
    <t>Twin &amp; Earth</t>
  </si>
  <si>
    <t>1.5mm (Lighting Circuits)</t>
  </si>
  <si>
    <t>100m</t>
  </si>
  <si>
    <t>CAB-TE-2.5</t>
  </si>
  <si>
    <t>2.5mm (Plug Circuits - Standard)</t>
  </si>
  <si>
    <t>CAB-S2.5</t>
  </si>
  <si>
    <t>Surfix Cable</t>
  </si>
  <si>
    <t>2.5mm White (Surface Alt)</t>
  </si>
  <si>
    <t>CAB-ECC-16</t>
  </si>
  <si>
    <t>ECC Cable</t>
  </si>
  <si>
    <t>16mm 2-Core + Earth (Mains Alt)</t>
  </si>
  <si>
    <t>CAB-COM-CAT6</t>
  </si>
  <si>
    <t>Communication</t>
  </si>
  <si>
    <t>CAT6 Network Cable (Data Alt)</t>
  </si>
  <si>
    <t>DB-MAIN-12</t>
  </si>
  <si>
    <t>DB Board</t>
  </si>
  <si>
    <t>12-Way Surface/Flush Mount</t>
  </si>
  <si>
    <t>DB-BRK-60A</t>
  </si>
  <si>
    <t>Main Switch</t>
  </si>
  <si>
    <t>60A Double Pole Isolator</t>
  </si>
  <si>
    <t>DB-BRK-EL</t>
  </si>
  <si>
    <t>Earth Leakage</t>
  </si>
  <si>
    <t>63A 2-Pole 30mA</t>
  </si>
  <si>
    <t>DB-BRK-20A</t>
  </si>
  <si>
    <t>Circuit Breaker</t>
  </si>
  <si>
    <t>20A Single Pole (CBI/Standard)</t>
  </si>
  <si>
    <t>DB-ISO-STV</t>
  </si>
  <si>
    <t>Stove Isolator</t>
  </si>
  <si>
    <t>60A 4x4 Unit</t>
  </si>
  <si>
    <t>FIT-SWI-1L</t>
  </si>
  <si>
    <t>Light Switch</t>
  </si>
  <si>
    <t>1-Lever 1-Way (Standard)</t>
  </si>
  <si>
    <t>FIT-SOC-DBL</t>
  </si>
  <si>
    <t>Double Socket</t>
  </si>
  <si>
    <t>4x4 Switched (Standard)</t>
  </si>
  <si>
    <t>FIT-SOC-SHU</t>
  </si>
  <si>
    <t>Schuko Socket</t>
  </si>
  <si>
    <t>Euro-style 4x4 (Alternative)</t>
  </si>
  <si>
    <t>LUM-LED-4FT</t>
  </si>
  <si>
    <t>LED Fitting</t>
  </si>
  <si>
    <t>4ft (1200mm) Single Tube</t>
  </si>
  <si>
    <t>LUM-LED-DBL</t>
  </si>
  <si>
    <t>4ft (1200mm) Double Tube (Alt)</t>
  </si>
  <si>
    <t>FIT-COV-BLK</t>
  </si>
  <si>
    <t>Blank Plate</t>
  </si>
  <si>
    <t>4x4 White Cover Plate</t>
  </si>
  <si>
    <t>MEW -</t>
  </si>
  <si>
    <t>HVAC-SPL-9</t>
  </si>
  <si>
    <t>Split System AC</t>
  </si>
  <si>
    <t>9,000 BTU Standard Unit</t>
  </si>
  <si>
    <t>HVAC-INV-9</t>
  </si>
  <si>
    <t>Inverter AC</t>
  </si>
  <si>
    <t>9,000 BTU Energy Efficient (Premium Alt)</t>
  </si>
  <si>
    <t>HVAC-SPL-18</t>
  </si>
  <si>
    <t>18,000 - 24,000 BTU Standard</t>
  </si>
  <si>
    <t>HVAC-DUC-SYS</t>
  </si>
  <si>
    <t>Ducted System</t>
  </si>
  <si>
    <t>Whole-house / Central Unit (Standard)</t>
  </si>
  <si>
    <t>HVAC-FAN-EXT</t>
  </si>
  <si>
    <t>Extraction Fan</t>
  </si>
  <si>
    <t>Industrial Inline Fan</t>
  </si>
  <si>
    <t>DUC-GAL-STD</t>
  </si>
  <si>
    <t>Galv Ducting</t>
  </si>
  <si>
    <t>Rectangular Sheet Metal (Standard)</t>
  </si>
  <si>
    <t>DUC-INS-05</t>
  </si>
  <si>
    <t>Insulated Duct</t>
  </si>
  <si>
    <t>0.5m Pre-insulated Section (Alternative)</t>
  </si>
  <si>
    <t>DUC-FLX-200</t>
  </si>
  <si>
    <t>Flexible Ducting</t>
  </si>
  <si>
    <t>200mm Diameter Insulated</t>
  </si>
  <si>
    <t>DUC-DIF-4WAY</t>
  </si>
  <si>
    <t>Ceiling Diffuser</t>
  </si>
  <si>
    <t>4-Way Adjustable (Standard)</t>
  </si>
  <si>
    <t>DUC-GRT-RET</t>
  </si>
  <si>
    <t>Return Air Grille</t>
  </si>
  <si>
    <t>Aluminum Egg-crate (Standard)</t>
  </si>
  <si>
    <t>REF-SET</t>
  </si>
  <si>
    <t>Refrigerant Pipe</t>
  </si>
  <si>
    <t>Pair Coil (Copper + Insulation)</t>
  </si>
  <si>
    <t>PMP-CND</t>
  </si>
  <si>
    <t>Condensate Pump</t>
  </si>
  <si>
    <t>Automatic Mini Pump</t>
  </si>
  <si>
    <t>PMP-CIR</t>
  </si>
  <si>
    <t>Circulation Pump</t>
  </si>
  <si>
    <t>For Central Heating/Cooling</t>
  </si>
  <si>
    <t>VAL-RED</t>
  </si>
  <si>
    <t>Pressure Valve</t>
  </si>
  <si>
    <t>Red-White Valve (Standard)</t>
  </si>
  <si>
    <t>LIF-PAS</t>
  </si>
  <si>
    <t>Passenger Lift</t>
  </si>
  <si>
    <t>8-Person Standard (4 Floors)</t>
  </si>
  <si>
    <t>SPR-HD</t>
  </si>
  <si>
    <t>Sprinkler Head</t>
  </si>
  <si>
    <t>Pendant / Upright (Standard)</t>
  </si>
  <si>
    <t>BMS-CON</t>
  </si>
  <si>
    <t>BMS Controller</t>
  </si>
  <si>
    <t>Smart System Integration (Alternative)</t>
  </si>
  <si>
    <t>GLZ -</t>
  </si>
  <si>
    <t>FLT-3MM</t>
  </si>
  <si>
    <t>3mm Clear Float</t>
  </si>
  <si>
    <t>Standard single-pane (Residential)</t>
  </si>
  <si>
    <t>FLT-4MM</t>
  </si>
  <si>
    <t>4mm Clear Float</t>
  </si>
  <si>
    <t>Standard single-pane (Commercial)</t>
  </si>
  <si>
    <t>FLT-6MM</t>
  </si>
  <si>
    <t>6mm Clear Float</t>
  </si>
  <si>
    <t>Thicker pane for larger openings</t>
  </si>
  <si>
    <t>OBS-4MM</t>
  </si>
  <si>
    <t>4mm Obscure Glass</t>
  </si>
  <si>
    <t>Patterned/Frosted (Privacy Alternative)</t>
  </si>
  <si>
    <t>TIN-BRZ</t>
  </si>
  <si>
    <t>4mm Bronze Tint</t>
  </si>
  <si>
    <t>Heat-reducing tinted glass</t>
  </si>
  <si>
    <t>LAM-6.38</t>
  </si>
  <si>
    <t>6.38mm Laminated</t>
  </si>
  <si>
    <t>Clear Safety Glass (Standard)</t>
  </si>
  <si>
    <t>TSG-4MM</t>
  </si>
  <si>
    <t>4mm Toughened</t>
  </si>
  <si>
    <t>Clear Safety Glass (High-impact)</t>
  </si>
  <si>
    <t>TSG-6MM</t>
  </si>
  <si>
    <t>6mm Toughened</t>
  </si>
  <si>
    <t>High-strength (Commercial Alt)</t>
  </si>
  <si>
    <t>DGU-SIG</t>
  </si>
  <si>
    <t>Double Glazing</t>
  </si>
  <si>
    <t>SIG 6.38-12-6.38 (Energy Efficient)</t>
  </si>
  <si>
    <t>LAM-LOWE</t>
  </si>
  <si>
    <t>6.38mm Low E</t>
  </si>
  <si>
    <t>High-performance (Thermal Alt)</t>
  </si>
  <si>
    <t>MIR-4MM</t>
  </si>
  <si>
    <t>4mm Clear Mirror</t>
  </si>
  <si>
    <t>Polished edges (Standard)</t>
  </si>
  <si>
    <t>LOU-CLR</t>
  </si>
  <si>
    <t>Louvre Blade</t>
  </si>
  <si>
    <t>610 x 152 x 5mm Clear Glass</t>
  </si>
  <si>
    <t>POL-PC</t>
  </si>
  <si>
    <t>Polycarbonate</t>
  </si>
  <si>
    <t>EZ Glaze (Glass-like Plastic Alt)</t>
  </si>
  <si>
    <t>BUL-BR</t>
  </si>
  <si>
    <t>Bullet Resistant</t>
  </si>
  <si>
    <t>28mm+ Laminated (High-Security Alt)</t>
  </si>
  <si>
    <t>FIX-PUT-5KG</t>
  </si>
  <si>
    <t>Glazing Putty</t>
  </si>
  <si>
    <t>5kg Multi-purpose (Steel/Wood)</t>
  </si>
  <si>
    <t>FIX-SIL-CLR</t>
  </si>
  <si>
    <t>Glazing Silicone</t>
  </si>
  <si>
    <t>Anti-fungal Clear (Aluminum frames)</t>
  </si>
  <si>
    <t>FIX-BD-PVC</t>
  </si>
  <si>
    <t>Glazing Bead</t>
  </si>
  <si>
    <t>PVC Snap-in (Standard)</t>
  </si>
  <si>
    <t>FIX-GSK-RUB</t>
  </si>
  <si>
    <t>Rubber Gasket</t>
  </si>
  <si>
    <t>Neoprene seal for shopfronts</t>
  </si>
  <si>
    <t>PVA-INT</t>
  </si>
  <si>
    <t>Interior Matt PVA</t>
  </si>
  <si>
    <t>Standard Washable (e.g., Dulux)</t>
  </si>
  <si>
    <t>PVA-ECO</t>
  </si>
  <si>
    <t>Contractors PVA</t>
  </si>
  <si>
    <t>Economical Grade (Budget Alternative)</t>
  </si>
  <si>
    <t>ACR-EXT</t>
  </si>
  <si>
    <t>Textured Acrylic</t>
  </si>
  <si>
    <t>Micatex or Extreme Roof (Standard)</t>
  </si>
  <si>
    <t>SIL-PRM</t>
  </si>
  <si>
    <t>Silk/Satin Enamel</t>
  </si>
  <si>
    <t>Premium Sheen (Luxury Alternative)</t>
  </si>
  <si>
    <t>ROF-GRD</t>
  </si>
  <si>
    <t>Roof Paint</t>
  </si>
  <si>
    <t>Roofguard / TradePro (Standard)</t>
  </si>
  <si>
    <t>ENM-GLS</t>
  </si>
  <si>
    <t>Gloss Enamel</t>
  </si>
  <si>
    <t>Solvent-based (Standard White/Black)</t>
  </si>
  <si>
    <t>ENM-WTR</t>
  </si>
  <si>
    <t>Water-based Gloss</t>
  </si>
  <si>
    <t>Low Odor (Eco-friendly Alternative)</t>
  </si>
  <si>
    <t>ENM-CHR</t>
  </si>
  <si>
    <t>Champion Gloss</t>
  </si>
  <si>
    <t>Budget Grade (Cost-effective Alt)</t>
  </si>
  <si>
    <t>VNS-CLR</t>
  </si>
  <si>
    <t>Clear Varnish</t>
  </si>
  <si>
    <t>Polyurethane for Wood (Standard)</t>
  </si>
  <si>
    <t>PRM-PLR-SOL</t>
  </si>
  <si>
    <t>Solvent-based (Standard for new plaster)</t>
  </si>
  <si>
    <t>PRM-WOD-PNK</t>
  </si>
  <si>
    <t>Wood Primer</t>
  </si>
  <si>
    <t>Pink Wood Primer (Standard)</t>
  </si>
  <si>
    <t>PRM-MTL-ROX</t>
  </si>
  <si>
    <t>Anti-rust for Mild Steel</t>
  </si>
  <si>
    <t>PRM-MTL-ETC</t>
  </si>
  <si>
    <t>Etch Primer</t>
  </si>
  <si>
    <t>For Galvanized Steel (Alternative)</t>
  </si>
  <si>
    <t>PRE-FIL-INT</t>
  </si>
  <si>
    <t>Polyfilla</t>
  </si>
  <si>
    <t>Interior Crack Filler (Standard)</t>
  </si>
  <si>
    <t>2kg</t>
  </si>
  <si>
    <t>ACC-ROL-SET</t>
  </si>
  <si>
    <t>Roller &amp; Tray</t>
  </si>
  <si>
    <t>225mm Eezypile Set (Standard)</t>
  </si>
  <si>
    <t>ACC-BRU-SET</t>
  </si>
  <si>
    <t>Brush Set</t>
  </si>
  <si>
    <t>3-Piece Multi-size Set</t>
  </si>
  <si>
    <t>ACC-DRP-SHT</t>
  </si>
  <si>
    <t>Drop Sheet</t>
  </si>
  <si>
    <t>2m x 3m Plastic Protection</t>
  </si>
  <si>
    <t>ACC-SND-PPR</t>
  </si>
  <si>
    <t>Sandpaper</t>
  </si>
  <si>
    <t>40 Grit Roll (Preparation)</t>
  </si>
  <si>
    <t>Meter</t>
  </si>
  <si>
    <t>ACC-TUR-SOL</t>
  </si>
  <si>
    <t>Turpentine</t>
  </si>
  <si>
    <t>Mineral Turpentine (Cleaning)</t>
  </si>
  <si>
    <t>750ml</t>
  </si>
  <si>
    <t>PAP-STD</t>
  </si>
  <si>
    <t>Standard Wallpaper</t>
  </si>
  <si>
    <t>53cm x 10m Roll (Standard)</t>
  </si>
  <si>
    <t>PAP-PVC</t>
  </si>
  <si>
    <t>PVC Wallpaper</t>
  </si>
  <si>
    <t>Durable &amp; Washable (Budget Alt)</t>
  </si>
  <si>
    <t>PAP-VIN</t>
  </si>
  <si>
    <t>Vinyl Wallpaper</t>
  </si>
  <si>
    <t>High-durability (Standard)</t>
  </si>
  <si>
    <t>PAP-FAB</t>
  </si>
  <si>
    <t>Fabric Wallpaper</t>
  </si>
  <si>
    <t>Luxury Material (Premium Alternative)</t>
  </si>
  <si>
    <t>MRL-CST</t>
  </si>
  <si>
    <t>Custom Mural</t>
  </si>
  <si>
    <t>Bespoke design per m2 (Luxury Alt)</t>
  </si>
  <si>
    <t>PAP-SEL</t>
  </si>
  <si>
    <t>Peel and Stick</t>
  </si>
  <si>
    <t>Self-adhesive (Removable Alt)</t>
  </si>
  <si>
    <t>ADH-FLK</t>
  </si>
  <si>
    <t>Flake Paste</t>
  </si>
  <si>
    <t>185g Mixable Flakes (Standard)</t>
  </si>
  <si>
    <t>ADH-CLR</t>
  </si>
  <si>
    <t>Clear Adhesive</t>
  </si>
  <si>
    <t>250g Ready-to-use (Standard)</t>
  </si>
  <si>
    <t>Tub</t>
  </si>
  <si>
    <t>ADH-PRE</t>
  </si>
  <si>
    <t>Pre-mix Paste</t>
  </si>
  <si>
    <t>10kg Industrial Tub (Large Jobs)</t>
  </si>
  <si>
    <t>ADH-BOR</t>
  </si>
  <si>
    <t>Border Adhesive</t>
  </si>
  <si>
    <t>250g Specialized Glue (Alternative)</t>
  </si>
  <si>
    <t>PRE-SEL</t>
  </si>
  <si>
    <t>Wall Sealer</t>
  </si>
  <si>
    <t>Water-based Primer/Sealer (Standard)</t>
  </si>
  <si>
    <t>PRE-PRM</t>
  </si>
  <si>
    <t>Solvent-based (Alternative for porous walls)</t>
  </si>
  <si>
    <t>PRE-REM</t>
  </si>
  <si>
    <t>Wallpaper Remover</t>
  </si>
  <si>
    <t>Steam/Chemical solution (Standard)</t>
  </si>
  <si>
    <t>ACC-KNF</t>
  </si>
  <si>
    <t>Trimming Knife</t>
  </si>
  <si>
    <t>Retractable utility blade</t>
  </si>
  <si>
    <t>ACC-ROL</t>
  </si>
  <si>
    <t>Seam Roller</t>
  </si>
  <si>
    <t>Specialized tool for smoothing joints</t>
  </si>
  <si>
    <t>ACC-BRU</t>
  </si>
  <si>
    <t>Pasting Brush</t>
  </si>
  <si>
    <t>63mm-100mm Synthetic</t>
  </si>
  <si>
    <t>ACC-CHL</t>
  </si>
  <si>
    <t>Chalk Line</t>
  </si>
  <si>
    <t>For vertical alignment</t>
  </si>
  <si>
    <t>EXT -</t>
  </si>
  <si>
    <t>LND-SOIL-TOP</t>
  </si>
  <si>
    <t>Topsoil</t>
  </si>
  <si>
    <t>Screened &amp; Weed-free (Bulk)</t>
  </si>
  <si>
    <t>LND-SOIL-CMP</t>
  </si>
  <si>
    <t>Compost</t>
  </si>
  <si>
    <t>Black/Brown Organic Blend</t>
  </si>
  <si>
    <t>60d/m3</t>
  </si>
  <si>
    <t>LND-FER-LAN</t>
  </si>
  <si>
    <t>Fertilizer (LAN)</t>
  </si>
  <si>
    <t>Limestone Ammonium Nitrate (28)</t>
  </si>
  <si>
    <t>LND-GRS-KIK</t>
  </si>
  <si>
    <t>Kikuyu Lawn</t>
  </si>
  <si>
    <t>Standard Instant Sod (Drought-hardy)</t>
  </si>
  <si>
    <t>LND-GRS-BUF</t>
  </si>
  <si>
    <t>Buffalo Lawn</t>
  </si>
  <si>
    <t>Shade-tolerant (Premium Alternative)</t>
  </si>
  <si>
    <t>LND-GRS-LM</t>
  </si>
  <si>
    <t>LM (Berea) Lawn</t>
  </si>
  <si>
    <t>Soft-leaf shade grass (Alternative)</t>
  </si>
  <si>
    <t>STAR-RES</t>
  </si>
  <si>
    <t>Residential Tar</t>
  </si>
  <si>
    <t>25-30mm Asphalt (Standard)</t>
  </si>
  <si>
    <t>STAR-COM</t>
  </si>
  <si>
    <t>Commercial Tar</t>
  </si>
  <si>
    <t>50mm+ Heavy Duty (Alternative)</t>
  </si>
  <si>
    <t>SGRV-BAS</t>
  </si>
  <si>
    <t>G5 Gravel</t>
  </si>
  <si>
    <t>Base course material for roads</t>
  </si>
  <si>
    <t>SKER-FIG8</t>
  </si>
  <si>
    <t>Mountable Kerb</t>
  </si>
  <si>
    <t>Concrete Figure 8B (1000mm)</t>
  </si>
  <si>
    <t>SKER-BK4</t>
  </si>
  <si>
    <t>Barrier Kerb</t>
  </si>
  <si>
    <t>Concrete Figure BK4 (Heavy Duty)</t>
  </si>
  <si>
    <t>SPAV-BV</t>
  </si>
  <si>
    <t>Bevel Pavers</t>
  </si>
  <si>
    <t>50mm Grey Concrete (Standard)</t>
  </si>
  <si>
    <t>1000u</t>
  </si>
  <si>
    <t>FEN-CLV-1.8</t>
  </si>
  <si>
    <t>Clearview Mesh</t>
  </si>
  <si>
    <t>1.8m High Standard Aperture</t>
  </si>
  <si>
    <t>FEN-PAL-1.8</t>
  </si>
  <si>
    <t>Steel Palisade</t>
  </si>
  <si>
    <t>1.8m High Standard Bolt-on</t>
  </si>
  <si>
    <t>FEN-PAL-PVC</t>
  </si>
  <si>
    <t>PVC Palisade</t>
  </si>
  <si>
    <t>1.8m Coastal/Anti-corrosive (Alt)</t>
  </si>
  <si>
    <t>FEN-ELE-6W</t>
  </si>
  <si>
    <t>Electric Fencing</t>
  </si>
  <si>
    <t>6-Wire Wall-top System</t>
  </si>
  <si>
    <t>FEN-RAZ-CON</t>
  </si>
  <si>
    <t>Razor Wire</t>
  </si>
  <si>
    <t>Concertina Coil (Alternative)</t>
  </si>
  <si>
    <t>SUN-WSH-GAL</t>
  </si>
  <si>
    <t>Washing Line</t>
  </si>
  <si>
    <t>T-Pole Galvanized (Standard 2-pole)</t>
  </si>
  <si>
    <t>SUN-WSH-FLD</t>
  </si>
  <si>
    <t>Fold-away Line</t>
  </si>
  <si>
    <t>2.1m Wall-mounted (Alternative)</t>
  </si>
  <si>
    <t>SUN-BOL-STL</t>
  </si>
  <si>
    <t>Steel Bollard</t>
  </si>
  <si>
    <t>100mm Fixed Security Bollard</t>
  </si>
  <si>
    <t>SUN-DRA-GUL</t>
  </si>
  <si>
    <t>Yard Gully</t>
  </si>
  <si>
    <t>PVC 110mm with Grating</t>
  </si>
  <si>
    <t>CFR-Concrete, Formwork &amp; Reinforcement</t>
  </si>
  <si>
    <t>Prefix</t>
  </si>
  <si>
    <t>MAN-Masonry</t>
  </si>
  <si>
    <t>WPR-Waterproofing</t>
  </si>
  <si>
    <t>ROF-Roofing Coverings</t>
  </si>
  <si>
    <t>CRJ-Carpentry and Joinery</t>
  </si>
  <si>
    <t>CPA-Ceilings, Partitions &amp; Access Flooring</t>
  </si>
  <si>
    <t>FLR-Floor Coverings, Wall Linings, Etc</t>
  </si>
  <si>
    <t>Specification Code</t>
  </si>
  <si>
    <t>IRM-Ironmongery</t>
  </si>
  <si>
    <t>STW-Structural Steelwork</t>
  </si>
  <si>
    <t>MTW-Metalwork</t>
  </si>
  <si>
    <t>PLA-Plastering</t>
  </si>
  <si>
    <t>TIL-Tiling</t>
  </si>
  <si>
    <t>PLD-Plumbing &amp; Drainage</t>
  </si>
  <si>
    <t>ELW-Electrical Work</t>
  </si>
  <si>
    <t>MEW-Mechanical Work</t>
  </si>
  <si>
    <t>GLZ-Glazing</t>
  </si>
  <si>
    <t>PAT -</t>
  </si>
  <si>
    <t>PAW -</t>
  </si>
  <si>
    <t>PAW-</t>
  </si>
  <si>
    <t>PAH-</t>
  </si>
  <si>
    <t>PAW-Paintwork</t>
  </si>
  <si>
    <t>PAH-Paperhanging</t>
  </si>
  <si>
    <t xml:space="preserve">PAH - </t>
  </si>
  <si>
    <t>EXT-External Work</t>
  </si>
  <si>
    <t xml:space="preserve">concrete settings </t>
  </si>
  <si>
    <t>Concrete Name</t>
  </si>
  <si>
    <r>
      <t>Concrete s</t>
    </r>
    <r>
      <rPr>
        <sz val="11"/>
        <color rgb="FF1F1F1F"/>
        <rFont val="Arial"/>
        <family val="2"/>
      </rPr>
      <t>trength</t>
    </r>
  </si>
  <si>
    <t>CONC_10</t>
  </si>
  <si>
    <t>10MPa Mix</t>
  </si>
  <si>
    <t>CFR01-CEM-42.5N</t>
  </si>
  <si>
    <t>CFR01-SAN-RIV</t>
  </si>
  <si>
    <t>CFR01-STO-19</t>
  </si>
  <si>
    <t>CONC_15</t>
  </si>
  <si>
    <t>15MPa Mix</t>
  </si>
  <si>
    <t>CONC_20</t>
  </si>
  <si>
    <t>20MPa Mix</t>
  </si>
  <si>
    <t>CONC_25</t>
  </si>
  <si>
    <t>25MPa Mix</t>
  </si>
  <si>
    <t>CFR01-CEM-32.5R</t>
  </si>
  <si>
    <t>CONC_30</t>
  </si>
  <si>
    <t>30MPa Mix</t>
  </si>
  <si>
    <t>Cement Code</t>
  </si>
  <si>
    <t>Dand Code</t>
  </si>
  <si>
    <t xml:space="preserve">Stone Link </t>
  </si>
  <si>
    <t>Rate/m3</t>
  </si>
  <si>
    <t>BoQ Quantity</t>
  </si>
  <si>
    <t>Cement bags</t>
  </si>
  <si>
    <t>Sand cubes</t>
  </si>
  <si>
    <t>Stone cubes</t>
  </si>
  <si>
    <t>Quantity per m3 of Concrete</t>
  </si>
  <si>
    <t>Quantity for Bill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</si>
</sst>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4" formatCode="_-&quot;R&quot;* #,##0.00_-;\-&quot;R&quot;* #,##0.00_-;_-&quot;R&quot;* &quot;-&quot;??_-;_-@_-"/>
    <numFmt numFmtId="43" formatCode="_-* #,##0.00_-;\-* #,##0.00_-;_-* &quot;-&quot;??_-;_-@_-"/>
    <numFmt numFmtId="164" formatCode="_(* #,##0.00_);_(* \(#,##0.00\);_(* &quot;-&quot;??_);_(@_)"/>
    <numFmt numFmtId="165" formatCode="_(* #,##0_);_(* \(#,##0\);_(* &quot;-&quot;??_);_(@_)"/>
    <numFmt numFmtId="166" formatCode="_ * #,##0.00_ ;_ * \-#,##0.00_ ;_ * &quot;-&quot;??_ ;_ @_ "/>
    <numFmt numFmtId="167" formatCode="_-[$R-1C09]* #,##0.00_-;\-[$R-1C09]* #,##0.00_-;_-[$R-1C09]* &quot;-&quot;??_-;_-@_-"/>
    <numFmt numFmtId="168" formatCode="[$R-1C09]\ #,##0.00"/>
    <numFmt numFmtId="169" formatCode="0.0000%"/>
    <numFmt numFmtId="170" formatCode="0;[Red]0"/>
    <numFmt numFmtId="171" formatCode="_ &quot;R&quot;\ * #,##0.00_ ;_ &quot;R&quot;\ * \-#,##0.00_ ;_ &quot;R&quot;\ * &quot;-&quot;??_ ;_ @_ "/>
    <numFmt numFmtId="172" formatCode="_ [$R-1C09]\ * #,##0.00_ ;_ [$R-1C09]\ * \-#,##0.00_ ;_ [$R-1C09]\ * &quot;-&quot;??_ ;_ @_ "/>
    <numFmt numFmtId="173" formatCode="_-[$R-1C09]* #,##0.00_-;\-[$R-1C09]* #,##0.00_-;_-[$R-1C09]* &quot;-&quot;??_-;_-@"/>
    <numFmt numFmtId="174" formatCode="0.00;[Red]0.00"/>
    <numFmt numFmtId="175" formatCode="_(* #,##0.0_);_(* \(#,##0.0\);_(* &quot;-&quot;??_);_(@_)"/>
    <numFmt numFmtId="177" formatCode="&quot;R&quot;#,##0.00"/>
  </numFmts>
  <fonts count="26" x14ac:knownFonts="1">
    <font>
      <sz val="11"/>
      <color theme="1"/>
      <name val="Aptos Narrow"/>
      <family val="2"/>
      <scheme val="minor"/>
    </font>
    <font>
      <sz val="11"/>
      <color theme="1"/>
      <name val="Aptos Narrow"/>
      <family val="2"/>
      <scheme val="minor"/>
    </font>
    <font>
      <b/>
      <sz val="11"/>
      <color theme="1"/>
      <name val="Aptos Narrow"/>
      <family val="2"/>
      <scheme val="minor"/>
    </font>
    <font>
      <b/>
      <sz val="10"/>
      <name val="Arial"/>
      <family val="2"/>
    </font>
    <font>
      <sz val="10"/>
      <name val="Arial"/>
      <family val="2"/>
    </font>
    <font>
      <sz val="8"/>
      <color theme="1"/>
      <name val="Arial"/>
      <family val="2"/>
    </font>
    <font>
      <b/>
      <sz val="8"/>
      <color theme="1"/>
      <name val="Arial"/>
      <family val="2"/>
    </font>
    <font>
      <b/>
      <u/>
      <sz val="8"/>
      <color theme="1"/>
      <name val="Arial"/>
      <family val="2"/>
    </font>
    <font>
      <u/>
      <sz val="8"/>
      <color theme="1"/>
      <name val="Arial"/>
      <family val="2"/>
    </font>
    <font>
      <b/>
      <u/>
      <sz val="10"/>
      <name val="Arial"/>
      <family val="2"/>
    </font>
    <font>
      <u/>
      <sz val="10"/>
      <name val="Arial"/>
      <family val="2"/>
    </font>
    <font>
      <vertAlign val="superscript"/>
      <sz val="10"/>
      <name val="Arial"/>
      <family val="2"/>
    </font>
    <font>
      <sz val="11"/>
      <color rgb="FF000000"/>
      <name val="Calibri"/>
      <family val="2"/>
    </font>
    <font>
      <b/>
      <sz val="10"/>
      <color theme="1"/>
      <name val="Arial"/>
      <family val="2"/>
    </font>
    <font>
      <sz val="10"/>
      <color theme="1"/>
      <name val="Arial"/>
      <family val="2"/>
    </font>
    <font>
      <b/>
      <u/>
      <sz val="10"/>
      <color theme="1"/>
      <name val="Arial"/>
      <family val="2"/>
    </font>
    <font>
      <sz val="10"/>
      <name val="Calibri"/>
      <family val="2"/>
    </font>
    <font>
      <u/>
      <sz val="10"/>
      <color indexed="8"/>
      <name val="Arial"/>
      <family val="2"/>
    </font>
    <font>
      <sz val="10"/>
      <color rgb="FFFF0000"/>
      <name val="Arial"/>
      <family val="2"/>
    </font>
    <font>
      <u/>
      <sz val="10"/>
      <color theme="1"/>
      <name val="Arial"/>
      <family val="2"/>
    </font>
    <font>
      <b/>
      <sz val="11"/>
      <color rgb="FF1F1F1F"/>
      <name val="Arial"/>
      <family val="2"/>
    </font>
    <font>
      <sz val="11"/>
      <color rgb="FF1F1F1F"/>
      <name val="Arial"/>
      <family val="2"/>
    </font>
    <font>
      <sz val="10"/>
      <color theme="1"/>
      <name val="Aptos Narrow"/>
      <family val="2"/>
      <scheme val="minor"/>
    </font>
    <font>
      <b/>
      <sz val="9"/>
      <color rgb="FF1F1F1F"/>
      <name val="Arial"/>
      <family val="2"/>
    </font>
    <font>
      <sz val="11"/>
      <color theme="1"/>
      <name val="Arial"/>
      <family val="2"/>
    </font>
    <font>
      <b/>
      <sz val="11"/>
      <color theme="1"/>
      <name val="Arial"/>
      <family val="2"/>
    </font>
  </fonts>
  <fills count="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9" tint="0.39997558519241921"/>
        <bgColor indexed="64"/>
      </patternFill>
    </fill>
  </fills>
  <borders count="44">
    <border>
      <left/>
      <right/>
      <top/>
      <bottom/>
      <diagonal/>
    </border>
    <border>
      <left style="thin">
        <color indexed="64"/>
      </left>
      <right style="thin">
        <color auto="1"/>
      </right>
      <top style="thin">
        <color indexed="64"/>
      </top>
      <bottom/>
      <diagonal/>
    </border>
    <border>
      <left style="thin">
        <color indexed="64"/>
      </left>
      <right/>
      <top style="thin">
        <color indexed="64"/>
      </top>
      <bottom/>
      <diagonal/>
    </border>
    <border>
      <left style="double">
        <color auto="1"/>
      </left>
      <right style="double">
        <color auto="1"/>
      </right>
      <top style="thin">
        <color indexed="64"/>
      </top>
      <bottom/>
      <diagonal/>
    </border>
    <border>
      <left/>
      <right style="thin">
        <color indexed="64"/>
      </right>
      <top style="thin">
        <color indexed="64"/>
      </top>
      <bottom/>
      <diagonal/>
    </border>
    <border>
      <left style="thin">
        <color auto="1"/>
      </left>
      <right style="thin">
        <color auto="1"/>
      </right>
      <top/>
      <bottom/>
      <diagonal/>
    </border>
    <border>
      <left style="thin">
        <color indexed="64"/>
      </left>
      <right/>
      <top/>
      <bottom/>
      <diagonal/>
    </border>
    <border>
      <left style="double">
        <color auto="1"/>
      </left>
      <right style="double">
        <color auto="1"/>
      </right>
      <top/>
      <bottom/>
      <diagonal/>
    </border>
    <border>
      <left/>
      <right style="thin">
        <color auto="1"/>
      </right>
      <top/>
      <bottom/>
      <diagonal/>
    </border>
    <border>
      <left style="double">
        <color indexed="64"/>
      </left>
      <right style="thin">
        <color indexed="64"/>
      </right>
      <top/>
      <bottom/>
      <diagonal/>
    </border>
    <border>
      <left style="thin">
        <color rgb="FF000000"/>
      </left>
      <right/>
      <top/>
      <bottom/>
      <diagonal/>
    </border>
    <border>
      <left style="thin">
        <color auto="1"/>
      </left>
      <right style="thin">
        <color auto="1"/>
      </right>
      <top/>
      <bottom style="thin">
        <color auto="1"/>
      </bottom>
      <diagonal/>
    </border>
    <border>
      <left style="thin">
        <color auto="1"/>
      </left>
      <right/>
      <top/>
      <bottom style="thin">
        <color indexed="64"/>
      </bottom>
      <diagonal/>
    </border>
    <border>
      <left style="double">
        <color auto="1"/>
      </left>
      <right style="double">
        <color auto="1"/>
      </right>
      <top/>
      <bottom style="thin">
        <color auto="1"/>
      </bottom>
      <diagonal/>
    </border>
    <border>
      <left/>
      <right/>
      <top/>
      <bottom style="thin">
        <color indexed="64"/>
      </bottom>
      <diagonal/>
    </border>
    <border>
      <left style="thin">
        <color indexed="8"/>
      </left>
      <right style="thin">
        <color indexed="8"/>
      </right>
      <top/>
      <bottom/>
      <diagonal/>
    </border>
    <border>
      <left style="thin">
        <color indexed="64"/>
      </left>
      <right style="thin">
        <color rgb="FF000000"/>
      </right>
      <top/>
      <bottom/>
      <diagonal/>
    </border>
    <border>
      <left style="thin">
        <color rgb="FF000000"/>
      </left>
      <right style="thin">
        <color rgb="FF000000"/>
      </right>
      <top/>
      <bottom/>
      <diagonal/>
    </border>
    <border>
      <left style="double">
        <color rgb="FF000000"/>
      </left>
      <right style="double">
        <color rgb="FF000000"/>
      </right>
      <top/>
      <bottom/>
      <diagonal/>
    </border>
    <border>
      <left style="double">
        <color rgb="FF000000"/>
      </left>
      <right style="thin">
        <color rgb="FF000000"/>
      </right>
      <top/>
      <bottom/>
      <diagonal/>
    </border>
    <border>
      <left style="thin">
        <color rgb="FF000000"/>
      </left>
      <right style="thin">
        <color indexed="64"/>
      </right>
      <top/>
      <bottom/>
      <diagonal/>
    </border>
    <border>
      <left/>
      <right style="thin">
        <color indexed="8"/>
      </right>
      <top/>
      <bottom/>
      <diagonal/>
    </border>
    <border>
      <left/>
      <right/>
      <top style="thin">
        <color indexed="64"/>
      </top>
      <bottom/>
      <diagonal/>
    </border>
    <border>
      <left/>
      <right style="thin">
        <color indexed="8"/>
      </right>
      <top/>
      <bottom style="thin">
        <color indexed="64"/>
      </bottom>
      <diagonal/>
    </border>
    <border>
      <left/>
      <right style="double">
        <color indexed="64"/>
      </right>
      <top/>
      <bottom/>
      <diagonal/>
    </border>
    <border>
      <left style="thin">
        <color indexed="64"/>
      </left>
      <right style="double">
        <color indexed="64"/>
      </right>
      <top/>
      <bottom/>
      <diagonal/>
    </border>
    <border>
      <left style="thin">
        <color indexed="64"/>
      </left>
      <right style="thin">
        <color auto="1"/>
      </right>
      <top/>
      <bottom/>
      <diagonal/>
    </border>
    <border>
      <left style="thin">
        <color indexed="64"/>
      </left>
      <right/>
      <top/>
      <bottom/>
      <diagonal/>
    </border>
    <border>
      <left/>
      <right style="thin">
        <color indexed="64"/>
      </right>
      <top/>
      <bottom/>
      <diagonal/>
    </border>
    <border>
      <left style="thin">
        <color indexed="8"/>
      </left>
      <right/>
      <top/>
      <bottom/>
      <diagonal/>
    </border>
    <border>
      <left style="thin">
        <color indexed="8"/>
      </left>
      <right style="thin">
        <color indexed="8"/>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indexed="64"/>
      </left>
      <right style="medium">
        <color rgb="FF000000"/>
      </right>
      <top style="medium">
        <color indexed="64"/>
      </top>
      <bottom style="medium">
        <color indexed="64"/>
      </bottom>
      <diagonal/>
    </border>
    <border>
      <left style="medium">
        <color rgb="FF000000"/>
      </left>
      <right style="medium">
        <color rgb="FF000000"/>
      </right>
      <top style="medium">
        <color indexed="64"/>
      </top>
      <bottom style="medium">
        <color indexed="64"/>
      </bottom>
      <diagonal/>
    </border>
    <border>
      <left style="medium">
        <color rgb="FF000000"/>
      </left>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medium">
        <color rgb="FF000000"/>
      </left>
      <right/>
      <top style="medium">
        <color rgb="FF000000"/>
      </top>
      <bottom/>
      <diagonal/>
    </border>
    <border>
      <left style="medium">
        <color rgb="FF000000"/>
      </left>
      <right/>
      <top style="medium">
        <color indexed="64"/>
      </top>
      <bottom style="medium">
        <color indexed="64"/>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5">
    <xf numFmtId="0" fontId="0" fillId="0" borderId="0"/>
    <xf numFmtId="44" fontId="1" fillId="0" borderId="0" applyFont="0" applyFill="0" applyBorder="0" applyAlignment="0" applyProtection="0"/>
    <xf numFmtId="9" fontId="1" fillId="0" borderId="0" applyFont="0" applyFill="0" applyBorder="0" applyAlignment="0" applyProtection="0"/>
    <xf numFmtId="164" fontId="1" fillId="0" borderId="0" applyFont="0" applyFill="0" applyBorder="0" applyAlignment="0" applyProtection="0"/>
    <xf numFmtId="166" fontId="4" fillId="0" borderId="0" applyFont="0" applyFill="0" applyBorder="0" applyAlignment="0" applyProtection="0"/>
    <xf numFmtId="0" fontId="12" fillId="0" borderId="0"/>
    <xf numFmtId="0" fontId="4" fillId="0" borderId="0"/>
    <xf numFmtId="166" fontId="1" fillId="0" borderId="0" applyFont="0" applyFill="0" applyBorder="0" applyAlignment="0" applyProtection="0"/>
    <xf numFmtId="171"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2"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cellStyleXfs>
  <cellXfs count="463">
    <xf numFmtId="0" fontId="0" fillId="0" borderId="0" xfId="0"/>
    <xf numFmtId="0" fontId="3" fillId="0" borderId="1" xfId="0" applyFont="1" applyBorder="1" applyAlignment="1">
      <alignment vertical="center" wrapText="1"/>
    </xf>
    <xf numFmtId="0" fontId="3" fillId="2" borderId="1" xfId="0" applyFont="1" applyFill="1" applyBorder="1" applyAlignment="1">
      <alignment horizontal="center" vertical="center" wrapText="1"/>
    </xf>
    <xf numFmtId="0" fontId="3" fillId="0" borderId="2" xfId="0" applyFont="1" applyBorder="1" applyAlignment="1">
      <alignment vertical="center" wrapText="1"/>
    </xf>
    <xf numFmtId="0" fontId="3" fillId="0" borderId="3" xfId="0" applyFont="1" applyBorder="1" applyAlignment="1">
      <alignment vertical="center"/>
    </xf>
    <xf numFmtId="165" fontId="3" fillId="0" borderId="4" xfId="3" applyNumberFormat="1" applyFont="1" applyFill="1" applyBorder="1" applyAlignment="1">
      <alignment vertical="center" wrapText="1"/>
    </xf>
    <xf numFmtId="165" fontId="3" fillId="2" borderId="4" xfId="3" applyNumberFormat="1" applyFont="1" applyFill="1" applyBorder="1" applyAlignment="1">
      <alignment vertical="center" wrapText="1"/>
    </xf>
    <xf numFmtId="44" fontId="3" fillId="0" borderId="1" xfId="1" applyFont="1" applyFill="1" applyBorder="1" applyAlignment="1">
      <alignment vertical="center" wrapText="1"/>
    </xf>
    <xf numFmtId="167" fontId="3" fillId="0" borderId="1" xfId="4" applyNumberFormat="1" applyFont="1" applyFill="1" applyBorder="1" applyAlignment="1">
      <alignment vertical="center" wrapText="1"/>
    </xf>
    <xf numFmtId="167" fontId="3" fillId="2" borderId="1" xfId="4" applyNumberFormat="1" applyFont="1" applyFill="1" applyBorder="1" applyAlignment="1">
      <alignment vertical="center" wrapText="1"/>
    </xf>
    <xf numFmtId="0" fontId="4" fillId="0" borderId="0" xfId="0" applyFont="1" applyAlignment="1">
      <alignment vertical="center"/>
    </xf>
    <xf numFmtId="0" fontId="4" fillId="0" borderId="5" xfId="0" applyFont="1" applyBorder="1" applyAlignment="1">
      <alignment horizontal="center" vertical="center"/>
    </xf>
    <xf numFmtId="0" fontId="5" fillId="0" borderId="5" xfId="0" applyFont="1" applyBorder="1" applyAlignment="1">
      <alignment horizontal="center" vertical="center"/>
    </xf>
    <xf numFmtId="0" fontId="6" fillId="0" borderId="6" xfId="0" applyFont="1" applyBorder="1" applyAlignment="1">
      <alignment vertical="center" wrapText="1"/>
    </xf>
    <xf numFmtId="0" fontId="6" fillId="0" borderId="7" xfId="0" applyFont="1" applyBorder="1" applyAlignment="1">
      <alignment horizontal="center" vertical="center"/>
    </xf>
    <xf numFmtId="0" fontId="6" fillId="0" borderId="8" xfId="0" applyFont="1" applyBorder="1" applyAlignment="1">
      <alignment vertical="center"/>
    </xf>
    <xf numFmtId="0" fontId="6" fillId="2" borderId="8" xfId="0" applyFont="1" applyFill="1" applyBorder="1" applyAlignment="1">
      <alignment vertical="center"/>
    </xf>
    <xf numFmtId="168" fontId="6" fillId="0" borderId="5" xfId="0" applyNumberFormat="1" applyFont="1" applyBorder="1" applyAlignment="1">
      <alignment vertical="center"/>
    </xf>
    <xf numFmtId="167" fontId="6" fillId="0" borderId="5" xfId="0" applyNumberFormat="1" applyFont="1" applyBorder="1" applyAlignment="1">
      <alignment vertical="center"/>
    </xf>
    <xf numFmtId="167" fontId="6" fillId="2" borderId="5" xfId="0" applyNumberFormat="1" applyFont="1" applyFill="1" applyBorder="1" applyAlignment="1">
      <alignment vertical="center"/>
    </xf>
    <xf numFmtId="0" fontId="5" fillId="0" borderId="0" xfId="0" applyFont="1" applyAlignment="1">
      <alignment vertical="center"/>
    </xf>
    <xf numFmtId="10" fontId="5" fillId="0" borderId="0" xfId="2" applyNumberFormat="1" applyFont="1" applyAlignment="1">
      <alignment horizontal="center" vertical="center"/>
    </xf>
    <xf numFmtId="0" fontId="6" fillId="0" borderId="5" xfId="0" applyFont="1" applyBorder="1" applyAlignment="1">
      <alignment horizontal="center" vertical="center"/>
    </xf>
    <xf numFmtId="0" fontId="5" fillId="0" borderId="7" xfId="0" applyFont="1" applyBorder="1" applyAlignment="1">
      <alignment horizontal="center" vertical="center"/>
    </xf>
    <xf numFmtId="0" fontId="5" fillId="0" borderId="8" xfId="0" applyFont="1" applyBorder="1" applyAlignment="1">
      <alignment vertical="center"/>
    </xf>
    <xf numFmtId="0" fontId="5" fillId="2" borderId="8" xfId="0" applyFont="1" applyFill="1" applyBorder="1" applyAlignment="1">
      <alignment vertical="center"/>
    </xf>
    <xf numFmtId="168" fontId="5" fillId="0" borderId="5" xfId="0" applyNumberFormat="1" applyFont="1" applyBorder="1" applyAlignment="1">
      <alignment vertical="center"/>
    </xf>
    <xf numFmtId="167" fontId="5" fillId="0" borderId="5" xfId="0" applyNumberFormat="1" applyFont="1" applyBorder="1" applyAlignment="1">
      <alignment vertical="center"/>
    </xf>
    <xf numFmtId="167" fontId="5" fillId="2" borderId="5" xfId="0" applyNumberFormat="1" applyFont="1" applyFill="1" applyBorder="1" applyAlignment="1">
      <alignment vertical="center"/>
    </xf>
    <xf numFmtId="0" fontId="7" fillId="0" borderId="6" xfId="0" applyFont="1" applyBorder="1" applyAlignment="1">
      <alignment vertical="center" wrapText="1"/>
    </xf>
    <xf numFmtId="0" fontId="5" fillId="0" borderId="6" xfId="0" applyFont="1" applyBorder="1" applyAlignment="1">
      <alignment vertical="center" wrapText="1"/>
    </xf>
    <xf numFmtId="44" fontId="5" fillId="0" borderId="5" xfId="0" applyNumberFormat="1" applyFont="1" applyBorder="1" applyAlignment="1">
      <alignment vertical="center"/>
    </xf>
    <xf numFmtId="0" fontId="8" fillId="0" borderId="6" xfId="0" applyFont="1" applyBorder="1" applyAlignment="1">
      <alignment vertical="center" wrapText="1"/>
    </xf>
    <xf numFmtId="0" fontId="0" fillId="0" borderId="0" xfId="0" applyAlignment="1">
      <alignment vertical="center"/>
    </xf>
    <xf numFmtId="0" fontId="5" fillId="0" borderId="6" xfId="0" applyFont="1" applyBorder="1" applyAlignment="1">
      <alignment horizontal="center" vertical="center" wrapText="1"/>
    </xf>
    <xf numFmtId="0" fontId="5" fillId="0" borderId="0" xfId="0" applyFont="1" applyAlignment="1">
      <alignment vertical="center" wrapText="1"/>
    </xf>
    <xf numFmtId="0" fontId="5" fillId="2" borderId="0" xfId="0" applyFont="1" applyFill="1" applyAlignment="1">
      <alignment vertical="center" wrapText="1"/>
    </xf>
    <xf numFmtId="0" fontId="5" fillId="0" borderId="5" xfId="0" applyFont="1" applyBorder="1" applyAlignment="1">
      <alignment horizontal="left" vertical="center"/>
    </xf>
    <xf numFmtId="4" fontId="5" fillId="0" borderId="5" xfId="0" applyNumberFormat="1" applyFont="1" applyBorder="1" applyAlignment="1">
      <alignment vertical="center"/>
    </xf>
    <xf numFmtId="44" fontId="6" fillId="0" borderId="5" xfId="0" applyNumberFormat="1" applyFont="1" applyBorder="1" applyAlignment="1">
      <alignment vertical="center"/>
    </xf>
    <xf numFmtId="0" fontId="6" fillId="0" borderId="0" xfId="0" applyFont="1" applyAlignment="1">
      <alignment vertical="center"/>
    </xf>
    <xf numFmtId="10" fontId="6" fillId="0" borderId="0" xfId="2" applyNumberFormat="1" applyFont="1" applyAlignment="1">
      <alignment horizontal="center" vertical="center"/>
    </xf>
    <xf numFmtId="169" fontId="5" fillId="0" borderId="0" xfId="2" applyNumberFormat="1" applyFont="1" applyAlignment="1">
      <alignment vertical="center"/>
    </xf>
    <xf numFmtId="0" fontId="3" fillId="0" borderId="6" xfId="0" applyFont="1" applyBorder="1" applyAlignment="1">
      <alignment vertical="center" wrapText="1"/>
    </xf>
    <xf numFmtId="0" fontId="4" fillId="0" borderId="7" xfId="0" applyFont="1" applyBorder="1" applyAlignment="1">
      <alignment horizontal="center" vertical="center"/>
    </xf>
    <xf numFmtId="165" fontId="4" fillId="0" borderId="0" xfId="3" applyNumberFormat="1" applyFont="1" applyFill="1" applyBorder="1" applyAlignment="1">
      <alignment horizontal="right" vertical="center"/>
    </xf>
    <xf numFmtId="165" fontId="4" fillId="2" borderId="0" xfId="3" applyNumberFormat="1" applyFont="1" applyFill="1" applyBorder="1" applyAlignment="1">
      <alignment horizontal="right" vertical="center"/>
    </xf>
    <xf numFmtId="44" fontId="4" fillId="0" borderId="5" xfId="1" applyFont="1" applyFill="1" applyBorder="1" applyAlignment="1">
      <alignment horizontal="right" vertical="center"/>
    </xf>
    <xf numFmtId="167" fontId="4" fillId="0" borderId="5" xfId="0" applyNumberFormat="1" applyFont="1" applyBorder="1" applyAlignment="1">
      <alignment horizontal="right" vertical="center"/>
    </xf>
    <xf numFmtId="167" fontId="4" fillId="2" borderId="5" xfId="0" applyNumberFormat="1" applyFont="1" applyFill="1" applyBorder="1" applyAlignment="1">
      <alignment horizontal="right" vertical="center"/>
    </xf>
    <xf numFmtId="0" fontId="3" fillId="0" borderId="5" xfId="0" applyFont="1" applyBorder="1" applyAlignment="1">
      <alignment horizontal="center" vertical="center"/>
    </xf>
    <xf numFmtId="0" fontId="3" fillId="0" borderId="7" xfId="0" applyFont="1" applyBorder="1" applyAlignment="1">
      <alignment horizontal="center" vertical="center"/>
    </xf>
    <xf numFmtId="165" fontId="3" fillId="0" borderId="9" xfId="3" applyNumberFormat="1" applyFont="1" applyFill="1" applyBorder="1" applyAlignment="1">
      <alignment horizontal="right" vertical="center"/>
    </xf>
    <xf numFmtId="165" fontId="3" fillId="2" borderId="9" xfId="3" applyNumberFormat="1" applyFont="1" applyFill="1" applyBorder="1" applyAlignment="1">
      <alignment horizontal="right" vertical="center"/>
    </xf>
    <xf numFmtId="44" fontId="3" fillId="0" borderId="5" xfId="1" applyFont="1" applyFill="1" applyBorder="1" applyAlignment="1">
      <alignment horizontal="right" vertical="center"/>
    </xf>
    <xf numFmtId="167" fontId="3" fillId="0" borderId="5" xfId="0" applyNumberFormat="1" applyFont="1" applyBorder="1" applyAlignment="1">
      <alignment horizontal="right" vertical="center"/>
    </xf>
    <xf numFmtId="167" fontId="3" fillId="2" borderId="5" xfId="0" applyNumberFormat="1" applyFont="1" applyFill="1" applyBorder="1" applyAlignment="1">
      <alignment horizontal="right" vertical="center"/>
    </xf>
    <xf numFmtId="0" fontId="9" fillId="0" borderId="6" xfId="0" applyFont="1" applyBorder="1" applyAlignment="1">
      <alignment vertical="center" wrapText="1"/>
    </xf>
    <xf numFmtId="165" fontId="4" fillId="0" borderId="9" xfId="3" applyNumberFormat="1" applyFont="1" applyFill="1" applyBorder="1" applyAlignment="1">
      <alignment horizontal="right" vertical="center"/>
    </xf>
    <xf numFmtId="165" fontId="4" fillId="2" borderId="9" xfId="3" applyNumberFormat="1" applyFont="1" applyFill="1" applyBorder="1" applyAlignment="1">
      <alignment horizontal="right" vertical="center"/>
    </xf>
    <xf numFmtId="0" fontId="4" fillId="0" borderId="6" xfId="0" applyFont="1" applyBorder="1" applyAlignment="1">
      <alignment vertical="center" wrapText="1"/>
    </xf>
    <xf numFmtId="0" fontId="4" fillId="0" borderId="8" xfId="0" applyFont="1" applyBorder="1" applyAlignment="1">
      <alignment horizontal="center" vertical="center"/>
    </xf>
    <xf numFmtId="0" fontId="10" fillId="0" borderId="6" xfId="0" applyFont="1" applyBorder="1" applyAlignment="1">
      <alignment vertical="center" wrapText="1"/>
    </xf>
    <xf numFmtId="170" fontId="4" fillId="0" borderId="8" xfId="3" applyNumberFormat="1" applyFont="1" applyFill="1" applyBorder="1" applyAlignment="1">
      <alignment horizontal="right" vertical="center"/>
    </xf>
    <xf numFmtId="170" fontId="4" fillId="2" borderId="8" xfId="3" applyNumberFormat="1" applyFont="1" applyFill="1" applyBorder="1" applyAlignment="1">
      <alignment horizontal="right" vertical="center"/>
    </xf>
    <xf numFmtId="170" fontId="4" fillId="0" borderId="0" xfId="0" applyNumberFormat="1" applyFont="1" applyAlignment="1">
      <alignment horizontal="right" vertical="center"/>
    </xf>
    <xf numFmtId="170" fontId="4" fillId="2" borderId="0" xfId="0" applyNumberFormat="1" applyFont="1" applyFill="1" applyAlignment="1">
      <alignment horizontal="right" vertical="center"/>
    </xf>
    <xf numFmtId="0" fontId="4" fillId="0" borderId="10" xfId="5" applyFont="1" applyBorder="1" applyAlignment="1">
      <alignment vertical="center" wrapText="1"/>
    </xf>
    <xf numFmtId="164" fontId="4" fillId="0" borderId="0" xfId="3" applyFont="1" applyFill="1" applyBorder="1" applyAlignment="1">
      <alignment horizontal="right" vertical="center"/>
    </xf>
    <xf numFmtId="164" fontId="4" fillId="2" borderId="0" xfId="3" applyFont="1" applyFill="1" applyBorder="1" applyAlignment="1">
      <alignment horizontal="right" vertical="center"/>
    </xf>
    <xf numFmtId="44" fontId="4" fillId="0" borderId="5" xfId="1" applyFont="1" applyFill="1" applyBorder="1" applyAlignment="1">
      <alignment vertical="center"/>
    </xf>
    <xf numFmtId="0" fontId="4" fillId="0" borderId="0" xfId="6" applyAlignment="1">
      <alignment vertical="center"/>
    </xf>
    <xf numFmtId="0" fontId="3" fillId="0" borderId="9" xfId="0" applyFont="1" applyBorder="1" applyAlignment="1">
      <alignment horizontal="right" vertical="center"/>
    </xf>
    <xf numFmtId="0" fontId="3" fillId="2" borderId="9" xfId="0" applyFont="1" applyFill="1" applyBorder="1" applyAlignment="1">
      <alignment horizontal="right" vertical="center"/>
    </xf>
    <xf numFmtId="165" fontId="3" fillId="0" borderId="9" xfId="0" applyNumberFormat="1" applyFont="1" applyBorder="1" applyAlignment="1">
      <alignment horizontal="right" vertical="center"/>
    </xf>
    <xf numFmtId="165" fontId="3" fillId="2" borderId="9" xfId="0" applyNumberFormat="1" applyFont="1" applyFill="1" applyBorder="1" applyAlignment="1">
      <alignment horizontal="right" vertical="center"/>
    </xf>
    <xf numFmtId="0" fontId="13" fillId="0" borderId="6" xfId="0" applyFont="1" applyBorder="1" applyAlignment="1">
      <alignment horizontal="center" vertical="center"/>
    </xf>
    <xf numFmtId="0" fontId="14" fillId="0" borderId="5" xfId="0" applyFont="1" applyBorder="1" applyAlignment="1">
      <alignment horizontal="center" vertical="center"/>
    </xf>
    <xf numFmtId="0" fontId="14" fillId="0" borderId="7" xfId="0" applyFont="1" applyBorder="1" applyAlignment="1">
      <alignment horizontal="center" vertical="center"/>
    </xf>
    <xf numFmtId="165" fontId="14" fillId="0" borderId="9" xfId="3" applyNumberFormat="1" applyFont="1" applyFill="1" applyBorder="1" applyAlignment="1">
      <alignment horizontal="left" vertical="center"/>
    </xf>
    <xf numFmtId="165" fontId="14" fillId="2" borderId="9" xfId="3" applyNumberFormat="1" applyFont="1" applyFill="1" applyBorder="1" applyAlignment="1">
      <alignment horizontal="left" vertical="center"/>
    </xf>
    <xf numFmtId="44" fontId="14" fillId="0" borderId="5" xfId="1" applyFont="1" applyFill="1" applyBorder="1" applyAlignment="1">
      <alignment vertical="center"/>
    </xf>
    <xf numFmtId="167" fontId="14" fillId="0" borderId="5" xfId="0" applyNumberFormat="1" applyFont="1" applyBorder="1" applyAlignment="1">
      <alignment horizontal="center" vertical="center"/>
    </xf>
    <xf numFmtId="167" fontId="14" fillId="2" borderId="5" xfId="0" applyNumberFormat="1" applyFont="1" applyFill="1" applyBorder="1" applyAlignment="1">
      <alignment horizontal="center" vertical="center"/>
    </xf>
    <xf numFmtId="0" fontId="14" fillId="0" borderId="0" xfId="0" applyFont="1" applyAlignment="1">
      <alignment vertical="center"/>
    </xf>
    <xf numFmtId="165" fontId="4" fillId="0" borderId="9" xfId="3" quotePrefix="1" applyNumberFormat="1" applyFont="1" applyFill="1" applyBorder="1" applyAlignment="1">
      <alignment horizontal="right" vertical="center"/>
    </xf>
    <xf numFmtId="165" fontId="4" fillId="2" borderId="9" xfId="3" quotePrefix="1" applyNumberFormat="1" applyFont="1" applyFill="1" applyBorder="1" applyAlignment="1">
      <alignment horizontal="right" vertical="center"/>
    </xf>
    <xf numFmtId="0" fontId="15" fillId="0" borderId="6" xfId="0" applyFont="1" applyBorder="1" applyAlignment="1">
      <alignment vertical="center"/>
    </xf>
    <xf numFmtId="0" fontId="14" fillId="0" borderId="6" xfId="0" applyFont="1" applyBorder="1" applyAlignment="1">
      <alignment vertical="center" wrapText="1"/>
    </xf>
    <xf numFmtId="0" fontId="4" fillId="0" borderId="5" xfId="0" applyFont="1" applyBorder="1" applyAlignment="1" applyProtection="1">
      <alignment horizontal="center" vertical="center"/>
      <protection locked="0"/>
    </xf>
    <xf numFmtId="0" fontId="9" fillId="0" borderId="6" xfId="0" applyFont="1" applyBorder="1" applyAlignment="1" applyProtection="1">
      <alignment vertical="center" wrapText="1"/>
      <protection locked="0"/>
    </xf>
    <xf numFmtId="0" fontId="4" fillId="0" borderId="7" xfId="0" applyFont="1" applyBorder="1" applyAlignment="1" applyProtection="1">
      <alignment horizontal="center" vertical="center"/>
      <protection locked="0"/>
    </xf>
    <xf numFmtId="165" fontId="4" fillId="0" borderId="0" xfId="7" applyNumberFormat="1" applyFont="1" applyFill="1" applyBorder="1" applyAlignment="1">
      <alignment horizontal="right" vertical="center"/>
    </xf>
    <xf numFmtId="165" fontId="4" fillId="2" borderId="0" xfId="7" applyNumberFormat="1" applyFont="1" applyFill="1" applyBorder="1" applyAlignment="1">
      <alignment horizontal="right" vertical="center"/>
    </xf>
    <xf numFmtId="172" fontId="4" fillId="0" borderId="5" xfId="8" applyNumberFormat="1" applyFont="1" applyFill="1" applyBorder="1" applyAlignment="1" applyProtection="1">
      <alignment horizontal="right" vertical="center"/>
      <protection locked="0"/>
    </xf>
    <xf numFmtId="172" fontId="4" fillId="0" borderId="5" xfId="0" applyNumberFormat="1" applyFont="1" applyBorder="1" applyAlignment="1">
      <alignment horizontal="right" vertical="center"/>
    </xf>
    <xf numFmtId="172" fontId="4" fillId="2" borderId="5" xfId="0" applyNumberFormat="1" applyFont="1" applyFill="1" applyBorder="1" applyAlignment="1">
      <alignment horizontal="right" vertical="center"/>
    </xf>
    <xf numFmtId="0" fontId="15" fillId="0" borderId="0" xfId="0" applyFont="1" applyAlignment="1" applyProtection="1">
      <alignment horizontal="justify" wrapText="1"/>
      <protection locked="0"/>
    </xf>
    <xf numFmtId="0" fontId="4" fillId="0" borderId="10" xfId="5" applyFont="1" applyBorder="1" applyAlignment="1" applyProtection="1">
      <alignment vertical="center" wrapText="1"/>
      <protection locked="0"/>
    </xf>
    <xf numFmtId="0" fontId="3" fillId="0" borderId="5" xfId="0" applyFont="1" applyBorder="1" applyAlignment="1" applyProtection="1">
      <alignment horizontal="center" vertical="center"/>
      <protection locked="0"/>
    </xf>
    <xf numFmtId="0" fontId="3" fillId="0" borderId="6" xfId="0" applyFont="1" applyBorder="1" applyAlignment="1" applyProtection="1">
      <alignment vertical="center" wrapText="1"/>
      <protection locked="0"/>
    </xf>
    <xf numFmtId="0" fontId="3" fillId="0" borderId="7" xfId="0" applyFont="1" applyBorder="1" applyAlignment="1" applyProtection="1">
      <alignment horizontal="center" vertical="center"/>
      <protection locked="0"/>
    </xf>
    <xf numFmtId="165" fontId="3" fillId="0" borderId="0" xfId="7" applyNumberFormat="1" applyFont="1" applyFill="1" applyBorder="1" applyAlignment="1">
      <alignment horizontal="right" vertical="center"/>
    </xf>
    <xf numFmtId="165" fontId="3" fillId="2" borderId="0" xfId="7" applyNumberFormat="1" applyFont="1" applyFill="1" applyBorder="1" applyAlignment="1">
      <alignment horizontal="right" vertical="center"/>
    </xf>
    <xf numFmtId="172" fontId="3" fillId="0" borderId="5" xfId="8" applyNumberFormat="1" applyFont="1" applyFill="1" applyBorder="1" applyAlignment="1" applyProtection="1">
      <alignment horizontal="right" vertical="center"/>
      <protection locked="0"/>
    </xf>
    <xf numFmtId="172" fontId="3" fillId="0" borderId="5" xfId="0" applyNumberFormat="1" applyFont="1" applyBorder="1" applyAlignment="1">
      <alignment horizontal="right" vertical="center"/>
    </xf>
    <xf numFmtId="172" fontId="3" fillId="2" borderId="5" xfId="0" applyNumberFormat="1" applyFont="1" applyFill="1" applyBorder="1" applyAlignment="1">
      <alignment horizontal="right" vertical="center"/>
    </xf>
    <xf numFmtId="0" fontId="3" fillId="0" borderId="0" xfId="0" applyFont="1" applyAlignment="1">
      <alignment vertical="center"/>
    </xf>
    <xf numFmtId="0" fontId="4" fillId="0" borderId="6" xfId="0" applyFont="1" applyBorder="1" applyAlignment="1" applyProtection="1">
      <alignment vertical="center" wrapText="1"/>
      <protection locked="0"/>
    </xf>
    <xf numFmtId="0" fontId="3" fillId="0" borderId="6" xfId="0" applyFont="1" applyBorder="1" applyAlignment="1">
      <alignment horizontal="left" vertical="top" wrapText="1"/>
    </xf>
    <xf numFmtId="0" fontId="4" fillId="0" borderId="7" xfId="0" applyFont="1" applyBorder="1" applyAlignment="1">
      <alignment horizontal="center" vertical="center" wrapText="1"/>
    </xf>
    <xf numFmtId="0" fontId="14" fillId="0" borderId="0" xfId="0" applyFont="1" applyAlignment="1">
      <alignment horizontal="justify" wrapText="1"/>
    </xf>
    <xf numFmtId="0" fontId="4" fillId="0" borderId="7" xfId="0" applyFont="1" applyBorder="1" applyAlignment="1" applyProtection="1">
      <alignment horizontal="center" vertical="center" wrapText="1"/>
      <protection locked="0"/>
    </xf>
    <xf numFmtId="0" fontId="14" fillId="0" borderId="0" xfId="0" applyFont="1" applyAlignment="1" applyProtection="1">
      <alignment horizontal="justify" wrapText="1"/>
      <protection locked="0"/>
    </xf>
    <xf numFmtId="0" fontId="3" fillId="0" borderId="0" xfId="0" applyFont="1" applyAlignment="1" applyProtection="1">
      <alignment horizontal="center" vertical="center"/>
      <protection locked="0"/>
    </xf>
    <xf numFmtId="0" fontId="13" fillId="0" borderId="6" xfId="0" applyFont="1" applyBorder="1" applyAlignment="1" applyProtection="1">
      <alignment vertical="center" wrapText="1"/>
      <protection locked="0"/>
    </xf>
    <xf numFmtId="165" fontId="4" fillId="0" borderId="0" xfId="3" applyNumberFormat="1" applyFont="1" applyBorder="1" applyAlignment="1">
      <alignment horizontal="right" vertical="center"/>
    </xf>
    <xf numFmtId="0" fontId="4" fillId="0" borderId="9" xfId="0" applyFont="1" applyBorder="1" applyAlignment="1">
      <alignment horizontal="right" vertical="center"/>
    </xf>
    <xf numFmtId="0" fontId="4" fillId="2" borderId="9" xfId="0" applyFont="1" applyFill="1" applyBorder="1" applyAlignment="1">
      <alignment horizontal="right" vertical="center"/>
    </xf>
    <xf numFmtId="165" fontId="4" fillId="0" borderId="0" xfId="9" applyNumberFormat="1" applyFont="1" applyBorder="1" applyAlignment="1">
      <alignment horizontal="right" vertical="center"/>
    </xf>
    <xf numFmtId="165" fontId="4" fillId="2" borderId="0" xfId="9" applyNumberFormat="1" applyFont="1" applyFill="1" applyBorder="1" applyAlignment="1">
      <alignment horizontal="right" vertical="center"/>
    </xf>
    <xf numFmtId="44" fontId="4" fillId="0" borderId="5" xfId="10" applyFont="1" applyFill="1" applyBorder="1" applyAlignment="1">
      <alignment horizontal="right" vertical="center"/>
    </xf>
    <xf numFmtId="165" fontId="4" fillId="0" borderId="0" xfId="9" applyNumberFormat="1" applyFont="1" applyFill="1" applyBorder="1" applyAlignment="1">
      <alignment horizontal="right" vertical="center"/>
    </xf>
    <xf numFmtId="0" fontId="4" fillId="0" borderId="0" xfId="6" applyAlignment="1">
      <alignment vertical="center" wrapText="1"/>
    </xf>
    <xf numFmtId="0" fontId="4" fillId="0" borderId="5" xfId="0" applyFont="1" applyBorder="1" applyAlignment="1" applyProtection="1">
      <alignment horizontal="left" vertical="center"/>
      <protection locked="0"/>
    </xf>
    <xf numFmtId="44" fontId="4" fillId="0" borderId="5" xfId="11" applyFont="1" applyFill="1" applyBorder="1" applyAlignment="1" applyProtection="1">
      <alignment horizontal="right" vertical="center"/>
      <protection locked="0"/>
    </xf>
    <xf numFmtId="0" fontId="9" fillId="0" borderId="0" xfId="0" applyFont="1" applyAlignment="1" applyProtection="1">
      <alignment vertical="center" wrapText="1"/>
      <protection locked="0"/>
    </xf>
    <xf numFmtId="172" fontId="14" fillId="0" borderId="5" xfId="11" applyNumberFormat="1" applyFont="1" applyFill="1" applyBorder="1" applyAlignment="1" applyProtection="1">
      <alignment horizontal="right" vertical="center"/>
      <protection locked="0"/>
    </xf>
    <xf numFmtId="0" fontId="4" fillId="0" borderId="0" xfId="0" applyFont="1" applyAlignment="1">
      <alignment horizontal="right" vertical="center"/>
    </xf>
    <xf numFmtId="0" fontId="4" fillId="2" borderId="0" xfId="0" applyFont="1" applyFill="1" applyAlignment="1">
      <alignment horizontal="right" vertical="center"/>
    </xf>
    <xf numFmtId="171" fontId="4" fillId="0" borderId="0" xfId="0" applyNumberFormat="1" applyFont="1" applyAlignment="1">
      <alignment vertical="center"/>
    </xf>
    <xf numFmtId="44" fontId="4" fillId="0" borderId="0" xfId="11" applyFont="1" applyFill="1" applyBorder="1" applyAlignment="1">
      <alignment horizontal="right" vertical="center"/>
    </xf>
    <xf numFmtId="0" fontId="14" fillId="0" borderId="0" xfId="0" applyFont="1" applyAlignment="1" applyProtection="1">
      <alignment horizontal="justify" vertical="center" wrapText="1"/>
      <protection locked="0"/>
    </xf>
    <xf numFmtId="44" fontId="3" fillId="0" borderId="5" xfId="1" applyFont="1" applyFill="1" applyBorder="1" applyAlignment="1">
      <alignment vertical="center"/>
    </xf>
    <xf numFmtId="0" fontId="4" fillId="0" borderId="5" xfId="0" applyFont="1" applyBorder="1" applyAlignment="1">
      <alignment horizontal="left" vertical="center"/>
    </xf>
    <xf numFmtId="165" fontId="4" fillId="0" borderId="9" xfId="0" applyNumberFormat="1" applyFont="1" applyBorder="1" applyAlignment="1">
      <alignment horizontal="right" vertical="center"/>
    </xf>
    <xf numFmtId="165" fontId="4" fillId="2" borderId="9" xfId="0" applyNumberFormat="1" applyFont="1" applyFill="1" applyBorder="1" applyAlignment="1">
      <alignment horizontal="right" vertical="center"/>
    </xf>
    <xf numFmtId="0" fontId="4" fillId="0" borderId="0" xfId="0" applyFont="1" applyAlignment="1">
      <alignment vertical="top"/>
    </xf>
    <xf numFmtId="44" fontId="3" fillId="0" borderId="0" xfId="0" applyNumberFormat="1" applyFont="1" applyAlignment="1">
      <alignment vertical="top"/>
    </xf>
    <xf numFmtId="0" fontId="4" fillId="0" borderId="6" xfId="0" applyFont="1" applyBorder="1" applyAlignment="1">
      <alignment vertical="center"/>
    </xf>
    <xf numFmtId="44" fontId="4" fillId="0" borderId="5" xfId="1" applyFont="1" applyFill="1" applyBorder="1" applyAlignment="1" applyProtection="1">
      <alignment horizontal="right" vertical="center"/>
      <protection locked="0"/>
    </xf>
    <xf numFmtId="0" fontId="15" fillId="0" borderId="5" xfId="0" applyFont="1" applyBorder="1" applyAlignment="1">
      <alignment vertical="top" wrapText="1"/>
    </xf>
    <xf numFmtId="0" fontId="14" fillId="0" borderId="5" xfId="0" applyFont="1" applyBorder="1" applyAlignment="1">
      <alignment vertical="top" wrapText="1"/>
    </xf>
    <xf numFmtId="0" fontId="4" fillId="0" borderId="6" xfId="0" applyFont="1" applyBorder="1" applyAlignment="1">
      <alignment horizontal="left" vertical="center" wrapText="1"/>
    </xf>
    <xf numFmtId="0" fontId="4" fillId="0" borderId="11" xfId="0" applyFont="1" applyBorder="1" applyAlignment="1">
      <alignment horizontal="center" vertical="center"/>
    </xf>
    <xf numFmtId="0" fontId="4" fillId="0" borderId="11" xfId="0" applyFont="1" applyBorder="1" applyAlignment="1">
      <alignment horizontal="left" vertical="center"/>
    </xf>
    <xf numFmtId="0" fontId="4" fillId="0" borderId="12" xfId="0" applyFont="1" applyBorder="1" applyAlignment="1">
      <alignment vertical="center" wrapText="1"/>
    </xf>
    <xf numFmtId="0" fontId="4" fillId="0" borderId="13" xfId="0" applyFont="1" applyBorder="1" applyAlignment="1">
      <alignment horizontal="center" vertical="center"/>
    </xf>
    <xf numFmtId="165" fontId="4" fillId="0" borderId="14" xfId="9" applyNumberFormat="1" applyFont="1" applyFill="1" applyBorder="1" applyAlignment="1">
      <alignment horizontal="right" vertical="center"/>
    </xf>
    <xf numFmtId="165" fontId="4" fillId="2" borderId="14" xfId="9" applyNumberFormat="1" applyFont="1" applyFill="1" applyBorder="1" applyAlignment="1">
      <alignment horizontal="right" vertical="center"/>
    </xf>
    <xf numFmtId="44" fontId="4" fillId="0" borderId="11" xfId="10" applyFont="1" applyFill="1" applyBorder="1" applyAlignment="1">
      <alignment horizontal="right" vertical="center"/>
    </xf>
    <xf numFmtId="167" fontId="4" fillId="0" borderId="11" xfId="0" applyNumberFormat="1" applyFont="1" applyBorder="1" applyAlignment="1">
      <alignment horizontal="right" vertical="center"/>
    </xf>
    <xf numFmtId="167" fontId="4" fillId="2" borderId="11" xfId="0" applyNumberFormat="1" applyFont="1" applyFill="1" applyBorder="1" applyAlignment="1">
      <alignment horizontal="right" vertical="center"/>
    </xf>
    <xf numFmtId="0" fontId="3" fillId="0" borderId="10" xfId="0" applyFont="1" applyBorder="1" applyAlignment="1">
      <alignment vertical="center" wrapText="1"/>
    </xf>
    <xf numFmtId="0" fontId="9" fillId="0" borderId="10" xfId="0" applyFont="1" applyBorder="1" applyAlignment="1">
      <alignment vertical="center" wrapText="1"/>
    </xf>
    <xf numFmtId="0" fontId="4" fillId="0" borderId="10" xfId="0" applyFont="1" applyBorder="1" applyAlignment="1">
      <alignment vertical="center" wrapText="1"/>
    </xf>
    <xf numFmtId="0" fontId="3" fillId="0" borderId="0" xfId="0" applyFont="1" applyAlignment="1">
      <alignment horizontal="left" vertical="center" wrapText="1"/>
    </xf>
    <xf numFmtId="0" fontId="9" fillId="0" borderId="0" xfId="0" applyFont="1" applyAlignment="1">
      <alignment horizontal="left" vertical="center" wrapText="1"/>
    </xf>
    <xf numFmtId="0" fontId="4" fillId="3" borderId="5" xfId="0" applyFont="1" applyFill="1" applyBorder="1" applyAlignment="1">
      <alignment horizontal="center" vertical="center"/>
    </xf>
    <xf numFmtId="0" fontId="4" fillId="0" borderId="0" xfId="0" applyFont="1" applyAlignment="1">
      <alignment horizontal="left" vertical="center" wrapText="1"/>
    </xf>
    <xf numFmtId="165" fontId="4" fillId="0" borderId="5" xfId="3" applyNumberFormat="1" applyFont="1" applyFill="1" applyBorder="1" applyAlignment="1">
      <alignment horizontal="right" vertical="center"/>
    </xf>
    <xf numFmtId="0" fontId="4" fillId="0" borderId="15" xfId="0" applyFont="1" applyBorder="1" applyAlignment="1">
      <alignment wrapText="1"/>
    </xf>
    <xf numFmtId="0" fontId="10" fillId="0" borderId="0" xfId="0" applyFont="1" applyAlignment="1">
      <alignment horizontal="left" vertical="center" wrapText="1"/>
    </xf>
    <xf numFmtId="0" fontId="4" fillId="0" borderId="6" xfId="0" applyFont="1" applyBorder="1" applyAlignment="1">
      <alignment horizontal="center" vertical="center"/>
    </xf>
    <xf numFmtId="0" fontId="4" fillId="0" borderId="16"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18" xfId="0" applyFont="1" applyBorder="1" applyAlignment="1">
      <alignment horizontal="center" vertical="center" wrapText="1"/>
    </xf>
    <xf numFmtId="0" fontId="4" fillId="0" borderId="19" xfId="0" applyFont="1" applyBorder="1" applyAlignment="1">
      <alignment horizontal="right" vertical="center" wrapText="1"/>
    </xf>
    <xf numFmtId="0" fontId="4" fillId="2" borderId="19" xfId="0" applyFont="1" applyFill="1" applyBorder="1" applyAlignment="1">
      <alignment horizontal="right" vertical="center" wrapText="1"/>
    </xf>
    <xf numFmtId="44" fontId="4" fillId="0" borderId="17" xfId="0" applyNumberFormat="1" applyFont="1" applyBorder="1" applyAlignment="1">
      <alignment horizontal="right" vertical="center" wrapText="1"/>
    </xf>
    <xf numFmtId="173" fontId="4" fillId="0" borderId="20" xfId="0" applyNumberFormat="1" applyFont="1" applyBorder="1" applyAlignment="1">
      <alignment horizontal="center" vertical="center" wrapText="1"/>
    </xf>
    <xf numFmtId="173" fontId="4" fillId="2" borderId="20" xfId="0" applyNumberFormat="1" applyFont="1" applyFill="1" applyBorder="1" applyAlignment="1">
      <alignment horizontal="center" vertical="center" wrapText="1"/>
    </xf>
    <xf numFmtId="0" fontId="16" fillId="0" borderId="0" xfId="0" applyFont="1" applyAlignment="1">
      <alignment vertical="center" wrapText="1"/>
    </xf>
    <xf numFmtId="0" fontId="3" fillId="0" borderId="16" xfId="0" applyFont="1" applyBorder="1" applyAlignment="1">
      <alignment horizontal="center" vertical="center" wrapText="1"/>
    </xf>
    <xf numFmtId="0" fontId="3" fillId="0" borderId="17" xfId="0" applyFont="1" applyBorder="1" applyAlignment="1">
      <alignment horizontal="center" vertical="center" wrapText="1"/>
    </xf>
    <xf numFmtId="0" fontId="3" fillId="0" borderId="18" xfId="0" applyFont="1" applyBorder="1" applyAlignment="1">
      <alignment horizontal="center" vertical="center" wrapText="1"/>
    </xf>
    <xf numFmtId="0" fontId="3" fillId="0" borderId="19" xfId="0" applyFont="1" applyBorder="1" applyAlignment="1">
      <alignment horizontal="right" vertical="center" wrapText="1"/>
    </xf>
    <xf numFmtId="0" fontId="3" fillId="2" borderId="19" xfId="0" applyFont="1" applyFill="1" applyBorder="1" applyAlignment="1">
      <alignment horizontal="right" vertical="center" wrapText="1"/>
    </xf>
    <xf numFmtId="44" fontId="3" fillId="0" borderId="17" xfId="0" applyNumberFormat="1" applyFont="1" applyBorder="1" applyAlignment="1">
      <alignment horizontal="right" vertical="center" wrapText="1"/>
    </xf>
    <xf numFmtId="173" fontId="3" fillId="0" borderId="20" xfId="0" applyNumberFormat="1" applyFont="1" applyBorder="1" applyAlignment="1">
      <alignment horizontal="center" vertical="center" wrapText="1"/>
    </xf>
    <xf numFmtId="173" fontId="3" fillId="2" borderId="20" xfId="0" applyNumberFormat="1" applyFont="1" applyFill="1" applyBorder="1" applyAlignment="1">
      <alignment horizontal="center" vertical="center" wrapText="1"/>
    </xf>
    <xf numFmtId="0" fontId="4" fillId="0" borderId="5" xfId="0" applyFont="1" applyBorder="1" applyAlignment="1">
      <alignment horizontal="center" vertical="center" wrapText="1"/>
    </xf>
    <xf numFmtId="0" fontId="4" fillId="0" borderId="9" xfId="0" applyFont="1" applyBorder="1" applyAlignment="1">
      <alignment horizontal="right" vertical="center" wrapText="1"/>
    </xf>
    <xf numFmtId="0" fontId="4" fillId="2" borderId="9" xfId="0" applyFont="1" applyFill="1" applyBorder="1" applyAlignment="1">
      <alignment horizontal="right" vertical="center" wrapText="1"/>
    </xf>
    <xf numFmtId="44" fontId="4" fillId="0" borderId="5" xfId="1" applyFont="1" applyFill="1" applyBorder="1" applyAlignment="1">
      <alignment horizontal="right" vertical="center" wrapText="1"/>
    </xf>
    <xf numFmtId="167" fontId="4" fillId="0" borderId="5" xfId="0" applyNumberFormat="1" applyFont="1" applyBorder="1" applyAlignment="1">
      <alignment horizontal="center" vertical="center" wrapText="1"/>
    </xf>
    <xf numFmtId="167" fontId="4" fillId="2" borderId="5" xfId="0" applyNumberFormat="1" applyFont="1" applyFill="1" applyBorder="1" applyAlignment="1">
      <alignment horizontal="center" vertical="center" wrapText="1"/>
    </xf>
    <xf numFmtId="0" fontId="4" fillId="0" borderId="0" xfId="0" applyFont="1" applyAlignment="1">
      <alignment vertical="center" wrapText="1"/>
    </xf>
    <xf numFmtId="0" fontId="4" fillId="0" borderId="6" xfId="0" applyFont="1" applyBorder="1" applyAlignment="1">
      <alignment horizontal="right" vertical="center" wrapText="1"/>
    </xf>
    <xf numFmtId="10" fontId="4" fillId="0" borderId="9" xfId="0" applyNumberFormat="1" applyFont="1" applyBorder="1" applyAlignment="1">
      <alignment horizontal="right" vertical="center" wrapText="1"/>
    </xf>
    <xf numFmtId="10" fontId="4" fillId="2" borderId="9" xfId="0" applyNumberFormat="1" applyFont="1" applyFill="1" applyBorder="1" applyAlignment="1">
      <alignment horizontal="right" vertical="center" wrapText="1"/>
    </xf>
    <xf numFmtId="0" fontId="10" fillId="0" borderId="6" xfId="0" applyFont="1" applyBorder="1" applyAlignment="1" applyProtection="1">
      <alignment vertical="center" wrapText="1"/>
      <protection locked="0"/>
    </xf>
    <xf numFmtId="44" fontId="4" fillId="0" borderId="5" xfId="1" applyFont="1" applyBorder="1" applyAlignment="1">
      <alignment horizontal="right" vertical="center"/>
    </xf>
    <xf numFmtId="0" fontId="9" fillId="0" borderId="6" xfId="0" applyFont="1" applyBorder="1" applyAlignment="1">
      <alignment vertical="center"/>
    </xf>
    <xf numFmtId="170" fontId="4" fillId="0" borderId="8" xfId="3" applyNumberFormat="1" applyFont="1" applyBorder="1" applyAlignment="1">
      <alignment horizontal="right" vertical="center"/>
    </xf>
    <xf numFmtId="167" fontId="4" fillId="0" borderId="5" xfId="0" applyNumberFormat="1" applyFont="1" applyBorder="1" applyAlignment="1">
      <alignment vertical="center"/>
    </xf>
    <xf numFmtId="167" fontId="4" fillId="2" borderId="5" xfId="0" applyNumberFormat="1" applyFont="1" applyFill="1" applyBorder="1" applyAlignment="1">
      <alignment vertical="center"/>
    </xf>
    <xf numFmtId="165" fontId="4" fillId="0" borderId="9" xfId="3" applyNumberFormat="1" applyFont="1" applyBorder="1" applyAlignment="1">
      <alignment horizontal="right" vertical="center"/>
    </xf>
    <xf numFmtId="0" fontId="4" fillId="0" borderId="6" xfId="5" applyFont="1" applyBorder="1" applyAlignment="1">
      <alignment vertical="center" wrapText="1"/>
    </xf>
    <xf numFmtId="0" fontId="4" fillId="0" borderId="8" xfId="5" applyFont="1" applyBorder="1" applyAlignment="1">
      <alignment horizontal="center" vertical="center"/>
    </xf>
    <xf numFmtId="0" fontId="4" fillId="0" borderId="7" xfId="5" applyFont="1" applyBorder="1" applyAlignment="1">
      <alignment horizontal="center" vertical="center"/>
    </xf>
    <xf numFmtId="165" fontId="4" fillId="0" borderId="9" xfId="12" applyNumberFormat="1" applyFont="1" applyBorder="1" applyAlignment="1">
      <alignment horizontal="right" vertical="center"/>
    </xf>
    <xf numFmtId="165" fontId="4" fillId="2" borderId="9" xfId="12" applyNumberFormat="1" applyFont="1" applyFill="1" applyBorder="1" applyAlignment="1">
      <alignment horizontal="right" vertical="center"/>
    </xf>
    <xf numFmtId="173" fontId="4" fillId="0" borderId="20" xfId="5" applyNumberFormat="1" applyFont="1" applyBorder="1" applyAlignment="1">
      <alignment horizontal="right" vertical="center"/>
    </xf>
    <xf numFmtId="173" fontId="4" fillId="2" borderId="20" xfId="5" applyNumberFormat="1" applyFont="1" applyFill="1" applyBorder="1" applyAlignment="1">
      <alignment horizontal="right" vertical="center"/>
    </xf>
    <xf numFmtId="0" fontId="4" fillId="0" borderId="0" xfId="5" applyFont="1" applyAlignment="1">
      <alignment vertical="center"/>
    </xf>
    <xf numFmtId="165" fontId="4" fillId="0" borderId="14" xfId="3" applyNumberFormat="1" applyFont="1" applyFill="1" applyBorder="1" applyAlignment="1">
      <alignment horizontal="right" vertical="center"/>
    </xf>
    <xf numFmtId="165" fontId="4" fillId="2" borderId="14" xfId="3" applyNumberFormat="1" applyFont="1" applyFill="1" applyBorder="1" applyAlignment="1">
      <alignment horizontal="right" vertical="center"/>
    </xf>
    <xf numFmtId="44" fontId="4" fillId="0" borderId="11" xfId="1" applyFont="1" applyFill="1" applyBorder="1" applyAlignment="1">
      <alignment horizontal="right" vertical="center"/>
    </xf>
    <xf numFmtId="170" fontId="4" fillId="0" borderId="8" xfId="9" applyNumberFormat="1" applyFont="1" applyFill="1" applyBorder="1" applyAlignment="1">
      <alignment horizontal="right" vertical="center"/>
    </xf>
    <xf numFmtId="170" fontId="4" fillId="2" borderId="8" xfId="9" applyNumberFormat="1" applyFont="1" applyFill="1" applyBorder="1" applyAlignment="1">
      <alignment horizontal="right" vertical="center"/>
    </xf>
    <xf numFmtId="44" fontId="4" fillId="0" borderId="5" xfId="13" applyFont="1" applyFill="1" applyBorder="1" applyAlignment="1">
      <alignment horizontal="right" vertical="center"/>
    </xf>
    <xf numFmtId="165" fontId="4" fillId="0" borderId="0" xfId="14" applyNumberFormat="1" applyFont="1" applyBorder="1" applyAlignment="1">
      <alignment horizontal="right" vertical="center"/>
    </xf>
    <xf numFmtId="165" fontId="4" fillId="2" borderId="0" xfId="14" applyNumberFormat="1" applyFont="1" applyFill="1" applyBorder="1" applyAlignment="1">
      <alignment horizontal="right" vertical="center"/>
    </xf>
    <xf numFmtId="44" fontId="4" fillId="0" borderId="5" xfId="13" applyFont="1" applyBorder="1" applyAlignment="1">
      <alignment horizontal="right" vertical="center"/>
    </xf>
    <xf numFmtId="165" fontId="4" fillId="0" borderId="9" xfId="9" applyNumberFormat="1" applyFont="1" applyFill="1" applyBorder="1" applyAlignment="1">
      <alignment horizontal="right" vertical="center"/>
    </xf>
    <xf numFmtId="165" fontId="4" fillId="2" borderId="9" xfId="9" applyNumberFormat="1" applyFont="1" applyFill="1" applyBorder="1" applyAlignment="1">
      <alignment horizontal="right" vertical="center"/>
    </xf>
    <xf numFmtId="0" fontId="3" fillId="0" borderId="6" xfId="0" applyFont="1" applyBorder="1" applyAlignment="1">
      <alignment horizontal="center" vertical="center"/>
    </xf>
    <xf numFmtId="0" fontId="9" fillId="0" borderId="21" xfId="0" applyFont="1" applyBorder="1" applyAlignment="1">
      <alignment wrapText="1"/>
    </xf>
    <xf numFmtId="0" fontId="3" fillId="0" borderId="21" xfId="0" applyFont="1" applyBorder="1" applyAlignment="1">
      <alignment wrapText="1"/>
    </xf>
    <xf numFmtId="0" fontId="4" fillId="0" borderId="21" xfId="0" applyFont="1" applyBorder="1" applyAlignment="1">
      <alignment wrapText="1"/>
    </xf>
    <xf numFmtId="0" fontId="9" fillId="0" borderId="0" xfId="0" applyFont="1" applyAlignment="1">
      <alignment horizontal="left" vertical="center"/>
    </xf>
    <xf numFmtId="0" fontId="4" fillId="0" borderId="0" xfId="0" applyFont="1" applyAlignment="1">
      <alignment horizontal="left" vertical="center"/>
    </xf>
    <xf numFmtId="0" fontId="3" fillId="0" borderId="21" xfId="0" applyFont="1" applyBorder="1" applyAlignment="1">
      <alignment horizontal="left" wrapText="1"/>
    </xf>
    <xf numFmtId="0" fontId="4" fillId="0" borderId="15" xfId="0" applyFont="1" applyBorder="1"/>
    <xf numFmtId="0" fontId="9" fillId="0" borderId="15" xfId="0" applyFont="1" applyBorder="1"/>
    <xf numFmtId="0" fontId="4" fillId="0" borderId="2" xfId="0" applyFont="1" applyBorder="1" applyAlignment="1">
      <alignment horizontal="center" vertical="center"/>
    </xf>
    <xf numFmtId="0" fontId="3" fillId="0" borderId="1" xfId="0" applyFont="1" applyBorder="1" applyAlignment="1">
      <alignment horizontal="center" vertical="center"/>
    </xf>
    <xf numFmtId="0" fontId="4" fillId="0" borderId="3" xfId="0" applyFont="1" applyBorder="1" applyAlignment="1">
      <alignment horizontal="center" vertical="center"/>
    </xf>
    <xf numFmtId="165" fontId="4" fillId="0" borderId="22" xfId="3" applyNumberFormat="1" applyFont="1" applyFill="1" applyBorder="1" applyAlignment="1">
      <alignment horizontal="right" vertical="center"/>
    </xf>
    <xf numFmtId="165" fontId="4" fillId="2" borderId="22" xfId="3" applyNumberFormat="1" applyFont="1" applyFill="1" applyBorder="1" applyAlignment="1">
      <alignment horizontal="right" vertical="center"/>
    </xf>
    <xf numFmtId="44" fontId="4" fillId="0" borderId="1" xfId="1" applyFont="1" applyFill="1" applyBorder="1" applyAlignment="1">
      <alignment horizontal="right" vertical="center"/>
    </xf>
    <xf numFmtId="167" fontId="3" fillId="0" borderId="1" xfId="0" applyNumberFormat="1" applyFont="1" applyBorder="1" applyAlignment="1">
      <alignment horizontal="right" vertical="center"/>
    </xf>
    <xf numFmtId="167" fontId="3" fillId="2" borderId="1" xfId="0" applyNumberFormat="1" applyFont="1" applyFill="1" applyBorder="1" applyAlignment="1">
      <alignment horizontal="right" vertical="center"/>
    </xf>
    <xf numFmtId="0" fontId="4" fillId="0" borderId="0" xfId="0" applyFont="1" applyAlignment="1">
      <alignment wrapText="1"/>
    </xf>
    <xf numFmtId="0" fontId="9" fillId="0" borderId="0" xfId="0" applyFont="1" applyAlignment="1">
      <alignment wrapText="1"/>
    </xf>
    <xf numFmtId="0" fontId="4" fillId="0" borderId="21" xfId="0" applyFont="1" applyBorder="1"/>
    <xf numFmtId="0" fontId="10" fillId="0" borderId="15" xfId="0" applyFont="1" applyBorder="1"/>
    <xf numFmtId="0" fontId="4" fillId="0" borderId="12" xfId="0" applyFont="1" applyBorder="1" applyAlignment="1">
      <alignment horizontal="center" vertical="center"/>
    </xf>
    <xf numFmtId="0" fontId="3" fillId="0" borderId="11" xfId="0" applyFont="1" applyBorder="1" applyAlignment="1">
      <alignment horizontal="center" vertical="center"/>
    </xf>
    <xf numFmtId="0" fontId="4" fillId="0" borderId="14" xfId="0" applyFont="1" applyBorder="1" applyAlignment="1">
      <alignment wrapText="1"/>
    </xf>
    <xf numFmtId="167" fontId="4" fillId="0" borderId="0" xfId="0" applyNumberFormat="1" applyFont="1" applyAlignment="1">
      <alignment horizontal="right" vertical="center"/>
    </xf>
    <xf numFmtId="167" fontId="4" fillId="2" borderId="0" xfId="0" applyNumberFormat="1" applyFont="1" applyFill="1" applyAlignment="1">
      <alignment horizontal="right" vertical="center"/>
    </xf>
    <xf numFmtId="0" fontId="9" fillId="0" borderId="0" xfId="0" applyFont="1"/>
    <xf numFmtId="0" fontId="4" fillId="0" borderId="0" xfId="0" applyFont="1"/>
    <xf numFmtId="0" fontId="9" fillId="0" borderId="23" xfId="0" applyFont="1" applyBorder="1" applyAlignment="1">
      <alignment wrapText="1"/>
    </xf>
    <xf numFmtId="0" fontId="10" fillId="0" borderId="0" xfId="0" applyFont="1" applyAlignment="1">
      <alignment wrapText="1"/>
    </xf>
    <xf numFmtId="0" fontId="10" fillId="0" borderId="21" xfId="0" applyFont="1" applyBorder="1" applyAlignment="1">
      <alignment wrapText="1"/>
    </xf>
    <xf numFmtId="0" fontId="17" fillId="0" borderId="0" xfId="0" applyFont="1" applyAlignment="1">
      <alignment wrapText="1"/>
    </xf>
    <xf numFmtId="0" fontId="9" fillId="0" borderId="0" xfId="0" applyFont="1" applyAlignment="1">
      <alignment vertical="center" wrapText="1"/>
    </xf>
    <xf numFmtId="0" fontId="4" fillId="0" borderId="10" xfId="0" applyFont="1" applyBorder="1" applyAlignment="1">
      <alignment horizontal="right" vertical="center"/>
    </xf>
    <xf numFmtId="0" fontId="4" fillId="2" borderId="10" xfId="0" applyFont="1" applyFill="1" applyBorder="1" applyAlignment="1">
      <alignment horizontal="right" vertical="center"/>
    </xf>
    <xf numFmtId="168" fontId="4" fillId="0" borderId="17" xfId="0" applyNumberFormat="1" applyFont="1" applyBorder="1" applyAlignment="1">
      <alignment vertical="center"/>
    </xf>
    <xf numFmtId="0" fontId="3" fillId="0" borderId="0" xfId="0" applyFont="1" applyAlignment="1">
      <alignment vertical="center" wrapText="1"/>
    </xf>
    <xf numFmtId="0" fontId="4" fillId="0" borderId="21" xfId="0" applyFont="1" applyBorder="1" applyAlignment="1">
      <alignment horizontal="right" wrapText="1"/>
    </xf>
    <xf numFmtId="0" fontId="4" fillId="2" borderId="21" xfId="0" applyFont="1" applyFill="1" applyBorder="1" applyAlignment="1">
      <alignment horizontal="right" wrapText="1"/>
    </xf>
    <xf numFmtId="4" fontId="4" fillId="0" borderId="21" xfId="0" applyNumberFormat="1" applyFont="1" applyBorder="1" applyAlignment="1">
      <alignment wrapText="1"/>
    </xf>
    <xf numFmtId="0" fontId="4" fillId="0" borderId="24" xfId="0" applyFont="1" applyBorder="1" applyAlignment="1">
      <alignment wrapText="1"/>
    </xf>
    <xf numFmtId="0" fontId="4" fillId="0" borderId="24" xfId="0" applyFont="1" applyBorder="1" applyAlignment="1">
      <alignment horizontal="center" vertical="center"/>
    </xf>
    <xf numFmtId="167" fontId="4" fillId="0" borderId="25" xfId="0" applyNumberFormat="1" applyFont="1" applyBorder="1" applyAlignment="1">
      <alignment vertical="center"/>
    </xf>
    <xf numFmtId="10" fontId="4" fillId="0" borderId="0" xfId="0" applyNumberFormat="1" applyFont="1" applyAlignment="1">
      <alignment horizontal="right" vertical="center" wrapText="1"/>
    </xf>
    <xf numFmtId="10" fontId="4" fillId="2" borderId="0" xfId="0" applyNumberFormat="1" applyFont="1" applyFill="1" applyAlignment="1">
      <alignment horizontal="right" vertical="center" wrapText="1"/>
    </xf>
    <xf numFmtId="0" fontId="13" fillId="0" borderId="6" xfId="0" applyFont="1" applyBorder="1" applyAlignment="1">
      <alignment vertical="center"/>
    </xf>
    <xf numFmtId="0" fontId="13" fillId="0" borderId="5" xfId="0" applyFont="1" applyBorder="1" applyAlignment="1">
      <alignment horizontal="center" vertical="center"/>
    </xf>
    <xf numFmtId="0" fontId="14" fillId="0" borderId="6" xfId="0" applyFont="1" applyBorder="1" applyAlignment="1">
      <alignment vertical="center"/>
    </xf>
    <xf numFmtId="165" fontId="14" fillId="0" borderId="8" xfId="3" applyNumberFormat="1" applyFont="1" applyFill="1" applyBorder="1" applyAlignment="1">
      <alignment horizontal="left" vertical="center"/>
    </xf>
    <xf numFmtId="165" fontId="14" fillId="2" borderId="8" xfId="3" applyNumberFormat="1" applyFont="1" applyFill="1" applyBorder="1" applyAlignment="1">
      <alignment horizontal="left" vertical="center"/>
    </xf>
    <xf numFmtId="167" fontId="14" fillId="0" borderId="5" xfId="3" applyNumberFormat="1" applyFont="1" applyBorder="1" applyAlignment="1">
      <alignment vertical="center"/>
    </xf>
    <xf numFmtId="0" fontId="19" fillId="0" borderId="6" xfId="0" applyFont="1" applyBorder="1" applyAlignment="1">
      <alignment vertical="center" wrapText="1"/>
    </xf>
    <xf numFmtId="165" fontId="14" fillId="0" borderId="9" xfId="3" applyNumberFormat="1" applyFont="1" applyFill="1" applyBorder="1" applyAlignment="1">
      <alignment horizontal="left" vertical="top"/>
    </xf>
    <xf numFmtId="165" fontId="14" fillId="2" borderId="9" xfId="3" applyNumberFormat="1" applyFont="1" applyFill="1" applyBorder="1" applyAlignment="1">
      <alignment horizontal="left" vertical="top"/>
    </xf>
    <xf numFmtId="165" fontId="14" fillId="0" borderId="9" xfId="3" applyNumberFormat="1" applyFont="1" applyFill="1" applyBorder="1" applyAlignment="1">
      <alignment horizontal="center" vertical="center"/>
    </xf>
    <xf numFmtId="0" fontId="19" fillId="0" borderId="6" xfId="0" applyFont="1" applyBorder="1" applyAlignment="1">
      <alignment vertical="center"/>
    </xf>
    <xf numFmtId="174" fontId="4" fillId="0" borderId="8" xfId="3" applyNumberFormat="1" applyFont="1" applyFill="1" applyBorder="1" applyAlignment="1">
      <alignment horizontal="right" vertical="center"/>
    </xf>
    <xf numFmtId="174" fontId="4" fillId="2" borderId="8" xfId="3" applyNumberFormat="1" applyFont="1" applyFill="1" applyBorder="1" applyAlignment="1">
      <alignment horizontal="right" vertical="center"/>
    </xf>
    <xf numFmtId="175" fontId="4" fillId="0" borderId="0" xfId="3" applyNumberFormat="1" applyFont="1" applyFill="1" applyBorder="1" applyAlignment="1">
      <alignment horizontal="right" vertical="center"/>
    </xf>
    <xf numFmtId="175" fontId="4" fillId="2" borderId="0" xfId="3" applyNumberFormat="1" applyFont="1" applyFill="1" applyBorder="1" applyAlignment="1">
      <alignment horizontal="right" vertical="center"/>
    </xf>
    <xf numFmtId="0" fontId="4" fillId="0" borderId="6" xfId="0" applyFont="1" applyBorder="1" applyAlignment="1">
      <alignment horizontal="left" vertical="top" wrapText="1"/>
    </xf>
    <xf numFmtId="165" fontId="3" fillId="0" borderId="0" xfId="3" applyNumberFormat="1" applyFont="1" applyFill="1" applyBorder="1" applyAlignment="1">
      <alignment horizontal="right" vertical="center"/>
    </xf>
    <xf numFmtId="165" fontId="3" fillId="2" borderId="0" xfId="3" applyNumberFormat="1" applyFont="1" applyFill="1" applyBorder="1" applyAlignment="1">
      <alignment horizontal="right" vertical="center"/>
    </xf>
    <xf numFmtId="0" fontId="4" fillId="0" borderId="14" xfId="0" applyFont="1" applyBorder="1" applyAlignment="1">
      <alignment horizontal="left" vertical="center"/>
    </xf>
    <xf numFmtId="167" fontId="4" fillId="0" borderId="26" xfId="0" applyNumberFormat="1" applyFont="1" applyBorder="1" applyAlignment="1">
      <alignment horizontal="right" vertical="center"/>
    </xf>
    <xf numFmtId="167" fontId="4" fillId="2" borderId="26" xfId="0" applyNumberFormat="1" applyFont="1" applyFill="1" applyBorder="1" applyAlignment="1">
      <alignment horizontal="right" vertical="center"/>
    </xf>
    <xf numFmtId="0" fontId="4" fillId="0" borderId="26" xfId="0" applyFont="1" applyBorder="1" applyAlignment="1">
      <alignment horizontal="center" vertical="center"/>
    </xf>
    <xf numFmtId="0" fontId="4" fillId="2" borderId="26" xfId="0" applyFont="1" applyFill="1" applyBorder="1" applyAlignment="1">
      <alignment horizontal="center" vertical="center"/>
    </xf>
    <xf numFmtId="0" fontId="4" fillId="0" borderId="27" xfId="0" applyFont="1" applyBorder="1" applyAlignment="1">
      <alignment horizontal="center" vertical="center"/>
    </xf>
    <xf numFmtId="0" fontId="3" fillId="0" borderId="26" xfId="0" applyFont="1" applyBorder="1" applyAlignment="1">
      <alignment horizontal="center" vertical="center"/>
    </xf>
    <xf numFmtId="44" fontId="4" fillId="0" borderId="26" xfId="1" applyFont="1" applyFill="1" applyBorder="1" applyAlignment="1">
      <alignment vertical="center"/>
    </xf>
    <xf numFmtId="0" fontId="13" fillId="0" borderId="27" xfId="0" applyFont="1" applyBorder="1" applyAlignment="1">
      <alignment vertical="center"/>
    </xf>
    <xf numFmtId="44" fontId="4" fillId="0" borderId="26" xfId="1" applyFont="1" applyFill="1" applyBorder="1" applyAlignment="1">
      <alignment horizontal="right" vertical="center"/>
    </xf>
    <xf numFmtId="167" fontId="3" fillId="0" borderId="26" xfId="0" applyNumberFormat="1" applyFont="1" applyBorder="1" applyAlignment="1">
      <alignment horizontal="right" vertical="center"/>
    </xf>
    <xf numFmtId="167" fontId="3" fillId="2" borderId="26" xfId="0" applyNumberFormat="1" applyFont="1" applyFill="1" applyBorder="1" applyAlignment="1">
      <alignment horizontal="right" vertical="center"/>
    </xf>
    <xf numFmtId="0" fontId="3" fillId="0" borderId="27" xfId="0" applyFont="1" applyBorder="1" applyAlignment="1">
      <alignment vertical="center" wrapText="1"/>
    </xf>
    <xf numFmtId="0" fontId="4" fillId="0" borderId="26" xfId="0" applyFont="1" applyBorder="1" applyAlignment="1">
      <alignment horizontal="center" vertical="center" wrapText="1"/>
    </xf>
    <xf numFmtId="0" fontId="9" fillId="0" borderId="27" xfId="0" applyFont="1" applyBorder="1" applyAlignment="1">
      <alignment vertical="center" wrapText="1"/>
    </xf>
    <xf numFmtId="44" fontId="4" fillId="0" borderId="26" xfId="1" applyFont="1" applyFill="1" applyBorder="1" applyAlignment="1">
      <alignment horizontal="right" vertical="center" wrapText="1"/>
    </xf>
    <xf numFmtId="167" fontId="4" fillId="0" borderId="26" xfId="0" applyNumberFormat="1" applyFont="1" applyBorder="1" applyAlignment="1">
      <alignment horizontal="center" vertical="center" wrapText="1"/>
    </xf>
    <xf numFmtId="167" fontId="4" fillId="2" borderId="26" xfId="0" applyNumberFormat="1" applyFont="1" applyFill="1" applyBorder="1" applyAlignment="1">
      <alignment horizontal="center" vertical="center" wrapText="1"/>
    </xf>
    <xf numFmtId="0" fontId="4" fillId="0" borderId="27" xfId="0" applyFont="1" applyBorder="1" applyAlignment="1">
      <alignment vertical="center" wrapText="1"/>
    </xf>
    <xf numFmtId="0" fontId="4" fillId="0" borderId="27" xfId="0" applyFont="1" applyBorder="1" applyAlignment="1">
      <alignment horizontal="right" vertical="center" wrapText="1"/>
    </xf>
    <xf numFmtId="0" fontId="14" fillId="0" borderId="26" xfId="0" applyFont="1" applyBorder="1" applyAlignment="1">
      <alignment horizontal="center" vertical="center"/>
    </xf>
    <xf numFmtId="44" fontId="14" fillId="0" borderId="26" xfId="1" applyFont="1" applyFill="1" applyBorder="1" applyAlignment="1">
      <alignment vertical="center"/>
    </xf>
    <xf numFmtId="167" fontId="14" fillId="0" borderId="26" xfId="0" applyNumberFormat="1" applyFont="1" applyBorder="1" applyAlignment="1">
      <alignment horizontal="center" vertical="center"/>
    </xf>
    <xf numFmtId="167" fontId="14" fillId="2" borderId="26" xfId="0" applyNumberFormat="1" applyFont="1" applyFill="1" applyBorder="1" applyAlignment="1">
      <alignment horizontal="center" vertical="center"/>
    </xf>
    <xf numFmtId="0" fontId="13" fillId="0" borderId="26" xfId="0" applyFont="1" applyBorder="1" applyAlignment="1">
      <alignment horizontal="center" vertical="center"/>
    </xf>
    <xf numFmtId="0" fontId="15" fillId="0" borderId="27" xfId="0" applyFont="1" applyBorder="1" applyAlignment="1">
      <alignment vertical="center"/>
    </xf>
    <xf numFmtId="0" fontId="14" fillId="0" borderId="27" xfId="0" applyFont="1" applyBorder="1" applyAlignment="1">
      <alignment vertical="center"/>
    </xf>
    <xf numFmtId="0" fontId="14" fillId="0" borderId="27" xfId="0" applyFont="1" applyBorder="1" applyAlignment="1">
      <alignment vertical="center" wrapText="1"/>
    </xf>
    <xf numFmtId="165" fontId="14" fillId="0" borderId="28" xfId="3" applyNumberFormat="1" applyFont="1" applyFill="1" applyBorder="1" applyAlignment="1">
      <alignment horizontal="left" vertical="center"/>
    </xf>
    <xf numFmtId="165" fontId="14" fillId="2" borderId="28" xfId="3" applyNumberFormat="1" applyFont="1" applyFill="1" applyBorder="1" applyAlignment="1">
      <alignment horizontal="left" vertical="center"/>
    </xf>
    <xf numFmtId="0" fontId="15" fillId="0" borderId="27" xfId="0" applyFont="1" applyBorder="1" applyAlignment="1">
      <alignment vertical="center" wrapText="1"/>
    </xf>
    <xf numFmtId="167" fontId="14" fillId="0" borderId="26" xfId="3" applyNumberFormat="1" applyFont="1" applyBorder="1" applyAlignment="1">
      <alignment vertical="center"/>
    </xf>
    <xf numFmtId="165" fontId="4" fillId="0" borderId="9" xfId="3" applyNumberFormat="1" applyFont="1" applyBorder="1" applyAlignment="1" applyProtection="1">
      <alignment horizontal="right" vertical="center"/>
    </xf>
    <xf numFmtId="165" fontId="4" fillId="2" borderId="9" xfId="3" applyNumberFormat="1" applyFont="1" applyFill="1" applyBorder="1" applyAlignment="1" applyProtection="1">
      <alignment horizontal="right" vertical="center"/>
    </xf>
    <xf numFmtId="44" fontId="4" fillId="0" borderId="26" xfId="1" applyFont="1" applyBorder="1" applyAlignment="1" applyProtection="1">
      <alignment horizontal="right" vertical="center"/>
    </xf>
    <xf numFmtId="170" fontId="4" fillId="0" borderId="28" xfId="3" applyNumberFormat="1" applyFont="1" applyBorder="1" applyAlignment="1" applyProtection="1">
      <alignment horizontal="right" vertical="center"/>
    </xf>
    <xf numFmtId="170" fontId="4" fillId="2" borderId="28" xfId="3" applyNumberFormat="1" applyFont="1" applyFill="1" applyBorder="1" applyAlignment="1" applyProtection="1">
      <alignment horizontal="right" vertical="center"/>
    </xf>
    <xf numFmtId="44" fontId="4" fillId="0" borderId="26" xfId="1" applyFont="1" applyFill="1" applyBorder="1" applyAlignment="1" applyProtection="1">
      <alignment horizontal="right" vertical="center"/>
    </xf>
    <xf numFmtId="167" fontId="4" fillId="0" borderId="26" xfId="0" applyNumberFormat="1" applyFont="1" applyBorder="1" applyAlignment="1" applyProtection="1">
      <alignment horizontal="right" vertical="center"/>
      <protection locked="0"/>
    </xf>
    <xf numFmtId="167" fontId="4" fillId="2" borderId="26" xfId="0" applyNumberFormat="1" applyFont="1" applyFill="1" applyBorder="1" applyAlignment="1" applyProtection="1">
      <alignment horizontal="right" vertical="center"/>
      <protection locked="0"/>
    </xf>
    <xf numFmtId="0" fontId="4" fillId="0" borderId="27" xfId="0" applyFont="1" applyBorder="1" applyAlignment="1">
      <alignment vertical="center"/>
    </xf>
    <xf numFmtId="165" fontId="4" fillId="0" borderId="9" xfId="3" applyNumberFormat="1" applyFont="1" applyFill="1" applyBorder="1" applyAlignment="1" applyProtection="1">
      <alignment horizontal="right" vertical="center"/>
    </xf>
    <xf numFmtId="44" fontId="3" fillId="0" borderId="26" xfId="1" applyFont="1" applyFill="1" applyBorder="1" applyAlignment="1">
      <alignment horizontal="right" vertical="center"/>
    </xf>
    <xf numFmtId="0" fontId="13" fillId="0" borderId="27" xfId="0" applyFont="1" applyBorder="1" applyAlignment="1">
      <alignment horizontal="center" vertical="center"/>
    </xf>
    <xf numFmtId="0" fontId="10" fillId="0" borderId="27" xfId="0" applyFont="1" applyBorder="1" applyAlignment="1">
      <alignment vertical="center" wrapText="1"/>
    </xf>
    <xf numFmtId="0" fontId="4" fillId="0" borderId="28" xfId="0" applyFont="1" applyBorder="1" applyAlignment="1">
      <alignment horizontal="center" vertical="center"/>
    </xf>
    <xf numFmtId="170" fontId="4" fillId="0" borderId="28" xfId="3" applyNumberFormat="1" applyFont="1" applyFill="1" applyBorder="1" applyAlignment="1">
      <alignment horizontal="right" vertical="center"/>
    </xf>
    <xf numFmtId="170" fontId="4" fillId="2" borderId="28" xfId="3" applyNumberFormat="1" applyFont="1" applyFill="1" applyBorder="1" applyAlignment="1">
      <alignment horizontal="right" vertical="center"/>
    </xf>
    <xf numFmtId="0" fontId="4" fillId="0" borderId="26" xfId="0" applyFont="1" applyBorder="1" applyAlignment="1" applyProtection="1">
      <alignment horizontal="center" vertical="center"/>
      <protection locked="0"/>
    </xf>
    <xf numFmtId="0" fontId="9" fillId="0" borderId="27" xfId="0" applyFont="1" applyBorder="1" applyAlignment="1" applyProtection="1">
      <alignment vertical="center" wrapText="1"/>
      <protection locked="0"/>
    </xf>
    <xf numFmtId="172" fontId="4" fillId="0" borderId="26" xfId="8" applyNumberFormat="1" applyFont="1" applyFill="1" applyBorder="1" applyAlignment="1" applyProtection="1">
      <alignment horizontal="right" vertical="center"/>
      <protection locked="0"/>
    </xf>
    <xf numFmtId="172" fontId="4" fillId="0" borderId="26" xfId="0" applyNumberFormat="1" applyFont="1" applyBorder="1" applyAlignment="1">
      <alignment horizontal="right" vertical="center"/>
    </xf>
    <xf numFmtId="172" fontId="4" fillId="2" borderId="26" xfId="0" applyNumberFormat="1" applyFont="1" applyFill="1" applyBorder="1" applyAlignment="1">
      <alignment horizontal="right" vertical="center"/>
    </xf>
    <xf numFmtId="0" fontId="4" fillId="0" borderId="27" xfId="0" applyFont="1" applyBorder="1" applyAlignment="1" applyProtection="1">
      <alignment vertical="center" wrapText="1"/>
      <protection locked="0"/>
    </xf>
    <xf numFmtId="0" fontId="3" fillId="0" borderId="27" xfId="0" applyFont="1" applyBorder="1" applyAlignment="1" applyProtection="1">
      <alignment vertical="center" wrapText="1"/>
      <protection locked="0"/>
    </xf>
    <xf numFmtId="0" fontId="10" fillId="0" borderId="27" xfId="0" applyFont="1" applyBorder="1" applyAlignment="1" applyProtection="1">
      <alignment vertical="center" wrapText="1"/>
      <protection locked="0"/>
    </xf>
    <xf numFmtId="0" fontId="3" fillId="0" borderId="26" xfId="0" applyFont="1" applyBorder="1" applyAlignment="1" applyProtection="1">
      <alignment horizontal="center" vertical="center"/>
      <protection locked="0"/>
    </xf>
    <xf numFmtId="44" fontId="4" fillId="0" borderId="26" xfId="10" applyFont="1" applyFill="1" applyBorder="1" applyAlignment="1">
      <alignment horizontal="right" vertical="center"/>
    </xf>
    <xf numFmtId="172" fontId="3" fillId="0" borderId="26" xfId="0" applyNumberFormat="1" applyFont="1" applyBorder="1" applyAlignment="1">
      <alignment horizontal="right" vertical="center"/>
    </xf>
    <xf numFmtId="172" fontId="3" fillId="2" borderId="26" xfId="0" applyNumberFormat="1" applyFont="1" applyFill="1" applyBorder="1" applyAlignment="1">
      <alignment horizontal="right" vertical="center"/>
    </xf>
    <xf numFmtId="0" fontId="4" fillId="0" borderId="26" xfId="0" applyFont="1" applyBorder="1" applyAlignment="1" applyProtection="1">
      <alignment horizontal="left" vertical="center"/>
      <protection locked="0"/>
    </xf>
    <xf numFmtId="44" fontId="4" fillId="0" borderId="26" xfId="11" applyFont="1" applyFill="1" applyBorder="1" applyAlignment="1" applyProtection="1">
      <alignment horizontal="right" vertical="center"/>
      <protection locked="0"/>
    </xf>
    <xf numFmtId="172" fontId="14" fillId="0" borderId="26" xfId="11" applyNumberFormat="1" applyFont="1" applyFill="1" applyBorder="1" applyAlignment="1" applyProtection="1">
      <alignment horizontal="right" vertical="center"/>
      <protection locked="0"/>
    </xf>
    <xf numFmtId="44" fontId="3" fillId="0" borderId="26" xfId="1" applyFont="1" applyFill="1" applyBorder="1" applyAlignment="1">
      <alignment vertical="center"/>
    </xf>
    <xf numFmtId="0" fontId="4" fillId="0" borderId="26" xfId="0" applyFont="1" applyBorder="1" applyAlignment="1">
      <alignment horizontal="left" vertical="center"/>
    </xf>
    <xf numFmtId="44" fontId="4" fillId="0" borderId="26" xfId="1" applyFont="1" applyFill="1" applyBorder="1" applyAlignment="1" applyProtection="1">
      <alignment horizontal="right" vertical="center"/>
      <protection locked="0"/>
    </xf>
    <xf numFmtId="0" fontId="15" fillId="0" borderId="26" xfId="0" applyFont="1" applyBorder="1" applyAlignment="1">
      <alignment vertical="top" wrapText="1"/>
    </xf>
    <xf numFmtId="0" fontId="14" fillId="0" borderId="26" xfId="0" applyFont="1" applyBorder="1" applyAlignment="1">
      <alignment vertical="top" wrapText="1"/>
    </xf>
    <xf numFmtId="0" fontId="4" fillId="0" borderId="27" xfId="0" applyFont="1" applyBorder="1" applyAlignment="1">
      <alignment horizontal="left" vertical="center" wrapText="1"/>
    </xf>
    <xf numFmtId="0" fontId="9" fillId="0" borderId="29" xfId="0" applyFont="1" applyBorder="1" applyAlignment="1">
      <alignment wrapText="1"/>
    </xf>
    <xf numFmtId="165" fontId="4" fillId="0" borderId="26" xfId="3" applyNumberFormat="1" applyFont="1" applyFill="1" applyBorder="1" applyAlignment="1">
      <alignment horizontal="right" vertical="center"/>
    </xf>
    <xf numFmtId="0" fontId="4" fillId="0" borderId="14" xfId="0" applyFont="1" applyBorder="1" applyAlignment="1">
      <alignment horizontal="left" vertical="center" wrapText="1"/>
    </xf>
    <xf numFmtId="0" fontId="4" fillId="0" borderId="30" xfId="0" applyFont="1" applyBorder="1" applyAlignment="1">
      <alignment wrapText="1"/>
    </xf>
    <xf numFmtId="167" fontId="14" fillId="0" borderId="25" xfId="0" applyNumberFormat="1" applyFont="1" applyBorder="1" applyAlignment="1">
      <alignment horizontal="center" vertical="center"/>
    </xf>
    <xf numFmtId="167" fontId="14" fillId="2" borderId="25" xfId="0" applyNumberFormat="1" applyFont="1" applyFill="1" applyBorder="1" applyAlignment="1">
      <alignment horizontal="center" vertical="center"/>
    </xf>
    <xf numFmtId="0" fontId="13" fillId="0" borderId="6" xfId="0" applyFont="1" applyBorder="1" applyAlignment="1">
      <alignment vertical="center" wrapText="1"/>
    </xf>
    <xf numFmtId="0" fontId="4" fillId="0" borderId="0" xfId="0" applyFont="1" applyAlignment="1">
      <alignment horizontal="center" vertical="center"/>
    </xf>
    <xf numFmtId="0" fontId="4" fillId="2" borderId="0" xfId="0" applyFont="1" applyFill="1" applyAlignment="1">
      <alignment horizontal="center" vertical="center"/>
    </xf>
    <xf numFmtId="165" fontId="4" fillId="0" borderId="0" xfId="3" applyNumberFormat="1" applyFont="1" applyFill="1" applyAlignment="1">
      <alignment horizontal="right" vertical="center"/>
    </xf>
    <xf numFmtId="165" fontId="4" fillId="2" borderId="0" xfId="3" applyNumberFormat="1" applyFont="1" applyFill="1" applyAlignment="1">
      <alignment horizontal="right" vertical="center"/>
    </xf>
    <xf numFmtId="44" fontId="4" fillId="0" borderId="0" xfId="1" applyFont="1" applyFill="1" applyAlignment="1">
      <alignment horizontal="right" vertical="center"/>
    </xf>
    <xf numFmtId="0" fontId="3" fillId="2" borderId="26" xfId="0" applyFont="1" applyFill="1" applyBorder="1" applyAlignment="1">
      <alignment horizontal="center" vertical="center"/>
    </xf>
    <xf numFmtId="0" fontId="2" fillId="0" borderId="0" xfId="0" applyFont="1" applyAlignment="1">
      <alignment horizontal="center"/>
    </xf>
    <xf numFmtId="0" fontId="21" fillId="0" borderId="0" xfId="0" applyFont="1" applyAlignment="1">
      <alignment horizontal="left" vertical="center" readingOrder="1"/>
    </xf>
    <xf numFmtId="0" fontId="2" fillId="0" borderId="0" xfId="0" applyFont="1"/>
    <xf numFmtId="0" fontId="4" fillId="2" borderId="26" xfId="0" applyFont="1" applyFill="1" applyBorder="1" applyAlignment="1">
      <alignment vertical="center"/>
    </xf>
    <xf numFmtId="0" fontId="3" fillId="2" borderId="26" xfId="0" applyFont="1" applyFill="1" applyBorder="1" applyAlignment="1">
      <alignment vertical="center"/>
    </xf>
    <xf numFmtId="0" fontId="4" fillId="2" borderId="26" xfId="5" applyFont="1" applyFill="1" applyBorder="1" applyAlignment="1">
      <alignment vertical="center"/>
    </xf>
    <xf numFmtId="0" fontId="16" fillId="2" borderId="26" xfId="0" applyFont="1" applyFill="1" applyBorder="1" applyAlignment="1">
      <alignment vertical="center" wrapText="1"/>
    </xf>
    <xf numFmtId="0" fontId="4" fillId="2" borderId="26" xfId="0" applyFont="1" applyFill="1" applyBorder="1" applyAlignment="1">
      <alignment vertical="center" wrapText="1"/>
    </xf>
    <xf numFmtId="0" fontId="14" fillId="2" borderId="26" xfId="0" applyFont="1" applyFill="1" applyBorder="1" applyAlignment="1">
      <alignment vertical="center"/>
    </xf>
    <xf numFmtId="0" fontId="4" fillId="2" borderId="26" xfId="5" applyFont="1" applyFill="1" applyBorder="1" applyAlignment="1">
      <alignment horizontal="center" vertical="center"/>
    </xf>
    <xf numFmtId="0" fontId="16" fillId="2" borderId="26" xfId="0" applyFont="1" applyFill="1" applyBorder="1" applyAlignment="1">
      <alignment horizontal="center" vertical="center" wrapText="1"/>
    </xf>
    <xf numFmtId="0" fontId="4" fillId="2" borderId="26" xfId="0" applyFont="1" applyFill="1" applyBorder="1" applyAlignment="1">
      <alignment horizontal="center" vertical="center" wrapText="1"/>
    </xf>
    <xf numFmtId="0" fontId="14" fillId="2" borderId="26" xfId="0" applyFont="1" applyFill="1" applyBorder="1" applyAlignment="1">
      <alignment horizontal="center" vertical="center"/>
    </xf>
    <xf numFmtId="0" fontId="4" fillId="2" borderId="26" xfId="6" applyFont="1" applyFill="1" applyBorder="1" applyAlignment="1">
      <alignment horizontal="center" vertical="center"/>
    </xf>
    <xf numFmtId="0" fontId="4" fillId="2" borderId="26" xfId="6" applyFont="1" applyFill="1" applyBorder="1" applyAlignment="1">
      <alignment horizontal="center" vertical="center" wrapText="1"/>
    </xf>
    <xf numFmtId="0" fontId="22" fillId="2" borderId="26" xfId="0" applyFont="1" applyFill="1" applyBorder="1" applyAlignment="1">
      <alignment vertical="center"/>
    </xf>
    <xf numFmtId="10" fontId="14" fillId="2" borderId="26" xfId="2" applyNumberFormat="1" applyFont="1" applyFill="1" applyBorder="1" applyAlignment="1">
      <alignment horizontal="center" vertical="center"/>
    </xf>
    <xf numFmtId="0" fontId="13" fillId="2" borderId="26" xfId="0" applyFont="1" applyFill="1" applyBorder="1" applyAlignment="1">
      <alignment vertical="center"/>
    </xf>
    <xf numFmtId="0" fontId="4" fillId="2" borderId="26" xfId="6" applyFont="1" applyFill="1" applyBorder="1" applyAlignment="1">
      <alignment vertical="center"/>
    </xf>
    <xf numFmtId="0" fontId="4" fillId="2" borderId="26" xfId="6" applyFont="1" applyFill="1" applyBorder="1" applyAlignment="1">
      <alignment vertical="center" wrapText="1"/>
    </xf>
    <xf numFmtId="49" fontId="0" fillId="0" borderId="0" xfId="0" quotePrefix="1" applyNumberFormat="1"/>
    <xf numFmtId="49" fontId="0" fillId="0" borderId="0" xfId="0" applyNumberFormat="1"/>
    <xf numFmtId="0" fontId="20" fillId="0" borderId="31" xfId="0" applyFont="1" applyBorder="1" applyAlignment="1">
      <alignment horizontal="left" vertical="center" wrapText="1" indent="1" readingOrder="1"/>
    </xf>
    <xf numFmtId="0" fontId="21" fillId="0" borderId="31" xfId="0" applyFont="1" applyBorder="1" applyAlignment="1">
      <alignment horizontal="left" vertical="center" wrapText="1" indent="1" readingOrder="1"/>
    </xf>
    <xf numFmtId="0" fontId="0" fillId="0" borderId="0" xfId="0" applyFont="1"/>
    <xf numFmtId="177" fontId="20" fillId="0" borderId="31" xfId="1" applyNumberFormat="1" applyFont="1" applyBorder="1" applyAlignment="1">
      <alignment horizontal="center" vertical="center" wrapText="1" readingOrder="1"/>
    </xf>
    <xf numFmtId="177" fontId="21" fillId="0" borderId="31" xfId="1" applyNumberFormat="1" applyFont="1" applyBorder="1" applyAlignment="1">
      <alignment horizontal="center" vertical="center" wrapText="1" readingOrder="1"/>
    </xf>
    <xf numFmtId="177" fontId="0" fillId="0" borderId="0" xfId="1" applyNumberFormat="1" applyFont="1" applyAlignment="1">
      <alignment horizontal="center"/>
    </xf>
    <xf numFmtId="0" fontId="21" fillId="0" borderId="32" xfId="0" applyFont="1" applyBorder="1" applyAlignment="1">
      <alignment horizontal="left" vertical="center" wrapText="1" indent="1" readingOrder="1"/>
    </xf>
    <xf numFmtId="0" fontId="21" fillId="0" borderId="33" xfId="0" applyFont="1" applyBorder="1" applyAlignment="1">
      <alignment horizontal="left" vertical="center" wrapText="1" indent="1" readingOrder="1"/>
    </xf>
    <xf numFmtId="0" fontId="21" fillId="0" borderId="34" xfId="0" applyFont="1" applyBorder="1" applyAlignment="1">
      <alignment horizontal="left" vertical="center" wrapText="1" indent="1" readingOrder="1"/>
    </xf>
    <xf numFmtId="0" fontId="21" fillId="0" borderId="31" xfId="0" applyFont="1" applyBorder="1" applyAlignment="1">
      <alignment horizontal="right" vertical="center" wrapText="1" indent="1" readingOrder="1"/>
    </xf>
    <xf numFmtId="0" fontId="21" fillId="0" borderId="32" xfId="0" applyFont="1" applyBorder="1" applyAlignment="1">
      <alignment horizontal="right" vertical="center" wrapText="1" indent="1" readingOrder="1"/>
    </xf>
    <xf numFmtId="0" fontId="21" fillId="0" borderId="34" xfId="0" applyFont="1" applyBorder="1" applyAlignment="1">
      <alignment horizontal="right" vertical="center" wrapText="1" indent="1" readingOrder="1"/>
    </xf>
    <xf numFmtId="0" fontId="24" fillId="0" borderId="0" xfId="0" applyFont="1"/>
    <xf numFmtId="0" fontId="25" fillId="0" borderId="0" xfId="0" applyFont="1"/>
    <xf numFmtId="0" fontId="21" fillId="0" borderId="35" xfId="0" applyFont="1" applyBorder="1" applyAlignment="1">
      <alignment horizontal="right" vertical="center" wrapText="1" indent="1" readingOrder="1"/>
    </xf>
    <xf numFmtId="0" fontId="21" fillId="0" borderId="37" xfId="0" applyFont="1" applyBorder="1" applyAlignment="1">
      <alignment horizontal="right" vertical="center" wrapText="1" indent="1" readingOrder="1"/>
    </xf>
    <xf numFmtId="0" fontId="21" fillId="0" borderId="38" xfId="0" applyFont="1" applyBorder="1" applyAlignment="1">
      <alignment horizontal="right" vertical="center" wrapText="1" indent="1" readingOrder="1"/>
    </xf>
    <xf numFmtId="44" fontId="3" fillId="4" borderId="1" xfId="1" applyFont="1" applyFill="1" applyBorder="1" applyAlignment="1">
      <alignment vertical="center" wrapText="1"/>
    </xf>
    <xf numFmtId="168" fontId="6" fillId="4" borderId="5" xfId="0" applyNumberFormat="1" applyFont="1" applyFill="1" applyBorder="1" applyAlignment="1">
      <alignment vertical="center"/>
    </xf>
    <xf numFmtId="168" fontId="5" fillId="4" borderId="5" xfId="0" applyNumberFormat="1" applyFont="1" applyFill="1" applyBorder="1" applyAlignment="1">
      <alignment vertical="center"/>
    </xf>
    <xf numFmtId="44" fontId="5" fillId="4" borderId="5" xfId="0" applyNumberFormat="1" applyFont="1" applyFill="1" applyBorder="1" applyAlignment="1">
      <alignment vertical="center"/>
    </xf>
    <xf numFmtId="4" fontId="5" fillId="4" borderId="5" xfId="0" applyNumberFormat="1" applyFont="1" applyFill="1" applyBorder="1" applyAlignment="1">
      <alignment vertical="center"/>
    </xf>
    <xf numFmtId="44" fontId="6" fillId="4" borderId="5" xfId="0" applyNumberFormat="1" applyFont="1" applyFill="1" applyBorder="1" applyAlignment="1">
      <alignment vertical="center"/>
    </xf>
    <xf numFmtId="44" fontId="4" fillId="4" borderId="5" xfId="1" applyFont="1" applyFill="1" applyBorder="1" applyAlignment="1">
      <alignment horizontal="right" vertical="center"/>
    </xf>
    <xf numFmtId="44" fontId="3" fillId="4" borderId="5" xfId="1" applyFont="1" applyFill="1" applyBorder="1" applyAlignment="1">
      <alignment horizontal="right" vertical="center"/>
    </xf>
    <xf numFmtId="44" fontId="4" fillId="4" borderId="5" xfId="1" applyFont="1" applyFill="1" applyBorder="1" applyAlignment="1">
      <alignment vertical="center"/>
    </xf>
    <xf numFmtId="44" fontId="14" fillId="4" borderId="5" xfId="1" applyFont="1" applyFill="1" applyBorder="1" applyAlignment="1">
      <alignment vertical="center"/>
    </xf>
    <xf numFmtId="172" fontId="4" fillId="4" borderId="5" xfId="8" applyNumberFormat="1" applyFont="1" applyFill="1" applyBorder="1" applyAlignment="1" applyProtection="1">
      <alignment horizontal="right" vertical="center"/>
      <protection locked="0"/>
    </xf>
    <xf numFmtId="172" fontId="3" fillId="4" borderId="5" xfId="8" applyNumberFormat="1" applyFont="1" applyFill="1" applyBorder="1" applyAlignment="1" applyProtection="1">
      <alignment horizontal="right" vertical="center"/>
      <protection locked="0"/>
    </xf>
    <xf numFmtId="44" fontId="4" fillId="4" borderId="5" xfId="10" applyFont="1" applyFill="1" applyBorder="1" applyAlignment="1">
      <alignment horizontal="right" vertical="center"/>
    </xf>
    <xf numFmtId="44" fontId="4" fillId="4" borderId="5" xfId="11" applyFont="1" applyFill="1" applyBorder="1" applyAlignment="1" applyProtection="1">
      <alignment horizontal="right" vertical="center"/>
      <protection locked="0"/>
    </xf>
    <xf numFmtId="172" fontId="14" fillId="4" borderId="5" xfId="11" applyNumberFormat="1" applyFont="1" applyFill="1" applyBorder="1" applyAlignment="1" applyProtection="1">
      <alignment horizontal="right" vertical="center"/>
      <protection locked="0"/>
    </xf>
    <xf numFmtId="44" fontId="3" fillId="4" borderId="5" xfId="1" applyFont="1" applyFill="1" applyBorder="1" applyAlignment="1">
      <alignment vertical="center"/>
    </xf>
    <xf numFmtId="44" fontId="4" fillId="4" borderId="5" xfId="1" applyFont="1" applyFill="1" applyBorder="1" applyAlignment="1" applyProtection="1">
      <alignment horizontal="right" vertical="center"/>
      <protection locked="0"/>
    </xf>
    <xf numFmtId="44" fontId="4" fillId="4" borderId="11" xfId="10" applyFont="1" applyFill="1" applyBorder="1" applyAlignment="1">
      <alignment horizontal="right" vertical="center"/>
    </xf>
    <xf numFmtId="165" fontId="4" fillId="4" borderId="5" xfId="3" applyNumberFormat="1" applyFont="1" applyFill="1" applyBorder="1" applyAlignment="1">
      <alignment horizontal="right" vertical="center"/>
    </xf>
    <xf numFmtId="44" fontId="4" fillId="4" borderId="17" xfId="0" applyNumberFormat="1" applyFont="1" applyFill="1" applyBorder="1" applyAlignment="1">
      <alignment horizontal="right" vertical="center" wrapText="1"/>
    </xf>
    <xf numFmtId="44" fontId="3" fillId="4" borderId="17" xfId="0" applyNumberFormat="1" applyFont="1" applyFill="1" applyBorder="1" applyAlignment="1">
      <alignment horizontal="right" vertical="center" wrapText="1"/>
    </xf>
    <xf numFmtId="44" fontId="4" fillId="4" borderId="5" xfId="1" applyFont="1" applyFill="1" applyBorder="1" applyAlignment="1">
      <alignment horizontal="right" vertical="center" wrapText="1"/>
    </xf>
    <xf numFmtId="44" fontId="4" fillId="4" borderId="11" xfId="1" applyFont="1" applyFill="1" applyBorder="1" applyAlignment="1">
      <alignment horizontal="right" vertical="center"/>
    </xf>
    <xf numFmtId="44" fontId="4" fillId="4" borderId="5" xfId="13" applyFont="1" applyFill="1" applyBorder="1" applyAlignment="1">
      <alignment horizontal="right" vertical="center"/>
    </xf>
    <xf numFmtId="44" fontId="4" fillId="4" borderId="1" xfId="1" applyFont="1" applyFill="1" applyBorder="1" applyAlignment="1">
      <alignment horizontal="right" vertical="center"/>
    </xf>
    <xf numFmtId="168" fontId="4" fillId="4" borderId="17" xfId="0" applyNumberFormat="1" applyFont="1" applyFill="1" applyBorder="1" applyAlignment="1">
      <alignment vertical="center"/>
    </xf>
    <xf numFmtId="4" fontId="4" fillId="4" borderId="21" xfId="0" applyNumberFormat="1" applyFont="1" applyFill="1" applyBorder="1" applyAlignment="1">
      <alignment wrapText="1"/>
    </xf>
    <xf numFmtId="167" fontId="4" fillId="4" borderId="25" xfId="0" applyNumberFormat="1" applyFont="1" applyFill="1" applyBorder="1" applyAlignment="1">
      <alignment vertical="center"/>
    </xf>
    <xf numFmtId="167" fontId="14" fillId="4" borderId="5" xfId="3" applyNumberFormat="1" applyFont="1" applyFill="1" applyBorder="1" applyAlignment="1">
      <alignment vertical="center"/>
    </xf>
    <xf numFmtId="44" fontId="4" fillId="4" borderId="26" xfId="1" applyFont="1" applyFill="1" applyBorder="1" applyAlignment="1">
      <alignment vertical="center"/>
    </xf>
    <xf numFmtId="44" fontId="4" fillId="4" borderId="26" xfId="1" applyFont="1" applyFill="1" applyBorder="1" applyAlignment="1">
      <alignment horizontal="right" vertical="center"/>
    </xf>
    <xf numFmtId="44" fontId="4" fillId="4" borderId="26" xfId="1" applyFont="1" applyFill="1" applyBorder="1" applyAlignment="1">
      <alignment horizontal="right" vertical="center" wrapText="1"/>
    </xf>
    <xf numFmtId="44" fontId="14" fillId="4" borderId="26" xfId="1" applyFont="1" applyFill="1" applyBorder="1" applyAlignment="1">
      <alignment vertical="center"/>
    </xf>
    <xf numFmtId="167" fontId="14" fillId="4" borderId="26" xfId="3" applyNumberFormat="1" applyFont="1" applyFill="1" applyBorder="1" applyAlignment="1">
      <alignment vertical="center"/>
    </xf>
    <xf numFmtId="44" fontId="4" fillId="4" borderId="26" xfId="1" applyFont="1" applyFill="1" applyBorder="1" applyAlignment="1" applyProtection="1">
      <alignment horizontal="right" vertical="center"/>
    </xf>
    <xf numFmtId="44" fontId="3" fillId="4" borderId="26" xfId="1" applyFont="1" applyFill="1" applyBorder="1" applyAlignment="1">
      <alignment horizontal="right" vertical="center"/>
    </xf>
    <xf numFmtId="172" fontId="4" fillId="4" borderId="26" xfId="8" applyNumberFormat="1" applyFont="1" applyFill="1" applyBorder="1" applyAlignment="1" applyProtection="1">
      <alignment horizontal="right" vertical="center"/>
      <protection locked="0"/>
    </xf>
    <xf numFmtId="44" fontId="4" fillId="4" borderId="26" xfId="10" applyFont="1" applyFill="1" applyBorder="1" applyAlignment="1">
      <alignment horizontal="right" vertical="center"/>
    </xf>
    <xf numFmtId="44" fontId="4" fillId="4" borderId="26" xfId="11" applyFont="1" applyFill="1" applyBorder="1" applyAlignment="1" applyProtection="1">
      <alignment horizontal="right" vertical="center"/>
      <protection locked="0"/>
    </xf>
    <xf numFmtId="172" fontId="14" fillId="4" borderId="26" xfId="11" applyNumberFormat="1" applyFont="1" applyFill="1" applyBorder="1" applyAlignment="1" applyProtection="1">
      <alignment horizontal="right" vertical="center"/>
      <protection locked="0"/>
    </xf>
    <xf numFmtId="44" fontId="3" fillId="4" borderId="26" xfId="1" applyFont="1" applyFill="1" applyBorder="1" applyAlignment="1">
      <alignment vertical="center"/>
    </xf>
    <xf numFmtId="44" fontId="4" fillId="4" borderId="26" xfId="1" applyFont="1" applyFill="1" applyBorder="1" applyAlignment="1" applyProtection="1">
      <alignment horizontal="right" vertical="center"/>
      <protection locked="0"/>
    </xf>
    <xf numFmtId="165" fontId="4" fillId="4" borderId="26" xfId="3" applyNumberFormat="1" applyFont="1" applyFill="1" applyBorder="1" applyAlignment="1">
      <alignment horizontal="right" vertical="center"/>
    </xf>
    <xf numFmtId="44" fontId="4" fillId="4" borderId="0" xfId="1" applyFont="1" applyFill="1" applyAlignment="1">
      <alignment horizontal="right" vertical="center"/>
    </xf>
    <xf numFmtId="0" fontId="23" fillId="0" borderId="39" xfId="0" applyFont="1" applyBorder="1" applyAlignment="1">
      <alignment horizontal="right" vertical="center" wrapText="1" indent="1" readingOrder="1"/>
    </xf>
    <xf numFmtId="0" fontId="23" fillId="0" borderId="40" xfId="0" applyFont="1" applyBorder="1" applyAlignment="1">
      <alignment horizontal="right" vertical="center" wrapText="1" indent="1" readingOrder="1"/>
    </xf>
    <xf numFmtId="0" fontId="2" fillId="0" borderId="41" xfId="0" applyFont="1" applyBorder="1" applyAlignment="1">
      <alignment horizontal="center"/>
    </xf>
    <xf numFmtId="0" fontId="2" fillId="0" borderId="42" xfId="0" applyFont="1" applyBorder="1" applyAlignment="1">
      <alignment horizontal="center"/>
    </xf>
    <xf numFmtId="0" fontId="2" fillId="0" borderId="43" xfId="0" applyFont="1" applyBorder="1" applyAlignment="1">
      <alignment horizontal="center"/>
    </xf>
    <xf numFmtId="0" fontId="0" fillId="0" borderId="0" xfId="0" applyNumberFormat="1" applyAlignment="1">
      <alignment horizontal="center"/>
    </xf>
    <xf numFmtId="0" fontId="0" fillId="4" borderId="0" xfId="0" applyNumberFormat="1" applyFill="1" applyAlignment="1">
      <alignment horizontal="center"/>
    </xf>
    <xf numFmtId="0" fontId="2" fillId="4" borderId="41" xfId="0" applyFont="1" applyFill="1" applyBorder="1" applyAlignment="1">
      <alignment horizontal="center"/>
    </xf>
    <xf numFmtId="0" fontId="2" fillId="4" borderId="42" xfId="0" applyFont="1" applyFill="1" applyBorder="1" applyAlignment="1">
      <alignment horizontal="center"/>
    </xf>
    <xf numFmtId="0" fontId="2" fillId="4" borderId="43" xfId="0" applyFont="1" applyFill="1" applyBorder="1" applyAlignment="1">
      <alignment horizontal="center"/>
    </xf>
    <xf numFmtId="0" fontId="23" fillId="4" borderId="36" xfId="0" applyNumberFormat="1" applyFont="1" applyFill="1" applyBorder="1" applyAlignment="1">
      <alignment horizontal="center" vertical="center" wrapText="1" readingOrder="1"/>
    </xf>
    <xf numFmtId="0" fontId="23" fillId="4" borderId="39" xfId="0" applyFont="1" applyFill="1" applyBorder="1" applyAlignment="1">
      <alignment horizontal="right" vertical="center" wrapText="1" indent="1" readingOrder="1"/>
    </xf>
    <xf numFmtId="0" fontId="23" fillId="4" borderId="40" xfId="0" applyFont="1" applyFill="1" applyBorder="1" applyAlignment="1">
      <alignment horizontal="right" vertical="center" wrapText="1" indent="1" readingOrder="1"/>
    </xf>
    <xf numFmtId="0" fontId="0" fillId="4" borderId="36" xfId="1" applyNumberFormat="1" applyFont="1" applyFill="1" applyBorder="1" applyAlignment="1">
      <alignment horizontal="center"/>
    </xf>
    <xf numFmtId="0" fontId="21" fillId="4" borderId="31" xfId="0" applyFont="1" applyFill="1" applyBorder="1" applyAlignment="1">
      <alignment horizontal="right" vertical="center" wrapText="1" indent="1" readingOrder="1"/>
    </xf>
    <xf numFmtId="0" fontId="21" fillId="4" borderId="35" xfId="0" applyFont="1" applyFill="1" applyBorder="1" applyAlignment="1">
      <alignment horizontal="right" vertical="center" wrapText="1" indent="1" readingOrder="1"/>
    </xf>
    <xf numFmtId="0" fontId="23" fillId="2" borderId="36" xfId="0" applyFont="1" applyFill="1" applyBorder="1" applyAlignment="1">
      <alignment horizontal="right" vertical="center" wrapText="1" indent="1" readingOrder="1"/>
    </xf>
    <xf numFmtId="44" fontId="0" fillId="2" borderId="36" xfId="1" applyFont="1" applyFill="1" applyBorder="1"/>
  </cellXfs>
  <cellStyles count="15">
    <cellStyle name="Comma 18 2 3" xfId="7" xr:uid="{292DB9CD-C223-432A-AA79-0DF0B8A4E3D1}"/>
    <cellStyle name="Comma 2" xfId="3" xr:uid="{C6619D20-D21D-4BDE-BED2-10E2D72053B2}"/>
    <cellStyle name="Comma 2 2" xfId="4" xr:uid="{6B8E3123-77D0-421A-89C0-695C006256F2}"/>
    <cellStyle name="Comma 2 2 2 3" xfId="9" xr:uid="{1DDE90F0-3D39-4021-BFCC-659E25386506}"/>
    <cellStyle name="Comma 2 2 2 3 4" xfId="14" xr:uid="{F1F0B6EE-2A05-4E4E-9F2F-A30AED7BC81B}"/>
    <cellStyle name="Comma 4" xfId="12" xr:uid="{8B53FBE5-9219-43D7-895D-B782307390E2}"/>
    <cellStyle name="Currency" xfId="1" builtinId="4"/>
    <cellStyle name="Currency 4" xfId="8" xr:uid="{81057991-E2B1-47A7-ACF0-961B97F5A054}"/>
    <cellStyle name="Currency 5" xfId="10" xr:uid="{E3B89B5D-E685-4D49-BF99-B9876A7AF1B6}"/>
    <cellStyle name="Currency 5 2" xfId="11" xr:uid="{6822273A-DE94-44B8-8919-F338229D925E}"/>
    <cellStyle name="Currency 5 4" xfId="13" xr:uid="{AD19DCF8-5CCF-4699-97A3-4B6372F30786}"/>
    <cellStyle name="Normal" xfId="0" builtinId="0"/>
    <cellStyle name="Normal 3 2 3" xfId="6" xr:uid="{63684F3B-1C0B-43D7-8C6E-CA8FB4D93F96}"/>
    <cellStyle name="Normal 4" xfId="5" xr:uid="{94C300CF-7581-40E9-AC55-F6AAFE25448E}"/>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20.xml"/><Relationship Id="rId21" Type="http://schemas.openxmlformats.org/officeDocument/2006/relationships/externalLink" Target="externalLinks/externalLink15.xml"/><Relationship Id="rId42" Type="http://schemas.openxmlformats.org/officeDocument/2006/relationships/externalLink" Target="externalLinks/externalLink36.xml"/><Relationship Id="rId47" Type="http://schemas.openxmlformats.org/officeDocument/2006/relationships/externalLink" Target="externalLinks/externalLink41.xml"/><Relationship Id="rId63" Type="http://schemas.openxmlformats.org/officeDocument/2006/relationships/externalLink" Target="externalLinks/externalLink57.xml"/><Relationship Id="rId68" Type="http://schemas.openxmlformats.org/officeDocument/2006/relationships/externalLink" Target="externalLinks/externalLink62.xml"/><Relationship Id="rId2" Type="http://schemas.openxmlformats.org/officeDocument/2006/relationships/worksheet" Target="worksheets/sheet2.xml"/><Relationship Id="rId16" Type="http://schemas.openxmlformats.org/officeDocument/2006/relationships/externalLink" Target="externalLinks/externalLink10.xml"/><Relationship Id="rId29" Type="http://schemas.openxmlformats.org/officeDocument/2006/relationships/externalLink" Target="externalLinks/externalLink23.xml"/><Relationship Id="rId11" Type="http://schemas.openxmlformats.org/officeDocument/2006/relationships/externalLink" Target="externalLinks/externalLink5.xml"/><Relationship Id="rId24" Type="http://schemas.openxmlformats.org/officeDocument/2006/relationships/externalLink" Target="externalLinks/externalLink18.xml"/><Relationship Id="rId32" Type="http://schemas.openxmlformats.org/officeDocument/2006/relationships/externalLink" Target="externalLinks/externalLink26.xml"/><Relationship Id="rId37" Type="http://schemas.openxmlformats.org/officeDocument/2006/relationships/externalLink" Target="externalLinks/externalLink31.xml"/><Relationship Id="rId40" Type="http://schemas.openxmlformats.org/officeDocument/2006/relationships/externalLink" Target="externalLinks/externalLink34.xml"/><Relationship Id="rId45" Type="http://schemas.openxmlformats.org/officeDocument/2006/relationships/externalLink" Target="externalLinks/externalLink39.xml"/><Relationship Id="rId53" Type="http://schemas.openxmlformats.org/officeDocument/2006/relationships/externalLink" Target="externalLinks/externalLink47.xml"/><Relationship Id="rId58" Type="http://schemas.openxmlformats.org/officeDocument/2006/relationships/externalLink" Target="externalLinks/externalLink52.xml"/><Relationship Id="rId66" Type="http://schemas.openxmlformats.org/officeDocument/2006/relationships/externalLink" Target="externalLinks/externalLink60.xml"/><Relationship Id="rId74"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55.xml"/><Relationship Id="rId19" Type="http://schemas.openxmlformats.org/officeDocument/2006/relationships/externalLink" Target="externalLinks/externalLink13.xml"/><Relationship Id="rId14" Type="http://schemas.openxmlformats.org/officeDocument/2006/relationships/externalLink" Target="externalLinks/externalLink8.xml"/><Relationship Id="rId22" Type="http://schemas.openxmlformats.org/officeDocument/2006/relationships/externalLink" Target="externalLinks/externalLink16.xml"/><Relationship Id="rId27" Type="http://schemas.openxmlformats.org/officeDocument/2006/relationships/externalLink" Target="externalLinks/externalLink21.xml"/><Relationship Id="rId30" Type="http://schemas.openxmlformats.org/officeDocument/2006/relationships/externalLink" Target="externalLinks/externalLink24.xml"/><Relationship Id="rId35" Type="http://schemas.openxmlformats.org/officeDocument/2006/relationships/externalLink" Target="externalLinks/externalLink29.xml"/><Relationship Id="rId43" Type="http://schemas.openxmlformats.org/officeDocument/2006/relationships/externalLink" Target="externalLinks/externalLink37.xml"/><Relationship Id="rId48" Type="http://schemas.openxmlformats.org/officeDocument/2006/relationships/externalLink" Target="externalLinks/externalLink42.xml"/><Relationship Id="rId56" Type="http://schemas.openxmlformats.org/officeDocument/2006/relationships/externalLink" Target="externalLinks/externalLink50.xml"/><Relationship Id="rId64" Type="http://schemas.openxmlformats.org/officeDocument/2006/relationships/externalLink" Target="externalLinks/externalLink58.xml"/><Relationship Id="rId69" Type="http://schemas.openxmlformats.org/officeDocument/2006/relationships/externalLink" Target="externalLinks/externalLink63.xml"/><Relationship Id="rId8" Type="http://schemas.openxmlformats.org/officeDocument/2006/relationships/externalLink" Target="externalLinks/externalLink2.xml"/><Relationship Id="rId51" Type="http://schemas.openxmlformats.org/officeDocument/2006/relationships/externalLink" Target="externalLinks/externalLink45.xml"/><Relationship Id="rId72"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externalLink" Target="externalLinks/externalLink6.xml"/><Relationship Id="rId17" Type="http://schemas.openxmlformats.org/officeDocument/2006/relationships/externalLink" Target="externalLinks/externalLink11.xml"/><Relationship Id="rId25" Type="http://schemas.openxmlformats.org/officeDocument/2006/relationships/externalLink" Target="externalLinks/externalLink19.xml"/><Relationship Id="rId33" Type="http://schemas.openxmlformats.org/officeDocument/2006/relationships/externalLink" Target="externalLinks/externalLink27.xml"/><Relationship Id="rId38" Type="http://schemas.openxmlformats.org/officeDocument/2006/relationships/externalLink" Target="externalLinks/externalLink32.xml"/><Relationship Id="rId46" Type="http://schemas.openxmlformats.org/officeDocument/2006/relationships/externalLink" Target="externalLinks/externalLink40.xml"/><Relationship Id="rId59" Type="http://schemas.openxmlformats.org/officeDocument/2006/relationships/externalLink" Target="externalLinks/externalLink53.xml"/><Relationship Id="rId67" Type="http://schemas.openxmlformats.org/officeDocument/2006/relationships/externalLink" Target="externalLinks/externalLink61.xml"/><Relationship Id="rId20" Type="http://schemas.openxmlformats.org/officeDocument/2006/relationships/externalLink" Target="externalLinks/externalLink14.xml"/><Relationship Id="rId41" Type="http://schemas.openxmlformats.org/officeDocument/2006/relationships/externalLink" Target="externalLinks/externalLink35.xml"/><Relationship Id="rId54" Type="http://schemas.openxmlformats.org/officeDocument/2006/relationships/externalLink" Target="externalLinks/externalLink48.xml"/><Relationship Id="rId62" Type="http://schemas.openxmlformats.org/officeDocument/2006/relationships/externalLink" Target="externalLinks/externalLink56.xml"/><Relationship Id="rId70" Type="http://schemas.openxmlformats.org/officeDocument/2006/relationships/externalLink" Target="externalLinks/externalLink64.xml"/><Relationship Id="rId75"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externalLink" Target="externalLinks/externalLink9.xml"/><Relationship Id="rId23" Type="http://schemas.openxmlformats.org/officeDocument/2006/relationships/externalLink" Target="externalLinks/externalLink17.xml"/><Relationship Id="rId28" Type="http://schemas.openxmlformats.org/officeDocument/2006/relationships/externalLink" Target="externalLinks/externalLink22.xml"/><Relationship Id="rId36" Type="http://schemas.openxmlformats.org/officeDocument/2006/relationships/externalLink" Target="externalLinks/externalLink30.xml"/><Relationship Id="rId49" Type="http://schemas.openxmlformats.org/officeDocument/2006/relationships/externalLink" Target="externalLinks/externalLink43.xml"/><Relationship Id="rId57" Type="http://schemas.openxmlformats.org/officeDocument/2006/relationships/externalLink" Target="externalLinks/externalLink51.xml"/><Relationship Id="rId10" Type="http://schemas.openxmlformats.org/officeDocument/2006/relationships/externalLink" Target="externalLinks/externalLink4.xml"/><Relationship Id="rId31" Type="http://schemas.openxmlformats.org/officeDocument/2006/relationships/externalLink" Target="externalLinks/externalLink25.xml"/><Relationship Id="rId44" Type="http://schemas.openxmlformats.org/officeDocument/2006/relationships/externalLink" Target="externalLinks/externalLink38.xml"/><Relationship Id="rId52" Type="http://schemas.openxmlformats.org/officeDocument/2006/relationships/externalLink" Target="externalLinks/externalLink46.xml"/><Relationship Id="rId60" Type="http://schemas.openxmlformats.org/officeDocument/2006/relationships/externalLink" Target="externalLinks/externalLink54.xml"/><Relationship Id="rId65" Type="http://schemas.openxmlformats.org/officeDocument/2006/relationships/externalLink" Target="externalLinks/externalLink59.xml"/><Relationship Id="rId73"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externalLink" Target="externalLinks/externalLink3.xml"/><Relationship Id="rId13" Type="http://schemas.openxmlformats.org/officeDocument/2006/relationships/externalLink" Target="externalLinks/externalLink7.xml"/><Relationship Id="rId18" Type="http://schemas.openxmlformats.org/officeDocument/2006/relationships/externalLink" Target="externalLinks/externalLink12.xml"/><Relationship Id="rId39" Type="http://schemas.openxmlformats.org/officeDocument/2006/relationships/externalLink" Target="externalLinks/externalLink33.xml"/><Relationship Id="rId34" Type="http://schemas.openxmlformats.org/officeDocument/2006/relationships/externalLink" Target="externalLinks/externalLink28.xml"/><Relationship Id="rId50" Type="http://schemas.openxmlformats.org/officeDocument/2006/relationships/externalLink" Target="externalLinks/externalLink44.xml"/><Relationship Id="rId55" Type="http://schemas.openxmlformats.org/officeDocument/2006/relationships/externalLink" Target="externalLinks/externalLink49.xml"/><Relationship Id="rId7" Type="http://schemas.openxmlformats.org/officeDocument/2006/relationships/externalLink" Target="externalLinks/externalLink1.xml"/><Relationship Id="rId71" Type="http://schemas.openxmlformats.org/officeDocument/2006/relationships/externalLink" Target="externalLinks/externalLink65.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eigratia2-my.sharepoint.com/personal/newton_nbigroup_co_za/Documents/01%20SEDGE%20PRO/Workings/Estimation%20Module/CFR%20Materials%20Calculator.xlsx" TargetMode="External"/><Relationship Id="rId1" Type="http://schemas.openxmlformats.org/officeDocument/2006/relationships/externalLinkPath" Target="CFR%20Materials%20Calculator.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G:\VE\cost%20data%20by%20equipment%20id.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fileserver\Johannesburg\Work\Other\Auret\Central%20Park\Financial\Financial%20Reviews\WINDOWS\TEMP\WORK\EXCLWORK\Namibia\Estimates\namibia%20breweries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andice\all-jobs\JOBS\CL95-20\CERT\TAMA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Fileserver\johannesburg\JOBS\CL95-20\CERT\TAMA3.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llonnas2\shared_vm\Program%20Files\AspenTech\Aspen%20Icarus%202004.2\ic_cache\Reporter\Templates\ProjectTemplate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TT%20QS%20Cost%20Management\Projects\AMG\Estimate\WINDOWS\Temporary%20Internet%20Files\Content.IE5\RBC1M58H\Motorola\Feasibilities\feas(11,000m2-single%20tenant)%232.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Server\shared\Austin\Fast%20Forward\FF%20Bid%202.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ljhbbackup\johannesburg\Projects\2008\4454-J08-26%20Bayer%20Office%20Redevelopment\5%20%20%20P.%20POST%20CONTRACT\P.01%20Financial%20Reviews\BAYER%20MAIN%20BUILDING\COST%20REPORT%205\Financial%20Review%20No.%205.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edmslon.dluk.net/Documents%20and%20Settings/ph28477/Local%20Settings/Temporary%20Internet%20Files/OLK120/Documents%20and%20Settings/cl26924/Local%20Settings/Temporary%20Internet%20Files/OLKC7/Design%20Development%20(17%2003%2006).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TT%20QS%20Cost%20Management\Projects\AMG\Estimate\DOCUME~1\CDEVIL~1\LOCALS~1\Temp\notes6030C8\Innesfree%20_Feasibility%20August%205%202002.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H:\Documents%20and%20Settings\lerousam\My%20Documents\CBE%20-%20Tweefontein%20Pre-Feasibility\Escalation\XULW13%20Risk%20Model%20v3.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Layla-pc\Old%20PC%20D%20Drive\Program%20Files\Microsoft%20Office\Office\jobs\EST-41b.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dllonnas1\Shared_Green\Program%20Files\Microsoft%20Office\Office\jobs\EST-41b.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dllonnas1\Shared_Green\Program%20Files\Microsoft%20Office\Office\jobs\EST-41a.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Liverpool\March%20completion%20-%20version%20311204.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Fileserver\johannesburg\Archive\1727-CT03-37%20Two%20Oceans%20Beach\P.%20POST%20CONTRACT\P.2%20Valuations\P.2.2%20DLFL%20Valuation\Valuation%20no.%2015.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Server\aba_data\Justine%20Avon\Justine%20Avon\Feasibility-%20Justine%20Avon-jANET.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U:\Urban%20Communities\Project%20DIAMOND\Commerce\Archived%20Appraisals\Project%20Diamond%20Commecial%20Appraisal%20v2.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A:\Austin\Fredman%20Drive\Feasibility%20%2027%20Fredman.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Server\shared\Server%20(Austin)\Covers\Austin\Fast%20Forward\FF%20Bid%202.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Server\shared\Austin\Stand%2071%20Sunninghill\Fast%20Forward\FF%20Bid%202.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Server\shared\Server%20(Austin)\Austin%20Check%20Server\Heartland%20Properties\Phase%202\Cost%20Reports\Report%20Covers\Covers.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dllonnas1\Shared_Red\P-team%20projects\16437\Masterplan\08%20Construction%20Admin\01%20Financial%20reports\CR%20Nr%2012%20-%20July%202005\Temp\liverpool\shared\team_n\Jobs%2012501%20to%2015000\14340\04%20-%20Cost%20Reports,%20etc\Examples\PJC.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http://edmslon.dluk.net/Jobs%2027501%20to%2030000/29311/6%20Skanska%20Post%20Contract/Valuations/Valuation%20Nr%204/Prelim%20Valuation%20December'06.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http://edmslon.dluk.net/Documents%20and%20Settings/ph28477/Local%20Settings/Temporary%20Internet%20Files/OLK120/25lbs/Prelim%20summary%20-%2016th%20July%2007%20(2).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DLLONNAS1\Shared_Green\TEAM_GREEN\Academy%20Benchmarking\Benchmarking%20modified%2017.09.04.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S:\First%20Base%20Management\Finance\Accounts\Invoices\First%20Base%20Invoices%202005%20-%20LIVE.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edmslon.dluk.net/Documents%20and%20Settings/ph28477/Local%20Settings/Temporary%20Internet%20Files/OLK120/Documents%20and%20Settings/hanb967/Desktop/Focus%20N1-LincsFC%20(V1-3%20&amp;%20energy%20&amp;%20BT%20adj).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DLELONA\Shared_Green\shared\team_r\13939\01\AREAS.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edmslon.dluk.net\London\Documents%20and%20Settings\ch27599\Local%20Settings\Temporary%20Internet%20Files\OLK23\25%20LBS%20%20-%20%20Stage%20D%20Cost%20Plan%20(16%20July%202007)%20(2).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E:\Liverpool\Partnership%20capital.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H:\Xstrata%20Coal\Quantitative%20@risk%20course%20files%20November%202007\Example%20cost%202.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edmslon.dluk.net\London\Documents%20and%20Settings\dm26272\Local%20Settings\Temporary%20Internet%20Files\OLK5A\Cashflow.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J:\_Application%20files\_Work\Entities\Private\_Industrial\Alcoa\Wagerup%20expansion\March%202005%20Review\Wg3%20risk%20model\Wg3%20capital%20risk%20assessment%20V5.xls" TargetMode="External"/></Relationships>
</file>

<file path=xl/externalLinks/_rels/externalLink36.xml.rels><?xml version="1.0" encoding="UTF-8" standalone="yes"?>
<Relationships xmlns="http://schemas.openxmlformats.org/package/2006/relationships"><Relationship Id="rId1" Type="http://schemas.microsoft.com/office/2006/relationships/xlExternalLinkPath/xlPathMissing" Target="BOOK-4.XLW"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mslon.dluk.net\London\Documents%20and%20Settings\cb26120\Local%20Settings\Temporary%20Internet%20Files\OLK59\Temp\liverpool\P-team%20projects\16437\Masterplan\06%20Cost%20Control\02%20Cashflow\Inflation%20recast%20120504.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Nadia\c\WORK\Yolande\Algemeen\Rudi%20model%20fin%20rep.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http://edmslon.dluk.net/Documents%20and%20Settings/BarryJ/Desktop/EASEL%20CA%20Example.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dllonnas1\Shared_Green\shared\team_n\Jobs%2012501%20to%2015000\14340\04%20-%20Cost%20Reports,%20etc\Examples\PJC.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edmslon.dluk.net\London\Documents%20and%20Settings\eg27758\Local%20Settings\Temporary%20Internet%20Files\OLKFC\25%20LBS%20-%20Stage%20D%20Cost%20Plan%20market%20testing%20(16%20July%2007).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D:\PROJECTS\First%20Base%20-%20Stratford%20Salway%20Rd%20-%2000408\Excel\Newham%20-%20Salway%20Rd\keyworker%20A3.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ileserver\johannesburg\PROJECTS\First%20Base%20-%20Stratford%20Salway%20Rd%20-%2000408\Excel\Newham%20-%20Salway%20Rd\keyworker%20A3.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D:\DOCUME~1\bjessup\LOCALS~1\Temp\BLL%20Temp%20financial%20waterfall.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Rudi\work\Work-Rudi\RUDI-ALL\Uniwest\FIN_REP\FINREPs14srt12.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J:\Projects\Construction%20Costs\Escalation\Escalation%20Models\20080723%20Mangoola%20CP%20Escalation%20model,%20consolidated.xlsm"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Fileserver\johannesburg\Austin\Stand%2071%20Sunninghill\Lazarus\Cost%20Estimate.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Fileserver\johannesburg\DOCUME~1\bjessup\LOCALS~1\Temp\BLL%20Temp%20financial%20waterfall.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D:\TT%20QS%20Cost%20Management\Commissions\SA%2064%20001-Albwardy%20Investments%20Mixed%20Use%20Dev\600%20-%20Estimating%20and%20Cost%20Advice%20Stage\620%20-%20Viabilities\Rev%201\Viability%20Template%20for%20Albwardy%20Inv%20Rev1.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J:\Civil%20Estimating\N838%20Anvil%20Hill\N838%20BY\BY%20work%20copy%20-%20Capital%20Cost%20Estimate%20Rev%20M%20(WBS).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Sjk\c\JOBS\CL95-13\COST-REP\VIA25-11.XLS" TargetMode="External"/></Relationships>
</file>

<file path=xl/externalLinks/_rels/externalLink52.xml.rels><?xml version="1.0" encoding="UTF-8" standalone="yes"?>
<Relationships xmlns="http://schemas.openxmlformats.org/package/2006/relationships"><Relationship Id="rId1" Type="http://schemas.microsoft.com/office/2006/relationships/xlExternalLinkPath/xlPathMissing" Target="eval"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Davisdata\Data\2.%20Projects\2006\3505-CT06-50%20Gugulethu%20Square\3%20%20%20E.%20ESTIMATING%20&amp;%20COST%20ADVISE\E.1%20Estimates\Rev%2012\Gugulethu%20Square%20Rev%2012%20Viability.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A:\Austin\Fast%20Forward\FF%20Bid%202.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http://edmslon.dluk.net/Documents%20and%20Settings/rt26621/Desktop/level%204&amp;5%20resolution.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Davisdata\Data\Projects\2002\1331-CT02-188%20Sunningdale%20Lifestyle%20Centre\4%20POST%20CONTRACT%20ADMIN%20&amp;%20FA\P%2001%20Financial%20Reviews\FR05.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edmslon.dluk.net\London\Documents%20and%20Settings\eg27758\Local%20Settings\Temporary%20Internet%20Files\OLKFC\25%20LBS%20-%20Stage%20D%20Cost%20Plan%20July%202007%20(new%20template%20format).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http://edmslon.dluk.net/Documents%20and%20Settings/T&amp;TUser/Local%20Settings/Temp/C.Lotus.Notes.Data/R1_largs%20infrastructure_RM01.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http://edmslon.dluk.net/TEAM_GREEN/47097%20SRIF%20III%20Masterplan/05%20Design%20Development/01%20Feasibility/Project%201%20Bess%20Entrance%20&amp;%20Level%203/03%20Bessemer%20Link%20Levels%205%206.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H:\Documents%20and%20Settings\Paul\My%20Documents\HACKNEY-TWICKWENHAM\HACKNEY\STEFANUTTI%20&amp;%20BRESSAN\Certificates\Cert.%203,%20S%20&amp;%20B,%20Oct%20Rev%200%20(21%20Oct)%20xls.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H:\Documents%20and%20Settings\lerousam\My%20Documents\CBE%20-%20Tweefontein%20Feasibility\Escalation%20model\Xstrata%20Coal%20Capital%20Cost%20Escalation%20Model%20-%2024%20August%202010.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E:\TT%20QS%20Cost%20Management\Projects\King%20Shaka%20Airport%20Durban\Bills\King%20Shaka%20Elemental%20Cost%20Plan%20Rev01.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DLELONB\Shared\shared\team_n\Jobs%2010001%20to%2012500\11967\Excel%20Files\350.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DOCUME~1/dianer/LOCALS~1/Temp/notes6030C8/CAPITAL%20spreadsheet%20ref.1001154.xlsx" TargetMode="External"/></Relationships>
</file>

<file path=xl/externalLinks/_rels/externalLink65.xml.rels><?xml version="1.0" encoding="UTF-8" standalone="yes"?>
<Relationships xmlns="http://schemas.openxmlformats.org/package/2006/relationships"><Relationship Id="rId2" Type="http://schemas.openxmlformats.org/officeDocument/2006/relationships/externalLinkPath" Target="https://deigratia2-my.sharepoint.com/personal/newton_nbigroup_co_za/Documents/01%20SEDGE%20PRO/Workings/Estimation%20Module/concrete%20process%20flow%20final.xlsx" TargetMode="External"/><Relationship Id="rId1" Type="http://schemas.openxmlformats.org/officeDocument/2006/relationships/externalLinkPath" Target="concrete%20process%20flow%20fin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ettings_Master"/>
      <sheetName val="Baseline BoQ"/>
      <sheetName val="Materials Calculator"/>
      <sheetName val="Rates_Master"/>
      <sheetName val="Rates_Calculator "/>
    </sheetNames>
    <sheetDataSet>
      <sheetData sheetId="0" refreshError="1"/>
      <sheetData sheetId="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cost by section"/>
      <sheetName val="Equip tidied"/>
      <sheetName val="Equip"/>
      <sheetName val="BOQ"/>
      <sheetName val="Val breakdown"/>
    </sheetNames>
    <sheetDataSet>
      <sheetData sheetId="0" refreshError="1"/>
      <sheetData sheetId="1" refreshError="1"/>
      <sheetData sheetId="2" refreshError="1"/>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amp; Contents"/>
      <sheetName val="Fly Sheets"/>
      <sheetName val="Summary"/>
      <sheetName val="Executive Summary"/>
      <sheetName val="Summary Estimate"/>
      <sheetName val="Estimate Warehouse"/>
      <sheetName val="Estimate offices"/>
      <sheetName val="Estimate External Works"/>
      <sheetName val="Estimate Warehouse Ext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LIMIN"/>
      <sheetName val="S7 Superfoto"/>
      <sheetName val="S1-S2"/>
    </sheetNames>
    <sheetDataSet>
      <sheetData sheetId="0"/>
      <sheetData sheetId="1" refreshError="1"/>
      <sheetData sheetId="2"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LIMIN"/>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 Equipment"/>
      <sheetName val="List - Components"/>
      <sheetName val="Proj Cost Sumry"/>
      <sheetName val="TDC Key Qty Sumry"/>
      <sheetName val="TDC COA Sumry"/>
      <sheetName val="COA Sumry by Contr"/>
      <sheetName val="COA Sumry by RG"/>
      <sheetName val="COA Sumry by Area"/>
      <sheetName val="TDC COA Grp Sumry"/>
      <sheetName val="TDC Item Sumry"/>
      <sheetName val="TDC Item Dets"/>
      <sheetName val="TDC Item Dets-Full"/>
      <sheetName val="TDC Item Dets-IPM-Full"/>
      <sheetName val="Proj TIC - Std Imp"/>
      <sheetName val="Contr TDC - Std Imp"/>
      <sheetName val="COA Sumry - Std Imp"/>
      <sheetName val="Item Sumry - Std Imp"/>
      <sheetName val="Unit Costs - Std Imp"/>
      <sheetName val="Unit MH - Std Imp"/>
      <sheetName val="Project Metric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DS(1)"/>
      <sheetName val="PDS(2)"/>
      <sheetName val="PPR"/>
      <sheetName val="DEVSUMMARY"/>
      <sheetName val="FEAS(INPUT)"/>
      <sheetName val="ELEMENT"/>
      <sheetName val="FEAS(BUILD COST)"/>
      <sheetName val="FEAS(FEES &amp; INTEREST)"/>
      <sheetName val="FEAS(RENTAL CALC)"/>
      <sheetName val="EXEC SUMMARY"/>
      <sheetName val="DRAWDOWN"/>
      <sheetName val="PAYMENTS"/>
      <sheetName val="DIFFERENTIAL"/>
      <sheetName val="IRR"/>
      <sheetName val="OPS COST"/>
      <sheetName val="SIS"/>
      <sheetName val="GIS(Anchors &amp; Majors)"/>
      <sheetName val="GIS(Line Shops)"/>
      <sheetName val="GIS(Line Shops) (2)"/>
      <sheetName val="GIS(Line Shops) (3)"/>
      <sheetName val="GIS(Offices)"/>
      <sheetName val="GIS(Other)"/>
      <sheetName val="GIS(Storage&amp;Parking)"/>
      <sheetName val="SLSR"/>
      <sheetName val="LSR(Anchors&amp;Majors)"/>
      <sheetName val="LSR(Line Shops)"/>
      <sheetName val="LSR(Line Shops) (2)"/>
      <sheetName val="LSR(Line Shops) (3)"/>
      <sheetName val="LSR(Offices)"/>
      <sheetName val="LSR(Other)"/>
      <sheetName val="LSR(Storage&amp;Park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COVER  (3)"/>
      <sheetName val=" COVER  (2)"/>
      <sheetName val=" COVER "/>
      <sheetName val="Sheet3"/>
      <sheetName val="Flysheet fIN hIGH"/>
      <sheetName val="Flysheet Gen"/>
      <sheetName val="Flysheet Bldg Costs"/>
      <sheetName val="Flysheet Areas"/>
      <sheetName val="Flysheet Workings"/>
      <sheetName val="Flysheet Annexures"/>
      <sheetName val="INDEX "/>
      <sheetName val="COST SUMMARY"/>
      <sheetName val="RETURNS - TRIALS"/>
      <sheetName val="graphs"/>
      <sheetName val="Sens Analy - What-If"/>
      <sheetName val="CASFLOW"/>
      <sheetName val="AREAS"/>
      <sheetName val="ELEM SUMMARY (2)"/>
      <sheetName val="BUILDING COST"/>
      <sheetName val="IRR &amp; NPV"/>
      <sheetName val="WORKINGS"/>
      <sheetName val="Sheet4"/>
      <sheetName val="Graph Back Up"/>
      <sheetName val="GENERAL "/>
      <sheetName val="AREAS (2)"/>
      <sheetName val="Sens Analy - What-If (2)"/>
      <sheetName val="cASH fLOW @ 18%"/>
      <sheetName val="Cash Flow @ 22%"/>
      <sheetName val="Sheet1"/>
      <sheetName val="AB Oct Analysis"/>
      <sheetName val="Back Up 3 Graphs"/>
      <sheetName val="Chart1"/>
      <sheetName val="Chart2"/>
      <sheetName val="Chart3"/>
      <sheetName val="Sheet2"/>
      <sheetName val="IRR &amp; NPV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row r="1">
          <cell r="A1" t="str">
            <v xml:space="preserve">  NEW OFFICES AND WAREHOUSE FOR FAST FORWARD</v>
          </cell>
          <cell r="G1">
            <v>36311</v>
          </cell>
        </row>
        <row r="3">
          <cell r="A3" t="str">
            <v xml:space="preserve">  PRELIMINARY ESTIMATE No 1</v>
          </cell>
        </row>
        <row r="5">
          <cell r="A5" t="str">
            <v xml:space="preserve">  AREA SCHEDULE</v>
          </cell>
        </row>
        <row r="7">
          <cell r="E7" t="str">
            <v>GROSS BUILDING</v>
          </cell>
          <cell r="G7" t="str">
            <v>LETTABLE AREA</v>
          </cell>
        </row>
        <row r="8">
          <cell r="E8" t="str">
            <v>AREA</v>
          </cell>
        </row>
        <row r="10">
          <cell r="E10" t="str">
            <v xml:space="preserve">         AREA  ( m2 )</v>
          </cell>
          <cell r="G10" t="str">
            <v xml:space="preserve">         AREA  ( m2 )</v>
          </cell>
        </row>
        <row r="11">
          <cell r="A11" t="str">
            <v xml:space="preserve">  OFFICES AND ABLUTIONS</v>
          </cell>
        </row>
        <row r="13">
          <cell r="B13" t="str">
            <v>GROUND FLOOR - OFFICE BLOCK</v>
          </cell>
          <cell r="E13">
            <v>610</v>
          </cell>
          <cell r="G13">
            <v>610</v>
          </cell>
        </row>
        <row r="14">
          <cell r="B14" t="str">
            <v>FIRST FLOOR - OFFICE BLOCK</v>
          </cell>
          <cell r="E14">
            <v>610</v>
          </cell>
          <cell r="G14">
            <v>610</v>
          </cell>
        </row>
        <row r="15">
          <cell r="B15" t="str">
            <v>GROUND FLOOR - WITHIN WAREHOUSE</v>
          </cell>
          <cell r="E15">
            <v>245</v>
          </cell>
          <cell r="G15">
            <v>0</v>
          </cell>
        </row>
        <row r="16">
          <cell r="B16" t="str">
            <v>FIRST FLOOR - WITHIN WAREHOUSE</v>
          </cell>
          <cell r="E16">
            <v>216</v>
          </cell>
          <cell r="G16">
            <v>0</v>
          </cell>
        </row>
        <row r="17">
          <cell r="B17" t="str">
            <v>ABLUTIONS AND CANTEEN</v>
          </cell>
          <cell r="E17">
            <v>512</v>
          </cell>
          <cell r="F17">
            <v>2193</v>
          </cell>
          <cell r="G17">
            <v>512</v>
          </cell>
          <cell r="H17">
            <v>1732</v>
          </cell>
        </row>
        <row r="20">
          <cell r="A20" t="str">
            <v xml:space="preserve">  NEW WAREHOUSE</v>
          </cell>
        </row>
        <row r="22">
          <cell r="B22" t="str">
            <v xml:space="preserve">WAREHOUSE </v>
          </cell>
          <cell r="E22">
            <v>9240</v>
          </cell>
          <cell r="G22">
            <v>9240</v>
          </cell>
        </row>
        <row r="23">
          <cell r="B23" t="str">
            <v xml:space="preserve">MEZZANINE </v>
          </cell>
          <cell r="E23">
            <v>0</v>
          </cell>
          <cell r="F23">
            <v>9240</v>
          </cell>
          <cell r="G23">
            <v>0</v>
          </cell>
          <cell r="H23">
            <v>9240</v>
          </cell>
        </row>
        <row r="26">
          <cell r="B26" t="str">
            <v>TOTALS</v>
          </cell>
          <cell r="E26" t="str">
            <v>m2</v>
          </cell>
          <cell r="F26">
            <v>11433</v>
          </cell>
          <cell r="G26" t="str">
            <v>m2</v>
          </cell>
          <cell r="H26">
            <v>10972</v>
          </cell>
        </row>
        <row r="29">
          <cell r="B29" t="str">
            <v>TOTAL PARKING AVAILABLE</v>
          </cell>
        </row>
        <row r="31">
          <cell r="B31" t="str">
            <v>OPEN PARKING EXTERNALLY</v>
          </cell>
        </row>
        <row r="32">
          <cell r="B32" t="str">
            <v>COVERED PARKING EXTERNALLY</v>
          </cell>
          <cell r="E32">
            <v>0</v>
          </cell>
          <cell r="F32" t="str">
            <v>Bays</v>
          </cell>
        </row>
        <row r="33">
          <cell r="E33">
            <v>0</v>
          </cell>
          <cell r="F33" t="str">
            <v>Bays</v>
          </cell>
        </row>
      </sheetData>
      <sheetData sheetId="17"/>
      <sheetData sheetId="18"/>
      <sheetData sheetId="19"/>
      <sheetData sheetId="20" refreshError="1">
        <row r="1">
          <cell r="A1" t="str">
            <v xml:space="preserve">  NEW OFFICES AND WAREHOUSE FOR FAST FORWARD</v>
          </cell>
          <cell r="L1" t="str">
            <v>31 May 1999</v>
          </cell>
        </row>
        <row r="3">
          <cell r="A3" t="str">
            <v xml:space="preserve">  PRELIMINARY ESTIMATE No 1</v>
          </cell>
        </row>
      </sheetData>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PROF TEAM"/>
      <sheetName val="SYNOPSIS"/>
      <sheetName val="EXECUTIVE SUMMARY"/>
      <sheetName val="MAIN SUMMARY"/>
      <sheetName val="SUPPLEMENTARY SHEETS"/>
      <sheetName val="Var. Pending Authoris"/>
      <sheetName val="Certificates Schedule"/>
      <sheetName val="FLYSHEET"/>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Development"/>
      <sheetName val="2-Cash Flow"/>
    </sheetNames>
    <sheetDataSet>
      <sheetData sheetId="0" refreshError="1"/>
      <sheetData sheetId="1"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LY SHEETS"/>
      <sheetName val="Type A"/>
      <sheetName val="Conference"/>
      <sheetName val="FF&amp;E (3 &amp;4)"/>
      <sheetName val="FF&amp;E (1&amp;2)"/>
      <sheetName val="Siteworks (3&amp;4)"/>
      <sheetName val="Siteworks (1&amp;2)"/>
      <sheetName val="Assumptions"/>
      <sheetName val="Gen Costs (3&amp;4)"/>
      <sheetName val="Gen Costs (1&amp;2)"/>
      <sheetName val="Cap Outlay 124 Rooms(A&amp;B)"/>
      <sheetName val="Cap Outlay 93 Rooms"/>
      <sheetName val="Income&amp;Exp 124rms"/>
      <sheetName val="Cash Flow124rms"/>
      <sheetName val="IRR"/>
      <sheetName val="EXECUTIVE SUM 124rm(A)"/>
      <sheetName val="Income&amp;Exp 124 rooms(B)"/>
      <sheetName val="Cash Flow 124 rooms(B)"/>
      <sheetName val="EXECUTIVE SUM124 Rooms (B)"/>
      <sheetName val="Income&amp;Exp 93 rooms (A)"/>
      <sheetName val="Cash Flow 93 rooms (A)"/>
      <sheetName val="EXECUTIVE SUMMARY 93 rooms (A)"/>
      <sheetName val="Income&amp;Exp 93 rooms(B)"/>
      <sheetName val="Cash Flow 93 rooms(B)"/>
      <sheetName val="EXECUTIVE SUMMARY 93 rooms  (B)"/>
      <sheetName val="Admin"/>
      <sheetName val="Opening Cash Position"/>
      <sheetName val="SUPPLEMENTARY SHEE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Xeras Data Export"/>
      <sheetName val="Estimate Summary"/>
      <sheetName val="Model"/>
      <sheetName val="Variations"/>
      <sheetName val="Parameters"/>
      <sheetName val="Summary"/>
      <sheetName val="New Base - 4500tph + SC"/>
      <sheetName val="Old Base - 3500tph + SC"/>
      <sheetName val="Lean_Old"/>
      <sheetName val="Correlation"/>
      <sheetName val="Tornado"/>
    </sheetNames>
    <sheetDataSet>
      <sheetData sheetId="0"/>
      <sheetData sheetId="1"/>
      <sheetData sheetId="2"/>
      <sheetData sheetId="3"/>
      <sheetData sheetId="4">
        <row r="3">
          <cell r="E3">
            <v>1.0728896194615301</v>
          </cell>
        </row>
        <row r="4">
          <cell r="E4">
            <v>1.0302331106926701</v>
          </cell>
        </row>
        <row r="5">
          <cell r="E5">
            <v>1.0585967482352638</v>
          </cell>
        </row>
        <row r="7">
          <cell r="E7">
            <v>1.05</v>
          </cell>
        </row>
        <row r="8">
          <cell r="E8">
            <v>1</v>
          </cell>
        </row>
        <row r="9">
          <cell r="E9">
            <v>1.0215122598030424</v>
          </cell>
        </row>
        <row r="10">
          <cell r="E10">
            <v>1.0215122598030424</v>
          </cell>
        </row>
        <row r="11">
          <cell r="E11">
            <v>1.0487491708799539</v>
          </cell>
        </row>
        <row r="12">
          <cell r="E12">
            <v>1.0784877401969577</v>
          </cell>
        </row>
        <row r="13">
          <cell r="E13">
            <v>1.0231237563199307</v>
          </cell>
        </row>
        <row r="15">
          <cell r="E15">
            <v>1.05</v>
          </cell>
        </row>
        <row r="16">
          <cell r="E16">
            <v>1</v>
          </cell>
        </row>
        <row r="17">
          <cell r="E17">
            <v>1.0215122598030424</v>
          </cell>
        </row>
        <row r="18">
          <cell r="E18">
            <v>1.0215122598030424</v>
          </cell>
        </row>
        <row r="19">
          <cell r="E19">
            <v>1</v>
          </cell>
        </row>
        <row r="20">
          <cell r="E20">
            <v>1</v>
          </cell>
        </row>
        <row r="21">
          <cell r="E21">
            <v>1.25</v>
          </cell>
        </row>
        <row r="22">
          <cell r="E22">
            <v>1</v>
          </cell>
        </row>
        <row r="23">
          <cell r="E23">
            <v>1</v>
          </cell>
        </row>
        <row r="25">
          <cell r="E25">
            <v>1.0487491708799539</v>
          </cell>
        </row>
        <row r="26">
          <cell r="E26">
            <v>1.05</v>
          </cell>
        </row>
        <row r="27">
          <cell r="E27">
            <v>1.1068492155802017</v>
          </cell>
        </row>
        <row r="28">
          <cell r="E28">
            <v>1.0231237563199307</v>
          </cell>
        </row>
        <row r="29">
          <cell r="E29">
            <v>0.98859674823526378</v>
          </cell>
        </row>
        <row r="30">
          <cell r="E30">
            <v>1.0302331106926701</v>
          </cell>
        </row>
        <row r="31">
          <cell r="E31">
            <v>1.0284877401969577</v>
          </cell>
        </row>
        <row r="33">
          <cell r="E33">
            <v>1.267252465774781</v>
          </cell>
        </row>
        <row r="34">
          <cell r="E34">
            <v>1</v>
          </cell>
        </row>
        <row r="35">
          <cell r="E35">
            <v>1</v>
          </cell>
        </row>
      </sheetData>
      <sheetData sheetId="5">
        <row r="2">
          <cell r="C2">
            <v>0.1</v>
          </cell>
        </row>
        <row r="3">
          <cell r="C3">
            <v>0.9</v>
          </cell>
        </row>
        <row r="11">
          <cell r="B11" t="str">
            <v>Yes</v>
          </cell>
        </row>
        <row r="14">
          <cell r="B14">
            <v>1</v>
          </cell>
        </row>
      </sheetData>
      <sheetData sheetId="6"/>
      <sheetData sheetId="7"/>
      <sheetData sheetId="8"/>
      <sheetData sheetId="9"/>
      <sheetData sheetId="10">
        <row r="3">
          <cell r="B3">
            <v>1</v>
          </cell>
        </row>
        <row r="4">
          <cell r="B4">
            <v>1</v>
          </cell>
          <cell r="C4">
            <v>1</v>
          </cell>
        </row>
        <row r="5">
          <cell r="B5">
            <v>1</v>
          </cell>
          <cell r="C5">
            <v>1</v>
          </cell>
          <cell r="D5">
            <v>1</v>
          </cell>
        </row>
        <row r="6">
          <cell r="B6">
            <v>1</v>
          </cell>
          <cell r="C6">
            <v>1</v>
          </cell>
          <cell r="D6">
            <v>1</v>
          </cell>
          <cell r="E6">
            <v>1</v>
          </cell>
        </row>
        <row r="7">
          <cell r="B7">
            <v>1</v>
          </cell>
          <cell r="C7">
            <v>1</v>
          </cell>
          <cell r="D7">
            <v>1</v>
          </cell>
          <cell r="E7">
            <v>1</v>
          </cell>
          <cell r="F7">
            <v>1</v>
          </cell>
        </row>
        <row r="8">
          <cell r="B8">
            <v>1</v>
          </cell>
          <cell r="C8">
            <v>1</v>
          </cell>
          <cell r="D8">
            <v>1</v>
          </cell>
          <cell r="E8">
            <v>1</v>
          </cell>
          <cell r="F8">
            <v>1</v>
          </cell>
          <cell r="G8">
            <v>1</v>
          </cell>
        </row>
        <row r="9">
          <cell r="B9">
            <v>1</v>
          </cell>
          <cell r="C9">
            <v>1</v>
          </cell>
          <cell r="D9">
            <v>1</v>
          </cell>
          <cell r="E9">
            <v>1</v>
          </cell>
          <cell r="F9">
            <v>1</v>
          </cell>
          <cell r="G9">
            <v>1</v>
          </cell>
          <cell r="H9">
            <v>1</v>
          </cell>
        </row>
        <row r="10">
          <cell r="B10">
            <v>1</v>
          </cell>
          <cell r="C10">
            <v>1</v>
          </cell>
          <cell r="D10">
            <v>1</v>
          </cell>
          <cell r="E10">
            <v>1</v>
          </cell>
          <cell r="F10">
            <v>1</v>
          </cell>
          <cell r="G10">
            <v>1</v>
          </cell>
          <cell r="H10">
            <v>1</v>
          </cell>
          <cell r="I10">
            <v>1</v>
          </cell>
        </row>
        <row r="11">
          <cell r="B11">
            <v>1</v>
          </cell>
          <cell r="C11">
            <v>1</v>
          </cell>
          <cell r="D11">
            <v>1</v>
          </cell>
          <cell r="E11">
            <v>1</v>
          </cell>
          <cell r="F11">
            <v>1</v>
          </cell>
          <cell r="G11">
            <v>1</v>
          </cell>
          <cell r="H11">
            <v>1</v>
          </cell>
          <cell r="I11">
            <v>1</v>
          </cell>
          <cell r="J11">
            <v>1</v>
          </cell>
        </row>
        <row r="12">
          <cell r="B12">
            <v>1</v>
          </cell>
          <cell r="C12">
            <v>1</v>
          </cell>
          <cell r="D12">
            <v>1</v>
          </cell>
          <cell r="E12">
            <v>1</v>
          </cell>
          <cell r="F12">
            <v>1</v>
          </cell>
          <cell r="G12">
            <v>1</v>
          </cell>
          <cell r="H12">
            <v>1</v>
          </cell>
          <cell r="I12">
            <v>1</v>
          </cell>
          <cell r="J12">
            <v>1</v>
          </cell>
          <cell r="K12">
            <v>1</v>
          </cell>
        </row>
        <row r="13">
          <cell r="B13">
            <v>1</v>
          </cell>
          <cell r="C13">
            <v>1</v>
          </cell>
          <cell r="D13">
            <v>1</v>
          </cell>
          <cell r="E13">
            <v>1</v>
          </cell>
          <cell r="F13">
            <v>1</v>
          </cell>
          <cell r="G13">
            <v>1</v>
          </cell>
          <cell r="H13">
            <v>1</v>
          </cell>
          <cell r="I13">
            <v>1</v>
          </cell>
          <cell r="J13">
            <v>1</v>
          </cell>
          <cell r="K13">
            <v>1</v>
          </cell>
          <cell r="L13">
            <v>1</v>
          </cell>
        </row>
        <row r="14">
          <cell r="B14">
            <v>1</v>
          </cell>
          <cell r="C14">
            <v>1</v>
          </cell>
          <cell r="D14">
            <v>1</v>
          </cell>
          <cell r="E14">
            <v>1</v>
          </cell>
          <cell r="F14">
            <v>1</v>
          </cell>
          <cell r="G14">
            <v>1</v>
          </cell>
          <cell r="H14">
            <v>1</v>
          </cell>
          <cell r="I14">
            <v>1</v>
          </cell>
          <cell r="J14">
            <v>1</v>
          </cell>
          <cell r="K14">
            <v>1</v>
          </cell>
          <cell r="L14">
            <v>1</v>
          </cell>
          <cell r="M14">
            <v>1</v>
          </cell>
        </row>
        <row r="15">
          <cell r="B15">
            <v>1</v>
          </cell>
          <cell r="C15">
            <v>1</v>
          </cell>
          <cell r="D15">
            <v>1</v>
          </cell>
          <cell r="E15">
            <v>1</v>
          </cell>
          <cell r="F15">
            <v>1</v>
          </cell>
          <cell r="G15">
            <v>1</v>
          </cell>
          <cell r="H15">
            <v>1</v>
          </cell>
          <cell r="I15">
            <v>1</v>
          </cell>
          <cell r="J15">
            <v>1</v>
          </cell>
          <cell r="K15">
            <v>1</v>
          </cell>
          <cell r="L15">
            <v>1</v>
          </cell>
          <cell r="M15">
            <v>1</v>
          </cell>
          <cell r="N15">
            <v>1</v>
          </cell>
        </row>
        <row r="16">
          <cell r="B16">
            <v>1</v>
          </cell>
          <cell r="C16">
            <v>1</v>
          </cell>
          <cell r="D16">
            <v>1</v>
          </cell>
          <cell r="E16">
            <v>1</v>
          </cell>
          <cell r="F16">
            <v>1</v>
          </cell>
          <cell r="G16">
            <v>1</v>
          </cell>
          <cell r="H16">
            <v>1</v>
          </cell>
          <cell r="I16">
            <v>1</v>
          </cell>
          <cell r="J16">
            <v>1</v>
          </cell>
          <cell r="K16">
            <v>1</v>
          </cell>
          <cell r="L16">
            <v>1</v>
          </cell>
          <cell r="M16">
            <v>1</v>
          </cell>
          <cell r="N16">
            <v>1</v>
          </cell>
          <cell r="O16">
            <v>1</v>
          </cell>
        </row>
        <row r="17">
          <cell r="B17">
            <v>1</v>
          </cell>
          <cell r="C17">
            <v>1</v>
          </cell>
          <cell r="D17">
            <v>1</v>
          </cell>
          <cell r="E17">
            <v>1</v>
          </cell>
          <cell r="F17">
            <v>1</v>
          </cell>
          <cell r="G17">
            <v>1</v>
          </cell>
          <cell r="H17">
            <v>1</v>
          </cell>
          <cell r="I17">
            <v>1</v>
          </cell>
          <cell r="J17">
            <v>1</v>
          </cell>
          <cell r="K17">
            <v>1</v>
          </cell>
          <cell r="L17">
            <v>1</v>
          </cell>
          <cell r="M17">
            <v>1</v>
          </cell>
          <cell r="N17">
            <v>1</v>
          </cell>
          <cell r="O17">
            <v>1</v>
          </cell>
          <cell r="P17">
            <v>1</v>
          </cell>
        </row>
        <row r="18">
          <cell r="B18">
            <v>1</v>
          </cell>
          <cell r="C18">
            <v>1</v>
          </cell>
          <cell r="D18">
            <v>1</v>
          </cell>
          <cell r="E18">
            <v>1</v>
          </cell>
          <cell r="F18">
            <v>1</v>
          </cell>
          <cell r="G18">
            <v>1</v>
          </cell>
          <cell r="H18">
            <v>1</v>
          </cell>
          <cell r="I18">
            <v>1</v>
          </cell>
          <cell r="J18">
            <v>1</v>
          </cell>
          <cell r="K18">
            <v>1</v>
          </cell>
          <cell r="L18">
            <v>1</v>
          </cell>
          <cell r="M18">
            <v>1</v>
          </cell>
          <cell r="N18">
            <v>1</v>
          </cell>
          <cell r="O18">
            <v>1</v>
          </cell>
          <cell r="P18">
            <v>1</v>
          </cell>
          <cell r="Q18">
            <v>1</v>
          </cell>
        </row>
        <row r="19">
          <cell r="B19">
            <v>1</v>
          </cell>
          <cell r="C19">
            <v>1</v>
          </cell>
          <cell r="D19">
            <v>1</v>
          </cell>
          <cell r="E19">
            <v>1</v>
          </cell>
          <cell r="F19">
            <v>1</v>
          </cell>
          <cell r="G19">
            <v>1</v>
          </cell>
          <cell r="H19">
            <v>1</v>
          </cell>
          <cell r="I19">
            <v>1</v>
          </cell>
          <cell r="J19">
            <v>1</v>
          </cell>
          <cell r="K19">
            <v>1</v>
          </cell>
          <cell r="L19">
            <v>1</v>
          </cell>
          <cell r="M19">
            <v>1</v>
          </cell>
          <cell r="N19">
            <v>1</v>
          </cell>
          <cell r="O19">
            <v>1</v>
          </cell>
          <cell r="P19">
            <v>1</v>
          </cell>
          <cell r="Q19">
            <v>1</v>
          </cell>
          <cell r="R19">
            <v>1</v>
          </cell>
        </row>
        <row r="20">
          <cell r="B20">
            <v>1</v>
          </cell>
          <cell r="C20">
            <v>1</v>
          </cell>
          <cell r="D20">
            <v>1</v>
          </cell>
          <cell r="E20">
            <v>1</v>
          </cell>
          <cell r="F20">
            <v>1</v>
          </cell>
          <cell r="G20">
            <v>1</v>
          </cell>
          <cell r="H20">
            <v>1</v>
          </cell>
          <cell r="I20">
            <v>1</v>
          </cell>
          <cell r="J20">
            <v>1</v>
          </cell>
          <cell r="K20">
            <v>1</v>
          </cell>
          <cell r="L20">
            <v>1</v>
          </cell>
          <cell r="M20">
            <v>1</v>
          </cell>
          <cell r="N20">
            <v>1</v>
          </cell>
          <cell r="O20">
            <v>1</v>
          </cell>
          <cell r="P20">
            <v>1</v>
          </cell>
          <cell r="Q20">
            <v>1</v>
          </cell>
          <cell r="R20">
            <v>1</v>
          </cell>
          <cell r="S20">
            <v>1</v>
          </cell>
        </row>
        <row r="21">
          <cell r="B21">
            <v>1</v>
          </cell>
          <cell r="C21">
            <v>1</v>
          </cell>
          <cell r="D21">
            <v>1</v>
          </cell>
          <cell r="E21">
            <v>1</v>
          </cell>
          <cell r="F21">
            <v>1</v>
          </cell>
          <cell r="G21">
            <v>1</v>
          </cell>
          <cell r="H21">
            <v>1</v>
          </cell>
          <cell r="I21">
            <v>1</v>
          </cell>
          <cell r="J21">
            <v>1</v>
          </cell>
          <cell r="K21">
            <v>1</v>
          </cell>
          <cell r="L21">
            <v>1</v>
          </cell>
          <cell r="M21">
            <v>1</v>
          </cell>
          <cell r="N21">
            <v>1</v>
          </cell>
          <cell r="O21">
            <v>1</v>
          </cell>
          <cell r="P21">
            <v>1</v>
          </cell>
          <cell r="Q21">
            <v>1</v>
          </cell>
          <cell r="R21">
            <v>1</v>
          </cell>
          <cell r="S21">
            <v>1</v>
          </cell>
          <cell r="T21">
            <v>1</v>
          </cell>
        </row>
        <row r="22">
          <cell r="B22">
            <v>1</v>
          </cell>
          <cell r="C22">
            <v>1</v>
          </cell>
          <cell r="D22">
            <v>1</v>
          </cell>
          <cell r="E22">
            <v>1</v>
          </cell>
          <cell r="F22">
            <v>1</v>
          </cell>
          <cell r="G22">
            <v>1</v>
          </cell>
          <cell r="H22">
            <v>1</v>
          </cell>
          <cell r="I22">
            <v>1</v>
          </cell>
          <cell r="J22">
            <v>1</v>
          </cell>
          <cell r="K22">
            <v>1</v>
          </cell>
          <cell r="L22">
            <v>1</v>
          </cell>
          <cell r="M22">
            <v>1</v>
          </cell>
          <cell r="N22">
            <v>1</v>
          </cell>
          <cell r="O22">
            <v>1</v>
          </cell>
          <cell r="P22">
            <v>1</v>
          </cell>
          <cell r="Q22">
            <v>1</v>
          </cell>
          <cell r="R22">
            <v>1</v>
          </cell>
          <cell r="S22">
            <v>1</v>
          </cell>
          <cell r="T22">
            <v>1</v>
          </cell>
          <cell r="U22">
            <v>1</v>
          </cell>
        </row>
        <row r="23">
          <cell r="B23">
            <v>1</v>
          </cell>
          <cell r="C23">
            <v>1</v>
          </cell>
          <cell r="D23">
            <v>1</v>
          </cell>
          <cell r="E23">
            <v>1</v>
          </cell>
          <cell r="F23">
            <v>1</v>
          </cell>
          <cell r="G23">
            <v>1</v>
          </cell>
          <cell r="H23">
            <v>1</v>
          </cell>
          <cell r="I23">
            <v>1</v>
          </cell>
          <cell r="J23">
            <v>1</v>
          </cell>
          <cell r="K23">
            <v>1</v>
          </cell>
          <cell r="L23">
            <v>1</v>
          </cell>
          <cell r="M23">
            <v>1</v>
          </cell>
          <cell r="N23">
            <v>1</v>
          </cell>
          <cell r="O23">
            <v>1</v>
          </cell>
          <cell r="P23">
            <v>1</v>
          </cell>
          <cell r="Q23">
            <v>1</v>
          </cell>
          <cell r="R23">
            <v>1</v>
          </cell>
          <cell r="S23">
            <v>1</v>
          </cell>
          <cell r="T23">
            <v>1</v>
          </cell>
          <cell r="U23">
            <v>1</v>
          </cell>
          <cell r="V23">
            <v>1</v>
          </cell>
        </row>
        <row r="24">
          <cell r="B24">
            <v>1</v>
          </cell>
          <cell r="C24">
            <v>1</v>
          </cell>
          <cell r="D24">
            <v>1</v>
          </cell>
          <cell r="E24">
            <v>1</v>
          </cell>
          <cell r="F24">
            <v>1</v>
          </cell>
          <cell r="G24">
            <v>1</v>
          </cell>
          <cell r="H24">
            <v>1</v>
          </cell>
          <cell r="I24">
            <v>1</v>
          </cell>
          <cell r="J24">
            <v>1</v>
          </cell>
          <cell r="K24">
            <v>1</v>
          </cell>
          <cell r="L24">
            <v>1</v>
          </cell>
          <cell r="M24">
            <v>1</v>
          </cell>
          <cell r="N24">
            <v>1</v>
          </cell>
          <cell r="O24">
            <v>1</v>
          </cell>
          <cell r="P24">
            <v>1</v>
          </cell>
          <cell r="Q24">
            <v>1</v>
          </cell>
          <cell r="R24">
            <v>1</v>
          </cell>
          <cell r="S24">
            <v>1</v>
          </cell>
          <cell r="T24">
            <v>1</v>
          </cell>
          <cell r="U24">
            <v>1</v>
          </cell>
          <cell r="V24">
            <v>1</v>
          </cell>
          <cell r="W24">
            <v>1</v>
          </cell>
        </row>
        <row r="25">
          <cell r="B25">
            <v>1</v>
          </cell>
          <cell r="C25">
            <v>1</v>
          </cell>
          <cell r="D25">
            <v>1</v>
          </cell>
          <cell r="E25">
            <v>1</v>
          </cell>
          <cell r="F25">
            <v>1</v>
          </cell>
          <cell r="G25">
            <v>1</v>
          </cell>
          <cell r="H25">
            <v>1</v>
          </cell>
          <cell r="I25">
            <v>1</v>
          </cell>
          <cell r="J25">
            <v>1</v>
          </cell>
          <cell r="K25">
            <v>1</v>
          </cell>
          <cell r="L25">
            <v>1</v>
          </cell>
          <cell r="M25">
            <v>1</v>
          </cell>
          <cell r="N25">
            <v>1</v>
          </cell>
          <cell r="O25">
            <v>1</v>
          </cell>
          <cell r="P25">
            <v>1</v>
          </cell>
          <cell r="Q25">
            <v>1</v>
          </cell>
          <cell r="R25">
            <v>1</v>
          </cell>
          <cell r="S25">
            <v>1</v>
          </cell>
          <cell r="T25">
            <v>1</v>
          </cell>
          <cell r="U25">
            <v>1</v>
          </cell>
          <cell r="V25">
            <v>1</v>
          </cell>
          <cell r="W25">
            <v>1</v>
          </cell>
          <cell r="X25">
            <v>1</v>
          </cell>
        </row>
        <row r="26">
          <cell r="B26">
            <v>1</v>
          </cell>
          <cell r="C26">
            <v>1</v>
          </cell>
          <cell r="D26">
            <v>1</v>
          </cell>
          <cell r="E26">
            <v>1</v>
          </cell>
          <cell r="F26">
            <v>1</v>
          </cell>
          <cell r="G26">
            <v>1</v>
          </cell>
          <cell r="H26">
            <v>1</v>
          </cell>
          <cell r="I26">
            <v>1</v>
          </cell>
          <cell r="J26">
            <v>1</v>
          </cell>
          <cell r="K26">
            <v>1</v>
          </cell>
          <cell r="L26">
            <v>1</v>
          </cell>
          <cell r="M26">
            <v>1</v>
          </cell>
          <cell r="N26">
            <v>1</v>
          </cell>
          <cell r="O26">
            <v>1</v>
          </cell>
          <cell r="P26">
            <v>1</v>
          </cell>
          <cell r="Q26">
            <v>1</v>
          </cell>
          <cell r="R26">
            <v>1</v>
          </cell>
          <cell r="S26">
            <v>1</v>
          </cell>
          <cell r="T26">
            <v>1</v>
          </cell>
          <cell r="U26">
            <v>1</v>
          </cell>
          <cell r="V26">
            <v>1</v>
          </cell>
          <cell r="W26">
            <v>1</v>
          </cell>
          <cell r="X26">
            <v>1</v>
          </cell>
          <cell r="Y26">
            <v>1</v>
          </cell>
        </row>
        <row r="27">
          <cell r="B27">
            <v>1</v>
          </cell>
          <cell r="C27">
            <v>1</v>
          </cell>
          <cell r="D27">
            <v>1</v>
          </cell>
          <cell r="E27">
            <v>1</v>
          </cell>
          <cell r="F27">
            <v>1</v>
          </cell>
          <cell r="G27">
            <v>1</v>
          </cell>
          <cell r="H27">
            <v>1</v>
          </cell>
          <cell r="I27">
            <v>1</v>
          </cell>
          <cell r="J27">
            <v>1</v>
          </cell>
          <cell r="K27">
            <v>1</v>
          </cell>
          <cell r="L27">
            <v>1</v>
          </cell>
          <cell r="M27">
            <v>1</v>
          </cell>
          <cell r="N27">
            <v>1</v>
          </cell>
          <cell r="O27">
            <v>1</v>
          </cell>
          <cell r="P27">
            <v>1</v>
          </cell>
          <cell r="Q27">
            <v>1</v>
          </cell>
          <cell r="R27">
            <v>1</v>
          </cell>
          <cell r="S27">
            <v>1</v>
          </cell>
          <cell r="T27">
            <v>1</v>
          </cell>
          <cell r="U27">
            <v>1</v>
          </cell>
          <cell r="V27">
            <v>1</v>
          </cell>
          <cell r="W27">
            <v>1</v>
          </cell>
          <cell r="X27">
            <v>1</v>
          </cell>
          <cell r="Y27">
            <v>1</v>
          </cell>
          <cell r="Z27">
            <v>1</v>
          </cell>
        </row>
        <row r="28">
          <cell r="B28">
            <v>1</v>
          </cell>
          <cell r="C28">
            <v>1</v>
          </cell>
          <cell r="D28">
            <v>1</v>
          </cell>
          <cell r="E28">
            <v>1</v>
          </cell>
          <cell r="F28">
            <v>1</v>
          </cell>
          <cell r="G28">
            <v>1</v>
          </cell>
          <cell r="H28">
            <v>1</v>
          </cell>
          <cell r="I28">
            <v>1</v>
          </cell>
          <cell r="J28">
            <v>1</v>
          </cell>
          <cell r="K28">
            <v>1</v>
          </cell>
          <cell r="L28">
            <v>1</v>
          </cell>
          <cell r="M28">
            <v>1</v>
          </cell>
          <cell r="N28">
            <v>1</v>
          </cell>
          <cell r="O28">
            <v>1</v>
          </cell>
          <cell r="P28">
            <v>1</v>
          </cell>
          <cell r="Q28">
            <v>1</v>
          </cell>
          <cell r="R28">
            <v>1</v>
          </cell>
          <cell r="S28">
            <v>1</v>
          </cell>
          <cell r="T28">
            <v>1</v>
          </cell>
          <cell r="U28">
            <v>1</v>
          </cell>
          <cell r="V28">
            <v>1</v>
          </cell>
          <cell r="W28">
            <v>1</v>
          </cell>
          <cell r="X28">
            <v>1</v>
          </cell>
          <cell r="Y28">
            <v>1</v>
          </cell>
          <cell r="Z28">
            <v>1</v>
          </cell>
          <cell r="AA28">
            <v>1</v>
          </cell>
        </row>
        <row r="29">
          <cell r="B29">
            <v>1</v>
          </cell>
          <cell r="C29">
            <v>1</v>
          </cell>
          <cell r="D29">
            <v>1</v>
          </cell>
          <cell r="E29">
            <v>1</v>
          </cell>
          <cell r="F29">
            <v>1</v>
          </cell>
          <cell r="G29">
            <v>1</v>
          </cell>
          <cell r="H29">
            <v>1</v>
          </cell>
          <cell r="I29">
            <v>1</v>
          </cell>
          <cell r="J29">
            <v>1</v>
          </cell>
          <cell r="K29">
            <v>1</v>
          </cell>
          <cell r="L29">
            <v>1</v>
          </cell>
          <cell r="M29">
            <v>1</v>
          </cell>
          <cell r="N29">
            <v>1</v>
          </cell>
          <cell r="O29">
            <v>1</v>
          </cell>
          <cell r="P29">
            <v>1</v>
          </cell>
          <cell r="Q29">
            <v>1</v>
          </cell>
          <cell r="R29">
            <v>1</v>
          </cell>
          <cell r="S29">
            <v>1</v>
          </cell>
          <cell r="T29">
            <v>1</v>
          </cell>
          <cell r="U29">
            <v>1</v>
          </cell>
          <cell r="V29">
            <v>1</v>
          </cell>
          <cell r="W29">
            <v>1</v>
          </cell>
          <cell r="X29">
            <v>1</v>
          </cell>
          <cell r="Y29">
            <v>1</v>
          </cell>
          <cell r="Z29">
            <v>1</v>
          </cell>
          <cell r="AA29">
            <v>1</v>
          </cell>
          <cell r="AB29">
            <v>1</v>
          </cell>
        </row>
        <row r="30">
          <cell r="B30">
            <v>1</v>
          </cell>
          <cell r="C30">
            <v>1</v>
          </cell>
          <cell r="D30">
            <v>1</v>
          </cell>
          <cell r="E30">
            <v>1</v>
          </cell>
          <cell r="F30">
            <v>1</v>
          </cell>
          <cell r="G30">
            <v>1</v>
          </cell>
          <cell r="H30">
            <v>1</v>
          </cell>
          <cell r="I30">
            <v>1</v>
          </cell>
          <cell r="J30">
            <v>1</v>
          </cell>
          <cell r="K30">
            <v>1</v>
          </cell>
          <cell r="L30">
            <v>1</v>
          </cell>
          <cell r="M30">
            <v>1</v>
          </cell>
          <cell r="N30">
            <v>1</v>
          </cell>
          <cell r="O30">
            <v>1</v>
          </cell>
          <cell r="P30">
            <v>1</v>
          </cell>
          <cell r="Q30">
            <v>1</v>
          </cell>
          <cell r="R30">
            <v>1</v>
          </cell>
          <cell r="S30">
            <v>1</v>
          </cell>
          <cell r="T30">
            <v>1</v>
          </cell>
          <cell r="U30">
            <v>1</v>
          </cell>
          <cell r="V30">
            <v>1</v>
          </cell>
          <cell r="W30">
            <v>1</v>
          </cell>
          <cell r="X30">
            <v>1</v>
          </cell>
          <cell r="Y30">
            <v>1</v>
          </cell>
          <cell r="Z30">
            <v>1</v>
          </cell>
          <cell r="AA30">
            <v>1</v>
          </cell>
          <cell r="AB30">
            <v>1</v>
          </cell>
          <cell r="AC30">
            <v>1</v>
          </cell>
        </row>
        <row r="31">
          <cell r="B31">
            <v>1</v>
          </cell>
          <cell r="C31">
            <v>1</v>
          </cell>
          <cell r="D31">
            <v>1</v>
          </cell>
          <cell r="E31">
            <v>1</v>
          </cell>
          <cell r="F31">
            <v>1</v>
          </cell>
          <cell r="G31">
            <v>1</v>
          </cell>
          <cell r="H31">
            <v>1</v>
          </cell>
          <cell r="I31">
            <v>1</v>
          </cell>
          <cell r="J31">
            <v>1</v>
          </cell>
          <cell r="K31">
            <v>1</v>
          </cell>
          <cell r="L31">
            <v>1</v>
          </cell>
          <cell r="M31">
            <v>1</v>
          </cell>
          <cell r="N31">
            <v>1</v>
          </cell>
          <cell r="O31">
            <v>1</v>
          </cell>
          <cell r="P31">
            <v>1</v>
          </cell>
          <cell r="Q31">
            <v>1</v>
          </cell>
          <cell r="R31">
            <v>1</v>
          </cell>
          <cell r="S31">
            <v>1</v>
          </cell>
          <cell r="T31">
            <v>1</v>
          </cell>
          <cell r="U31">
            <v>1</v>
          </cell>
          <cell r="V31">
            <v>1</v>
          </cell>
          <cell r="W31">
            <v>1</v>
          </cell>
          <cell r="X31">
            <v>1</v>
          </cell>
          <cell r="Y31">
            <v>1</v>
          </cell>
          <cell r="Z31">
            <v>1</v>
          </cell>
          <cell r="AA31">
            <v>1</v>
          </cell>
          <cell r="AB31">
            <v>1</v>
          </cell>
          <cell r="AC31">
            <v>1</v>
          </cell>
          <cell r="AD31">
            <v>1</v>
          </cell>
        </row>
        <row r="35">
          <cell r="B35">
            <v>1</v>
          </cell>
        </row>
        <row r="36">
          <cell r="B36">
            <v>1</v>
          </cell>
          <cell r="C36">
            <v>1</v>
          </cell>
        </row>
        <row r="37">
          <cell r="B37">
            <v>1</v>
          </cell>
          <cell r="C37">
            <v>1</v>
          </cell>
          <cell r="D37">
            <v>1</v>
          </cell>
        </row>
        <row r="38">
          <cell r="B38">
            <v>1</v>
          </cell>
          <cell r="C38">
            <v>1</v>
          </cell>
          <cell r="D38">
            <v>1</v>
          </cell>
          <cell r="E38">
            <v>1</v>
          </cell>
        </row>
        <row r="39">
          <cell r="B39">
            <v>1</v>
          </cell>
          <cell r="C39">
            <v>1</v>
          </cell>
          <cell r="D39">
            <v>1</v>
          </cell>
          <cell r="E39">
            <v>1</v>
          </cell>
          <cell r="F39">
            <v>1</v>
          </cell>
        </row>
        <row r="40">
          <cell r="B40">
            <v>1</v>
          </cell>
          <cell r="C40">
            <v>1</v>
          </cell>
          <cell r="D40">
            <v>1</v>
          </cell>
          <cell r="E40">
            <v>1</v>
          </cell>
          <cell r="F40">
            <v>1</v>
          </cell>
          <cell r="G40">
            <v>1</v>
          </cell>
        </row>
        <row r="41">
          <cell r="B41">
            <v>1</v>
          </cell>
          <cell r="C41">
            <v>1</v>
          </cell>
          <cell r="D41">
            <v>1</v>
          </cell>
          <cell r="E41">
            <v>1</v>
          </cell>
          <cell r="F41">
            <v>1</v>
          </cell>
          <cell r="G41">
            <v>1</v>
          </cell>
          <cell r="H41">
            <v>1</v>
          </cell>
        </row>
        <row r="42">
          <cell r="B42">
            <v>1</v>
          </cell>
          <cell r="C42">
            <v>1</v>
          </cell>
          <cell r="D42">
            <v>1</v>
          </cell>
          <cell r="E42">
            <v>1</v>
          </cell>
          <cell r="F42">
            <v>1</v>
          </cell>
          <cell r="G42">
            <v>1</v>
          </cell>
          <cell r="H42">
            <v>1</v>
          </cell>
          <cell r="I42">
            <v>1</v>
          </cell>
        </row>
        <row r="43">
          <cell r="B43">
            <v>1</v>
          </cell>
          <cell r="C43">
            <v>1</v>
          </cell>
          <cell r="D43">
            <v>1</v>
          </cell>
          <cell r="E43">
            <v>1</v>
          </cell>
          <cell r="F43">
            <v>1</v>
          </cell>
          <cell r="G43">
            <v>1</v>
          </cell>
          <cell r="H43">
            <v>1</v>
          </cell>
          <cell r="I43">
            <v>1</v>
          </cell>
          <cell r="J43">
            <v>1</v>
          </cell>
        </row>
        <row r="44">
          <cell r="B44">
            <v>1</v>
          </cell>
          <cell r="C44">
            <v>1</v>
          </cell>
          <cell r="D44">
            <v>1</v>
          </cell>
          <cell r="E44">
            <v>1</v>
          </cell>
          <cell r="F44">
            <v>1</v>
          </cell>
          <cell r="G44">
            <v>1</v>
          </cell>
          <cell r="H44">
            <v>1</v>
          </cell>
          <cell r="I44">
            <v>1</v>
          </cell>
          <cell r="J44">
            <v>1</v>
          </cell>
          <cell r="K44">
            <v>1</v>
          </cell>
        </row>
        <row r="45">
          <cell r="B45">
            <v>1</v>
          </cell>
          <cell r="C45">
            <v>1</v>
          </cell>
          <cell r="D45">
            <v>1</v>
          </cell>
          <cell r="E45">
            <v>1</v>
          </cell>
          <cell r="F45">
            <v>1</v>
          </cell>
          <cell r="G45">
            <v>1</v>
          </cell>
          <cell r="H45">
            <v>1</v>
          </cell>
          <cell r="I45">
            <v>1</v>
          </cell>
          <cell r="J45">
            <v>1</v>
          </cell>
          <cell r="K45">
            <v>1</v>
          </cell>
          <cell r="L45">
            <v>1</v>
          </cell>
        </row>
        <row r="46">
          <cell r="B46">
            <v>1</v>
          </cell>
          <cell r="C46">
            <v>1</v>
          </cell>
          <cell r="D46">
            <v>1</v>
          </cell>
          <cell r="E46">
            <v>1</v>
          </cell>
          <cell r="F46">
            <v>1</v>
          </cell>
          <cell r="G46">
            <v>1</v>
          </cell>
          <cell r="H46">
            <v>1</v>
          </cell>
          <cell r="I46">
            <v>1</v>
          </cell>
          <cell r="J46">
            <v>1</v>
          </cell>
          <cell r="K46">
            <v>1</v>
          </cell>
          <cell r="L46">
            <v>1</v>
          </cell>
          <cell r="M46">
            <v>1</v>
          </cell>
        </row>
        <row r="47">
          <cell r="B47">
            <v>1</v>
          </cell>
          <cell r="C47">
            <v>1</v>
          </cell>
          <cell r="D47">
            <v>1</v>
          </cell>
          <cell r="E47">
            <v>1</v>
          </cell>
          <cell r="F47">
            <v>1</v>
          </cell>
          <cell r="G47">
            <v>1</v>
          </cell>
          <cell r="H47">
            <v>1</v>
          </cell>
          <cell r="I47">
            <v>1</v>
          </cell>
          <cell r="J47">
            <v>1</v>
          </cell>
          <cell r="K47">
            <v>1</v>
          </cell>
          <cell r="L47">
            <v>1</v>
          </cell>
          <cell r="M47">
            <v>1</v>
          </cell>
          <cell r="N47">
            <v>1</v>
          </cell>
        </row>
        <row r="48">
          <cell r="B48">
            <v>1</v>
          </cell>
          <cell r="C48">
            <v>1</v>
          </cell>
          <cell r="D48">
            <v>1</v>
          </cell>
          <cell r="E48">
            <v>1</v>
          </cell>
          <cell r="F48">
            <v>1</v>
          </cell>
          <cell r="G48">
            <v>1</v>
          </cell>
          <cell r="H48">
            <v>1</v>
          </cell>
          <cell r="I48">
            <v>1</v>
          </cell>
          <cell r="J48">
            <v>1</v>
          </cell>
          <cell r="K48">
            <v>1</v>
          </cell>
          <cell r="L48">
            <v>1</v>
          </cell>
          <cell r="M48">
            <v>1</v>
          </cell>
          <cell r="N48">
            <v>1</v>
          </cell>
          <cell r="O48">
            <v>1</v>
          </cell>
        </row>
        <row r="49">
          <cell r="B49">
            <v>1</v>
          </cell>
          <cell r="C49">
            <v>1</v>
          </cell>
          <cell r="D49">
            <v>1</v>
          </cell>
          <cell r="E49">
            <v>1</v>
          </cell>
          <cell r="F49">
            <v>1</v>
          </cell>
          <cell r="G49">
            <v>1</v>
          </cell>
          <cell r="H49">
            <v>1</v>
          </cell>
          <cell r="I49">
            <v>1</v>
          </cell>
          <cell r="J49">
            <v>1</v>
          </cell>
          <cell r="K49">
            <v>1</v>
          </cell>
          <cell r="L49">
            <v>1</v>
          </cell>
          <cell r="M49">
            <v>1</v>
          </cell>
          <cell r="N49">
            <v>1</v>
          </cell>
          <cell r="O49">
            <v>1</v>
          </cell>
          <cell r="P49">
            <v>1</v>
          </cell>
        </row>
        <row r="50">
          <cell r="B50">
            <v>1</v>
          </cell>
          <cell r="C50">
            <v>1</v>
          </cell>
          <cell r="D50">
            <v>1</v>
          </cell>
          <cell r="E50">
            <v>1</v>
          </cell>
          <cell r="F50">
            <v>1</v>
          </cell>
          <cell r="G50">
            <v>1</v>
          </cell>
          <cell r="H50">
            <v>1</v>
          </cell>
          <cell r="I50">
            <v>1</v>
          </cell>
          <cell r="J50">
            <v>1</v>
          </cell>
          <cell r="K50">
            <v>1</v>
          </cell>
          <cell r="L50">
            <v>1</v>
          </cell>
          <cell r="M50">
            <v>1</v>
          </cell>
          <cell r="N50">
            <v>1</v>
          </cell>
          <cell r="O50">
            <v>1</v>
          </cell>
          <cell r="P50">
            <v>1</v>
          </cell>
          <cell r="Q50">
            <v>1</v>
          </cell>
        </row>
        <row r="51">
          <cell r="B51">
            <v>1</v>
          </cell>
          <cell r="C51">
            <v>1</v>
          </cell>
          <cell r="D51">
            <v>1</v>
          </cell>
          <cell r="E51">
            <v>1</v>
          </cell>
          <cell r="F51">
            <v>1</v>
          </cell>
          <cell r="G51">
            <v>1</v>
          </cell>
          <cell r="H51">
            <v>1</v>
          </cell>
          <cell r="I51">
            <v>1</v>
          </cell>
          <cell r="J51">
            <v>1</v>
          </cell>
          <cell r="K51">
            <v>1</v>
          </cell>
          <cell r="L51">
            <v>1</v>
          </cell>
          <cell r="M51">
            <v>1</v>
          </cell>
          <cell r="N51">
            <v>1</v>
          </cell>
          <cell r="O51">
            <v>1</v>
          </cell>
          <cell r="P51">
            <v>1</v>
          </cell>
          <cell r="Q51">
            <v>1</v>
          </cell>
          <cell r="R51">
            <v>1</v>
          </cell>
        </row>
        <row r="52">
          <cell r="B52">
            <v>1</v>
          </cell>
          <cell r="C52">
            <v>1</v>
          </cell>
          <cell r="D52">
            <v>1</v>
          </cell>
          <cell r="E52">
            <v>1</v>
          </cell>
          <cell r="F52">
            <v>1</v>
          </cell>
          <cell r="G52">
            <v>1</v>
          </cell>
          <cell r="H52">
            <v>1</v>
          </cell>
          <cell r="I52">
            <v>1</v>
          </cell>
          <cell r="J52">
            <v>1</v>
          </cell>
          <cell r="K52">
            <v>1</v>
          </cell>
          <cell r="L52">
            <v>1</v>
          </cell>
          <cell r="M52">
            <v>1</v>
          </cell>
          <cell r="N52">
            <v>1</v>
          </cell>
          <cell r="O52">
            <v>1</v>
          </cell>
          <cell r="P52">
            <v>1</v>
          </cell>
          <cell r="Q52">
            <v>1</v>
          </cell>
          <cell r="R52">
            <v>1</v>
          </cell>
          <cell r="S52">
            <v>1</v>
          </cell>
        </row>
        <row r="53">
          <cell r="B53">
            <v>1</v>
          </cell>
          <cell r="C53">
            <v>1</v>
          </cell>
          <cell r="D53">
            <v>1</v>
          </cell>
          <cell r="E53">
            <v>1</v>
          </cell>
          <cell r="F53">
            <v>1</v>
          </cell>
          <cell r="G53">
            <v>1</v>
          </cell>
          <cell r="H53">
            <v>1</v>
          </cell>
          <cell r="I53">
            <v>1</v>
          </cell>
          <cell r="J53">
            <v>1</v>
          </cell>
          <cell r="K53">
            <v>1</v>
          </cell>
          <cell r="L53">
            <v>1</v>
          </cell>
          <cell r="M53">
            <v>1</v>
          </cell>
          <cell r="N53">
            <v>1</v>
          </cell>
          <cell r="O53">
            <v>1</v>
          </cell>
          <cell r="P53">
            <v>1</v>
          </cell>
          <cell r="Q53">
            <v>1</v>
          </cell>
          <cell r="R53">
            <v>1</v>
          </cell>
          <cell r="S53">
            <v>1</v>
          </cell>
          <cell r="T53">
            <v>1</v>
          </cell>
        </row>
        <row r="54">
          <cell r="B54">
            <v>1</v>
          </cell>
          <cell r="C54">
            <v>1</v>
          </cell>
          <cell r="D54">
            <v>1</v>
          </cell>
          <cell r="E54">
            <v>1</v>
          </cell>
          <cell r="F54">
            <v>1</v>
          </cell>
          <cell r="G54">
            <v>1</v>
          </cell>
          <cell r="H54">
            <v>1</v>
          </cell>
          <cell r="I54">
            <v>1</v>
          </cell>
          <cell r="J54">
            <v>1</v>
          </cell>
          <cell r="K54">
            <v>1</v>
          </cell>
          <cell r="L54">
            <v>1</v>
          </cell>
          <cell r="M54">
            <v>1</v>
          </cell>
          <cell r="N54">
            <v>1</v>
          </cell>
          <cell r="O54">
            <v>1</v>
          </cell>
          <cell r="P54">
            <v>1</v>
          </cell>
          <cell r="Q54">
            <v>1</v>
          </cell>
          <cell r="R54">
            <v>1</v>
          </cell>
          <cell r="S54">
            <v>1</v>
          </cell>
          <cell r="T54">
            <v>1</v>
          </cell>
          <cell r="U54">
            <v>1</v>
          </cell>
        </row>
        <row r="55">
          <cell r="B55">
            <v>1</v>
          </cell>
          <cell r="C55">
            <v>1</v>
          </cell>
          <cell r="D55">
            <v>1</v>
          </cell>
          <cell r="E55">
            <v>1</v>
          </cell>
          <cell r="F55">
            <v>1</v>
          </cell>
          <cell r="G55">
            <v>1</v>
          </cell>
          <cell r="H55">
            <v>1</v>
          </cell>
          <cell r="I55">
            <v>1</v>
          </cell>
          <cell r="J55">
            <v>1</v>
          </cell>
          <cell r="K55">
            <v>1</v>
          </cell>
          <cell r="L55">
            <v>1</v>
          </cell>
          <cell r="M55">
            <v>1</v>
          </cell>
          <cell r="N55">
            <v>1</v>
          </cell>
          <cell r="O55">
            <v>1</v>
          </cell>
          <cell r="P55">
            <v>1</v>
          </cell>
          <cell r="Q55">
            <v>1</v>
          </cell>
          <cell r="R55">
            <v>1</v>
          </cell>
          <cell r="S55">
            <v>1</v>
          </cell>
          <cell r="T55">
            <v>1</v>
          </cell>
          <cell r="U55">
            <v>1</v>
          </cell>
          <cell r="V55">
            <v>1</v>
          </cell>
        </row>
        <row r="56">
          <cell r="B56">
            <v>1</v>
          </cell>
          <cell r="C56">
            <v>1</v>
          </cell>
          <cell r="D56">
            <v>1</v>
          </cell>
          <cell r="E56">
            <v>1</v>
          </cell>
          <cell r="F56">
            <v>1</v>
          </cell>
          <cell r="G56">
            <v>1</v>
          </cell>
          <cell r="H56">
            <v>1</v>
          </cell>
          <cell r="I56">
            <v>1</v>
          </cell>
          <cell r="J56">
            <v>1</v>
          </cell>
          <cell r="K56">
            <v>1</v>
          </cell>
          <cell r="L56">
            <v>1</v>
          </cell>
          <cell r="M56">
            <v>1</v>
          </cell>
          <cell r="N56">
            <v>1</v>
          </cell>
          <cell r="O56">
            <v>1</v>
          </cell>
          <cell r="P56">
            <v>1</v>
          </cell>
          <cell r="Q56">
            <v>1</v>
          </cell>
          <cell r="R56">
            <v>1</v>
          </cell>
          <cell r="S56">
            <v>1</v>
          </cell>
          <cell r="T56">
            <v>1</v>
          </cell>
          <cell r="U56">
            <v>1</v>
          </cell>
          <cell r="V56">
            <v>1</v>
          </cell>
          <cell r="W56">
            <v>1</v>
          </cell>
        </row>
        <row r="57">
          <cell r="B57">
            <v>1</v>
          </cell>
          <cell r="C57">
            <v>1</v>
          </cell>
          <cell r="D57">
            <v>1</v>
          </cell>
          <cell r="E57">
            <v>1</v>
          </cell>
          <cell r="F57">
            <v>1</v>
          </cell>
          <cell r="G57">
            <v>1</v>
          </cell>
          <cell r="H57">
            <v>1</v>
          </cell>
          <cell r="I57">
            <v>1</v>
          </cell>
          <cell r="J57">
            <v>1</v>
          </cell>
          <cell r="K57">
            <v>1</v>
          </cell>
          <cell r="L57">
            <v>1</v>
          </cell>
          <cell r="M57">
            <v>1</v>
          </cell>
          <cell r="N57">
            <v>1</v>
          </cell>
          <cell r="O57">
            <v>1</v>
          </cell>
          <cell r="P57">
            <v>1</v>
          </cell>
          <cell r="Q57">
            <v>1</v>
          </cell>
          <cell r="R57">
            <v>1</v>
          </cell>
          <cell r="S57">
            <v>1</v>
          </cell>
          <cell r="T57">
            <v>1</v>
          </cell>
          <cell r="U57">
            <v>1</v>
          </cell>
          <cell r="V57">
            <v>1</v>
          </cell>
          <cell r="W57">
            <v>1</v>
          </cell>
          <cell r="X57">
            <v>1</v>
          </cell>
        </row>
        <row r="58">
          <cell r="B58">
            <v>1</v>
          </cell>
          <cell r="C58">
            <v>1</v>
          </cell>
          <cell r="D58">
            <v>1</v>
          </cell>
          <cell r="E58">
            <v>1</v>
          </cell>
          <cell r="F58">
            <v>1</v>
          </cell>
          <cell r="G58">
            <v>1</v>
          </cell>
          <cell r="H58">
            <v>1</v>
          </cell>
          <cell r="I58">
            <v>1</v>
          </cell>
          <cell r="J58">
            <v>1</v>
          </cell>
          <cell r="K58">
            <v>1</v>
          </cell>
          <cell r="L58">
            <v>1</v>
          </cell>
          <cell r="M58">
            <v>1</v>
          </cell>
          <cell r="N58">
            <v>1</v>
          </cell>
          <cell r="O58">
            <v>1</v>
          </cell>
          <cell r="P58">
            <v>1</v>
          </cell>
          <cell r="Q58">
            <v>1</v>
          </cell>
          <cell r="R58">
            <v>1</v>
          </cell>
          <cell r="S58">
            <v>1</v>
          </cell>
          <cell r="T58">
            <v>1</v>
          </cell>
          <cell r="U58">
            <v>1</v>
          </cell>
          <cell r="V58">
            <v>1</v>
          </cell>
          <cell r="W58">
            <v>1</v>
          </cell>
          <cell r="X58">
            <v>1</v>
          </cell>
          <cell r="Y58">
            <v>1</v>
          </cell>
        </row>
        <row r="59">
          <cell r="B59">
            <v>1</v>
          </cell>
          <cell r="C59">
            <v>1</v>
          </cell>
          <cell r="D59">
            <v>1</v>
          </cell>
          <cell r="E59">
            <v>1</v>
          </cell>
          <cell r="F59">
            <v>1</v>
          </cell>
          <cell r="G59">
            <v>1</v>
          </cell>
          <cell r="H59">
            <v>1</v>
          </cell>
          <cell r="I59">
            <v>1</v>
          </cell>
          <cell r="J59">
            <v>1</v>
          </cell>
          <cell r="K59">
            <v>1</v>
          </cell>
          <cell r="L59">
            <v>1</v>
          </cell>
          <cell r="M59">
            <v>1</v>
          </cell>
          <cell r="N59">
            <v>1</v>
          </cell>
          <cell r="O59">
            <v>1</v>
          </cell>
          <cell r="P59">
            <v>1</v>
          </cell>
          <cell r="Q59">
            <v>1</v>
          </cell>
          <cell r="R59">
            <v>1</v>
          </cell>
          <cell r="S59">
            <v>1</v>
          </cell>
          <cell r="T59">
            <v>1</v>
          </cell>
          <cell r="U59">
            <v>1</v>
          </cell>
          <cell r="V59">
            <v>1</v>
          </cell>
          <cell r="W59">
            <v>1</v>
          </cell>
          <cell r="X59">
            <v>1</v>
          </cell>
          <cell r="Y59">
            <v>1</v>
          </cell>
          <cell r="Z59">
            <v>1</v>
          </cell>
        </row>
        <row r="60">
          <cell r="B60">
            <v>1</v>
          </cell>
          <cell r="C60">
            <v>1</v>
          </cell>
          <cell r="D60">
            <v>1</v>
          </cell>
          <cell r="E60">
            <v>1</v>
          </cell>
          <cell r="F60">
            <v>1</v>
          </cell>
          <cell r="G60">
            <v>1</v>
          </cell>
          <cell r="H60">
            <v>1</v>
          </cell>
          <cell r="I60">
            <v>1</v>
          </cell>
          <cell r="J60">
            <v>1</v>
          </cell>
          <cell r="K60">
            <v>1</v>
          </cell>
          <cell r="L60">
            <v>1</v>
          </cell>
          <cell r="M60">
            <v>1</v>
          </cell>
          <cell r="N60">
            <v>1</v>
          </cell>
          <cell r="O60">
            <v>1</v>
          </cell>
          <cell r="P60">
            <v>1</v>
          </cell>
          <cell r="Q60">
            <v>1</v>
          </cell>
          <cell r="R60">
            <v>1</v>
          </cell>
          <cell r="S60">
            <v>1</v>
          </cell>
          <cell r="T60">
            <v>1</v>
          </cell>
          <cell r="U60">
            <v>1</v>
          </cell>
          <cell r="V60">
            <v>1</v>
          </cell>
          <cell r="W60">
            <v>1</v>
          </cell>
          <cell r="X60">
            <v>1</v>
          </cell>
          <cell r="Y60">
            <v>1</v>
          </cell>
          <cell r="Z60">
            <v>1</v>
          </cell>
          <cell r="AA60">
            <v>1</v>
          </cell>
        </row>
        <row r="61">
          <cell r="B61">
            <v>1</v>
          </cell>
          <cell r="C61">
            <v>1</v>
          </cell>
          <cell r="D61">
            <v>1</v>
          </cell>
          <cell r="E61">
            <v>1</v>
          </cell>
          <cell r="F61">
            <v>1</v>
          </cell>
          <cell r="G61">
            <v>1</v>
          </cell>
          <cell r="H61">
            <v>1</v>
          </cell>
          <cell r="I61">
            <v>1</v>
          </cell>
          <cell r="J61">
            <v>1</v>
          </cell>
          <cell r="K61">
            <v>1</v>
          </cell>
          <cell r="L61">
            <v>1</v>
          </cell>
          <cell r="M61">
            <v>1</v>
          </cell>
          <cell r="N61">
            <v>1</v>
          </cell>
          <cell r="O61">
            <v>1</v>
          </cell>
          <cell r="P61">
            <v>1</v>
          </cell>
          <cell r="Q61">
            <v>1</v>
          </cell>
          <cell r="R61">
            <v>1</v>
          </cell>
          <cell r="S61">
            <v>1</v>
          </cell>
          <cell r="T61">
            <v>1</v>
          </cell>
          <cell r="U61">
            <v>1</v>
          </cell>
          <cell r="V61">
            <v>1</v>
          </cell>
          <cell r="W61">
            <v>1</v>
          </cell>
          <cell r="X61">
            <v>1</v>
          </cell>
          <cell r="Y61">
            <v>1</v>
          </cell>
          <cell r="Z61">
            <v>1</v>
          </cell>
          <cell r="AA61">
            <v>1</v>
          </cell>
          <cell r="AB61">
            <v>1</v>
          </cell>
        </row>
        <row r="62">
          <cell r="B62">
            <v>1</v>
          </cell>
          <cell r="C62">
            <v>1</v>
          </cell>
          <cell r="D62">
            <v>1</v>
          </cell>
          <cell r="E62">
            <v>1</v>
          </cell>
          <cell r="F62">
            <v>1</v>
          </cell>
          <cell r="G62">
            <v>1</v>
          </cell>
          <cell r="H62">
            <v>1</v>
          </cell>
          <cell r="I62">
            <v>1</v>
          </cell>
          <cell r="J62">
            <v>1</v>
          </cell>
          <cell r="K62">
            <v>1</v>
          </cell>
          <cell r="L62">
            <v>1</v>
          </cell>
          <cell r="M62">
            <v>1</v>
          </cell>
          <cell r="N62">
            <v>1</v>
          </cell>
          <cell r="O62">
            <v>1</v>
          </cell>
          <cell r="P62">
            <v>1</v>
          </cell>
          <cell r="Q62">
            <v>1</v>
          </cell>
          <cell r="R62">
            <v>1</v>
          </cell>
          <cell r="S62">
            <v>1</v>
          </cell>
          <cell r="T62">
            <v>1</v>
          </cell>
          <cell r="U62">
            <v>1</v>
          </cell>
          <cell r="V62">
            <v>1</v>
          </cell>
          <cell r="W62">
            <v>1</v>
          </cell>
          <cell r="X62">
            <v>1</v>
          </cell>
          <cell r="Y62">
            <v>1</v>
          </cell>
          <cell r="Z62">
            <v>1</v>
          </cell>
          <cell r="AA62">
            <v>1</v>
          </cell>
          <cell r="AB62">
            <v>1</v>
          </cell>
          <cell r="AC62">
            <v>1</v>
          </cell>
        </row>
        <row r="63">
          <cell r="B63">
            <v>1</v>
          </cell>
          <cell r="C63">
            <v>1</v>
          </cell>
          <cell r="D63">
            <v>1</v>
          </cell>
          <cell r="E63">
            <v>1</v>
          </cell>
          <cell r="F63">
            <v>1</v>
          </cell>
          <cell r="G63">
            <v>1</v>
          </cell>
          <cell r="H63">
            <v>1</v>
          </cell>
          <cell r="I63">
            <v>1</v>
          </cell>
          <cell r="J63">
            <v>1</v>
          </cell>
          <cell r="K63">
            <v>1</v>
          </cell>
          <cell r="L63">
            <v>1</v>
          </cell>
          <cell r="M63">
            <v>1</v>
          </cell>
          <cell r="N63">
            <v>1</v>
          </cell>
          <cell r="O63">
            <v>1</v>
          </cell>
          <cell r="P63">
            <v>1</v>
          </cell>
          <cell r="Q63">
            <v>1</v>
          </cell>
          <cell r="R63">
            <v>1</v>
          </cell>
          <cell r="S63">
            <v>1</v>
          </cell>
          <cell r="T63">
            <v>1</v>
          </cell>
          <cell r="U63">
            <v>1</v>
          </cell>
          <cell r="V63">
            <v>1</v>
          </cell>
          <cell r="W63">
            <v>1</v>
          </cell>
          <cell r="X63">
            <v>1</v>
          </cell>
          <cell r="Y63">
            <v>1</v>
          </cell>
          <cell r="Z63">
            <v>1</v>
          </cell>
          <cell r="AA63">
            <v>1</v>
          </cell>
          <cell r="AB63">
            <v>1</v>
          </cell>
          <cell r="AC63">
            <v>1</v>
          </cell>
          <cell r="AD63">
            <v>1</v>
          </cell>
        </row>
      </sheetData>
      <sheetData sheetId="1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s"/>
      <sheetName val="summary "/>
      <sheetName val="Exclusions"/>
      <sheetName val="areas "/>
      <sheetName val="Assumptions"/>
      <sheetName val="@risk rents and incentives"/>
      <sheetName val="Car park lease"/>
      <sheetName val="Net rent analy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s"/>
      <sheetName val="summary "/>
      <sheetName val="Exclusions"/>
      <sheetName val="areas "/>
      <sheetName val="Assumptions"/>
    </sheetNames>
    <sheetDataSet>
      <sheetData sheetId="0" refreshError="1"/>
      <sheetData sheetId="1" refreshError="1"/>
      <sheetData sheetId="2" refreshError="1"/>
      <sheetData sheetId="3" refreshError="1"/>
      <sheetData sheetId="4"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s"/>
      <sheetName val="cover"/>
      <sheetName val="summary"/>
      <sheetName val="Exclusions"/>
      <sheetName val="areas"/>
    </sheetNames>
    <sheetDataSet>
      <sheetData sheetId="0" refreshError="1"/>
      <sheetData sheetId="1" refreshError="1"/>
      <sheetData sheetId="2" refreshError="1"/>
      <sheetData sheetId="3" refreshError="1"/>
      <sheetData sheetId="4"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Loan account - LCC rate"/>
      <sheetName val="Consolidated summary"/>
      <sheetName val="Sensitivities"/>
      <sheetName val="Value &amp;  distribution summary"/>
      <sheetName val="Monthly report"/>
      <sheetName val="Monthly invoice "/>
      <sheetName val="Partnership summary"/>
      <sheetName val="Fund  summary ex developer"/>
      <sheetName val="Project cashflow totals"/>
      <sheetName val="Hotel resi and sites 21 22 cost"/>
      <sheetName val="Fund cashflow"/>
      <sheetName val="Fund cashflow cumulative"/>
      <sheetName val="LCC profit share calculation"/>
      <sheetName val="Main construction"/>
      <sheetName val="Total equity"/>
      <sheetName val="Grosvenor equity"/>
      <sheetName val="Investor equity"/>
      <sheetName val="Equity and debt split"/>
      <sheetName val="Loan account and shortfalls"/>
      <sheetName val="Letting covenants"/>
      <sheetName val="Assumptions"/>
      <sheetName val="Chart1"/>
      <sheetName val="Residential"/>
      <sheetName val="Car park lease"/>
      <sheetName val="Offices"/>
      <sheetName val="Unit rents and incentives"/>
      <sheetName val="Funding check"/>
      <sheetName val="Changes"/>
      <sheetName val="Net rent analysis"/>
      <sheetName val="@risk rents and incentives"/>
      <sheetName val="Basis"/>
      <sheetName val="Admin"/>
      <sheetName val="Opening Cash Posi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tter"/>
      <sheetName val="Valuation"/>
      <sheetName val="Statement"/>
      <sheetName val="Certificate"/>
      <sheetName val="Recovery"/>
      <sheetName val="Val breakdown"/>
      <sheetName val="BOQ"/>
      <sheetName val="Variations"/>
      <sheetName val="Sheet1"/>
      <sheetName val="CASH FLOW"/>
      <sheetName val="CASH FLOW (2)"/>
      <sheetName val="AREAS"/>
      <sheetName val="WORKINGS"/>
      <sheetName val="Assumptions"/>
      <sheetName val="@risk rents and incentives"/>
      <sheetName val="Car park lease"/>
      <sheetName val="Net rent analy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H fLOW @ 18%"/>
      <sheetName val="Cash Flow @ 22%"/>
      <sheetName val="COVER"/>
      <sheetName val="INDEX"/>
      <sheetName val="GENERAL"/>
      <sheetName val="COST SUMMARY"/>
      <sheetName val="AREAS"/>
      <sheetName val="RETURNS"/>
      <sheetName val="BUILDING COST"/>
      <sheetName val="WORKINGS"/>
      <sheetName val="BOQ"/>
      <sheetName val="Val breakdown"/>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riations"/>
      <sheetName val="Consolidated Cashflow"/>
      <sheetName val="BLL Cashflow"/>
      <sheetName val="PE Cashflow"/>
      <sheetName val="FBL Cashflow"/>
      <sheetName val="Bid Costs"/>
      <sheetName val="FBL Costs"/>
      <sheetName val="Summary Equity Cashflows"/>
      <sheetName val="Devco P&amp;L"/>
      <sheetName val="Financial Summary"/>
      <sheetName val="Devco Cashflow"/>
      <sheetName val="WORKINGS"/>
      <sheetName val="AREAS"/>
      <sheetName val="BOQ"/>
      <sheetName val="Val breakdow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SING (2)"/>
      <sheetName val="INDEX "/>
      <sheetName val="INDEX  (2)"/>
      <sheetName val="COST SUMMARY"/>
      <sheetName val="COST SUMMARY 2"/>
      <sheetName val="COST SUMMARY 3"/>
      <sheetName val="RETURNS "/>
      <sheetName val="SENSITIVY"/>
      <sheetName val="CASFLOW"/>
      <sheetName val="IRR &amp; NPV"/>
      <sheetName val="LEASING"/>
      <sheetName val="AREAS"/>
      <sheetName val="ELEM SUMMARY"/>
      <sheetName val="BUILDING COST"/>
      <sheetName val="WORKINGS"/>
      <sheetName val="Sens Analy - What-If"/>
      <sheetName val="Sens Analy - What-If (2)"/>
      <sheetName val="Graph Back Up"/>
      <sheetName val="Flysheet fIN hIGH"/>
      <sheetName val="Flysheet Bldg Costs"/>
      <sheetName val="Flysheet Areas"/>
      <sheetName val="Flysheet Gen"/>
      <sheetName val="Flysheet Gen (2)"/>
      <sheetName val="Flysheet Areas (2)"/>
      <sheetName val="Flysheet Workings"/>
      <sheetName val=" COVER "/>
    </sheetNames>
    <sheetDataSet>
      <sheetData sheetId="0" refreshError="1"/>
      <sheetData sheetId="1" refreshError="1"/>
      <sheetData sheetId="2" refreshError="1"/>
      <sheetData sheetId="3"/>
      <sheetData sheetId="4"/>
      <sheetData sheetId="5"/>
      <sheetData sheetId="6" refreshError="1"/>
      <sheetData sheetId="7" refreshError="1"/>
      <sheetData sheetId="8" refreshError="1"/>
      <sheetData sheetId="9" refreshError="1"/>
      <sheetData sheetId="10" refreshError="1"/>
      <sheetData sheetId="11" refreshError="1">
        <row r="7">
          <cell r="E7" t="str">
            <v>GROSS BUILDING</v>
          </cell>
          <cell r="G7" t="str">
            <v>BUILDING AREAS</v>
          </cell>
        </row>
        <row r="8">
          <cell r="E8" t="str">
            <v>AREA</v>
          </cell>
        </row>
        <row r="10">
          <cell r="E10" t="str">
            <v xml:space="preserve">         AREA  ( m2 )</v>
          </cell>
          <cell r="G10" t="str">
            <v xml:space="preserve">         AREA  ( m2 )</v>
          </cell>
        </row>
        <row r="11">
          <cell r="B11" t="str">
            <v>OFFICES</v>
          </cell>
        </row>
        <row r="13">
          <cell r="B13" t="str">
            <v>LOWER GROUND FLOOR</v>
          </cell>
          <cell r="G13">
            <v>800</v>
          </cell>
        </row>
        <row r="14">
          <cell r="B14" t="str">
            <v>GROUND FLOOR</v>
          </cell>
          <cell r="G14">
            <v>1319</v>
          </cell>
        </row>
        <row r="15">
          <cell r="B15" t="str">
            <v>FIRST FLOOR</v>
          </cell>
          <cell r="G15">
            <v>1309</v>
          </cell>
        </row>
        <row r="16">
          <cell r="B16" t="str">
            <v>SECOND FLOOR</v>
          </cell>
          <cell r="G16">
            <v>1340</v>
          </cell>
        </row>
        <row r="17">
          <cell r="B17" t="str">
            <v>THIRD FLOOR</v>
          </cell>
          <cell r="G17">
            <v>1340</v>
          </cell>
        </row>
        <row r="18">
          <cell r="B18" t="str">
            <v>FOURTH FLOOR</v>
          </cell>
          <cell r="F18">
            <v>0</v>
          </cell>
          <cell r="G18">
            <v>1340</v>
          </cell>
          <cell r="H18">
            <v>7448</v>
          </cell>
        </row>
        <row r="19">
          <cell r="B19" t="str">
            <v>PARKING</v>
          </cell>
        </row>
        <row r="21">
          <cell r="B21" t="str">
            <v>BASEMENT LEVEL 3</v>
          </cell>
          <cell r="G21">
            <v>2013</v>
          </cell>
        </row>
        <row r="22">
          <cell r="B22" t="str">
            <v>BASEMENT LEVEL 2</v>
          </cell>
          <cell r="G22">
            <v>2011</v>
          </cell>
        </row>
        <row r="23">
          <cell r="B23" t="str">
            <v>BASEMENT LEVEL 1</v>
          </cell>
          <cell r="G23">
            <v>2011</v>
          </cell>
        </row>
        <row r="24">
          <cell r="B24" t="str">
            <v>LOWER GROUND</v>
          </cell>
          <cell r="F24">
            <v>0</v>
          </cell>
          <cell r="G24">
            <v>871</v>
          </cell>
          <cell r="H24">
            <v>6906</v>
          </cell>
        </row>
        <row r="26">
          <cell r="B26" t="str">
            <v>SERVICE AREAS</v>
          </cell>
          <cell r="G26">
            <v>186</v>
          </cell>
          <cell r="H26">
            <v>186</v>
          </cell>
        </row>
        <row r="28">
          <cell r="B28" t="str">
            <v>TOTALS</v>
          </cell>
          <cell r="E28" t="str">
            <v>m2</v>
          </cell>
          <cell r="F28">
            <v>0</v>
          </cell>
          <cell r="G28" t="str">
            <v>m2</v>
          </cell>
          <cell r="H28">
            <v>14540</v>
          </cell>
        </row>
        <row r="30">
          <cell r="B30" t="str">
            <v>TOTAL PARKING AVAILABLE</v>
          </cell>
        </row>
        <row r="32">
          <cell r="B32" t="str">
            <v>BASEMENT LEVEL 3</v>
          </cell>
          <cell r="E32">
            <v>76</v>
          </cell>
          <cell r="F32" t="str">
            <v>Bays</v>
          </cell>
        </row>
        <row r="33">
          <cell r="B33" t="str">
            <v>BASEMENT LEVEL 2</v>
          </cell>
          <cell r="E33">
            <v>76</v>
          </cell>
          <cell r="F33" t="str">
            <v>Bays</v>
          </cell>
        </row>
        <row r="34">
          <cell r="B34" t="str">
            <v>BASEMENT LEVEL 1</v>
          </cell>
          <cell r="E34">
            <v>71</v>
          </cell>
          <cell r="F34" t="str">
            <v>Bays</v>
          </cell>
        </row>
        <row r="35">
          <cell r="B35" t="str">
            <v>LOWER GROUND</v>
          </cell>
          <cell r="E35">
            <v>29</v>
          </cell>
          <cell r="F35" t="str">
            <v>Bays</v>
          </cell>
        </row>
        <row r="36">
          <cell r="B36" t="str">
            <v>EXTERNALLY</v>
          </cell>
          <cell r="E36">
            <v>24</v>
          </cell>
          <cell r="F36" t="str">
            <v>Bays</v>
          </cell>
        </row>
        <row r="37">
          <cell r="E37">
            <v>276</v>
          </cell>
          <cell r="F37" t="str">
            <v>Bays</v>
          </cell>
        </row>
        <row r="41">
          <cell r="B41" t="str">
            <v>PRELIMINARY AREA COMPARISON</v>
          </cell>
        </row>
        <row r="43">
          <cell r="B43" t="str">
            <v>Total Building Area Over Six Floors</v>
          </cell>
          <cell r="G43">
            <v>7448</v>
          </cell>
          <cell r="H43" t="str">
            <v>m2</v>
          </cell>
        </row>
        <row r="45">
          <cell r="B45" t="str">
            <v>Individual Areas :-</v>
          </cell>
        </row>
        <row r="47">
          <cell r="B47" t="str">
            <v>Ablutions</v>
          </cell>
          <cell r="E47">
            <v>150</v>
          </cell>
        </row>
        <row r="48">
          <cell r="B48" t="str">
            <v>Tea Kitchens</v>
          </cell>
          <cell r="E48">
            <v>36</v>
          </cell>
        </row>
        <row r="49">
          <cell r="B49" t="str">
            <v>Lifts</v>
          </cell>
          <cell r="E49">
            <v>110</v>
          </cell>
        </row>
        <row r="50">
          <cell r="B50" t="str">
            <v>Stairwells &amp; Lobbies</v>
          </cell>
          <cell r="E50">
            <v>127</v>
          </cell>
        </row>
        <row r="51">
          <cell r="B51" t="str">
            <v>Stores And Ducts</v>
          </cell>
          <cell r="E51">
            <v>67</v>
          </cell>
        </row>
        <row r="52">
          <cell r="B52" t="str">
            <v xml:space="preserve">     Sub - Total</v>
          </cell>
          <cell r="E52">
            <v>490</v>
          </cell>
        </row>
        <row r="53">
          <cell r="B53" t="str">
            <v>Entrance Lobby</v>
          </cell>
          <cell r="E53">
            <v>49</v>
          </cell>
        </row>
        <row r="54">
          <cell r="B54" t="str">
            <v>Lobbies To LGF, 1st Floor - 4th Floor</v>
          </cell>
          <cell r="E54">
            <v>217</v>
          </cell>
        </row>
        <row r="56">
          <cell r="E56">
            <v>756</v>
          </cell>
        </row>
        <row r="58">
          <cell r="B58" t="str">
            <v>Efficiency Ratio Based On Gross Building Area</v>
          </cell>
        </row>
        <row r="60">
          <cell r="B60" t="str">
            <v>Excluding Reception Areas</v>
          </cell>
          <cell r="G60">
            <v>0.93904403866809882</v>
          </cell>
        </row>
        <row r="61">
          <cell r="B61" t="str">
            <v>Including Reception Areas</v>
          </cell>
          <cell r="G61">
            <v>0.90332975295381313</v>
          </cell>
        </row>
      </sheetData>
      <sheetData sheetId="12" refreshError="1"/>
      <sheetData sheetId="13"/>
      <sheetData sheetId="14" refreshError="1">
        <row r="1">
          <cell r="A1" t="str">
            <v xml:space="preserve">  27 FREDMAN DRIVE, SANDTON</v>
          </cell>
          <cell r="L1" t="str">
            <v>26 July 1999</v>
          </cell>
        </row>
        <row r="3">
          <cell r="A3" t="str">
            <v xml:space="preserve">  PRELIMINARY ESTIMATE No 1</v>
          </cell>
        </row>
      </sheetData>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COVER  (3)"/>
      <sheetName val=" COVER  (2)"/>
      <sheetName val=" COVER "/>
      <sheetName val="Sheet3"/>
      <sheetName val="Flysheet fIN hIGH"/>
      <sheetName val="Flysheet Gen"/>
      <sheetName val="Flysheet Bldg Costs"/>
      <sheetName val="Flysheet Areas"/>
      <sheetName val="Flysheet Workings"/>
      <sheetName val="Flysheet Annexures"/>
      <sheetName val="INDEX "/>
      <sheetName val="COST SUMMARY"/>
      <sheetName val="RETURNS - TRIALS"/>
      <sheetName val="graphs"/>
      <sheetName val="Sens Analy - What-If"/>
      <sheetName val="CASFLOW"/>
      <sheetName val="AREAS"/>
      <sheetName val="ELEM SUMMARY (2)"/>
      <sheetName val="BUILDING COST"/>
      <sheetName val="IRR &amp; NPV"/>
      <sheetName val="WORKINGS"/>
      <sheetName val="Sheet4"/>
      <sheetName val="Graph Back Up"/>
      <sheetName val="GENERAL "/>
      <sheetName val="AREAS (2)"/>
      <sheetName val="Sens Analy - What-If (2)"/>
      <sheetName val="cASH fLOW @ 18%"/>
      <sheetName val="Cash Flow @ 22%"/>
      <sheetName val="Sheet1"/>
      <sheetName val="AB Oct Analysis"/>
      <sheetName val="Back Up 3 Graphs"/>
      <sheetName val="Chart1"/>
      <sheetName val="Chart2"/>
      <sheetName val="Chart3"/>
      <sheetName val="Sheet2"/>
      <sheetName val="IRR &amp; NPV (2)"/>
      <sheetName val="INDEX"/>
      <sheetName val="COV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row r="1">
          <cell r="A1" t="str">
            <v xml:space="preserve">  NEW OFFICES AND WAREHOUSE FOR FAST FORWARD</v>
          </cell>
          <cell r="G1">
            <v>36311</v>
          </cell>
        </row>
        <row r="3">
          <cell r="A3" t="str">
            <v xml:space="preserve">  PRELIMINARY ESTIMATE No 1</v>
          </cell>
        </row>
        <row r="5">
          <cell r="A5" t="str">
            <v xml:space="preserve">  AREA SCHEDULE</v>
          </cell>
        </row>
        <row r="7">
          <cell r="E7" t="str">
            <v>GROSS BUILDING</v>
          </cell>
          <cell r="G7" t="str">
            <v>LETTABLE AREA</v>
          </cell>
        </row>
        <row r="8">
          <cell r="E8" t="str">
            <v>AREA</v>
          </cell>
        </row>
        <row r="10">
          <cell r="E10" t="str">
            <v xml:space="preserve">         AREA  ( m2 )</v>
          </cell>
          <cell r="G10" t="str">
            <v xml:space="preserve">         AREA  ( m2 )</v>
          </cell>
        </row>
        <row r="11">
          <cell r="A11" t="str">
            <v xml:space="preserve">  OFFICES AND ABLUTIONS</v>
          </cell>
        </row>
        <row r="13">
          <cell r="B13" t="str">
            <v>GROUND FLOOR - OFFICE BLOCK</v>
          </cell>
          <cell r="E13">
            <v>610</v>
          </cell>
          <cell r="G13">
            <v>610</v>
          </cell>
        </row>
        <row r="14">
          <cell r="B14" t="str">
            <v>FIRST FLOOR - OFFICE BLOCK</v>
          </cell>
          <cell r="E14">
            <v>610</v>
          </cell>
          <cell r="G14">
            <v>610</v>
          </cell>
        </row>
        <row r="15">
          <cell r="B15" t="str">
            <v>GROUND FLOOR - WITHIN WAREHOUSE</v>
          </cell>
          <cell r="E15">
            <v>245</v>
          </cell>
          <cell r="G15">
            <v>0</v>
          </cell>
        </row>
        <row r="16">
          <cell r="B16" t="str">
            <v>FIRST FLOOR - WITHIN WAREHOUSE</v>
          </cell>
          <cell r="E16">
            <v>216</v>
          </cell>
          <cell r="G16">
            <v>0</v>
          </cell>
        </row>
        <row r="17">
          <cell r="B17" t="str">
            <v>ABLUTIONS AND CANTEEN</v>
          </cell>
          <cell r="E17">
            <v>512</v>
          </cell>
          <cell r="F17">
            <v>2193</v>
          </cell>
          <cell r="G17">
            <v>512</v>
          </cell>
          <cell r="H17">
            <v>1732</v>
          </cell>
        </row>
        <row r="20">
          <cell r="A20" t="str">
            <v xml:space="preserve">  NEW WAREHOUSE</v>
          </cell>
        </row>
        <row r="22">
          <cell r="B22" t="str">
            <v xml:space="preserve">WAREHOUSE </v>
          </cell>
          <cell r="E22">
            <v>9240</v>
          </cell>
          <cell r="G22">
            <v>9240</v>
          </cell>
        </row>
        <row r="23">
          <cell r="B23" t="str">
            <v xml:space="preserve">MEZZANINE </v>
          </cell>
          <cell r="E23">
            <v>0</v>
          </cell>
          <cell r="F23">
            <v>9240</v>
          </cell>
          <cell r="G23">
            <v>0</v>
          </cell>
          <cell r="H23">
            <v>9240</v>
          </cell>
        </row>
        <row r="26">
          <cell r="B26" t="str">
            <v>TOTALS</v>
          </cell>
          <cell r="E26" t="str">
            <v>m2</v>
          </cell>
          <cell r="F26">
            <v>11433</v>
          </cell>
          <cell r="G26" t="str">
            <v>m2</v>
          </cell>
          <cell r="H26">
            <v>10972</v>
          </cell>
        </row>
        <row r="29">
          <cell r="B29" t="str">
            <v>TOTAL PARKING AVAILABLE</v>
          </cell>
        </row>
        <row r="31">
          <cell r="B31" t="str">
            <v>OPEN PARKING EXTERNALLY</v>
          </cell>
        </row>
        <row r="32">
          <cell r="B32" t="str">
            <v>COVERED PARKING EXTERNALLY</v>
          </cell>
          <cell r="E32">
            <v>0</v>
          </cell>
          <cell r="F32" t="str">
            <v>Bays</v>
          </cell>
        </row>
        <row r="33">
          <cell r="E33">
            <v>0</v>
          </cell>
          <cell r="F33" t="str">
            <v>Bays</v>
          </cell>
        </row>
      </sheetData>
      <sheetData sheetId="17"/>
      <sheetData sheetId="18"/>
      <sheetData sheetId="19"/>
      <sheetData sheetId="20" refreshError="1">
        <row r="1">
          <cell r="A1" t="str">
            <v xml:space="preserve">  NEW OFFICES AND WAREHOUSE FOR FAST FORWARD</v>
          </cell>
          <cell r="L1" t="str">
            <v>31 May 1999</v>
          </cell>
        </row>
        <row r="3">
          <cell r="A3" t="str">
            <v xml:space="preserve">  PRELIMINARY ESTIMATE No 1</v>
          </cell>
        </row>
      </sheetData>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sheetData sheetId="35"/>
      <sheetData sheetId="36" refreshError="1"/>
      <sheetData sheetId="37"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COVER  (3)"/>
      <sheetName val=" COVER  (2)"/>
      <sheetName val=" COVER "/>
      <sheetName val="Sheet3"/>
      <sheetName val="Flysheet fIN hIGH"/>
      <sheetName val="Flysheet Gen"/>
      <sheetName val="Flysheet Bldg Costs"/>
      <sheetName val="Flysheet Areas"/>
      <sheetName val="Flysheet Workings"/>
      <sheetName val="Flysheet Annexures"/>
      <sheetName val="INDEX "/>
      <sheetName val="COST SUMMARY"/>
      <sheetName val="RETURNS - TRIALS"/>
      <sheetName val="graphs"/>
      <sheetName val="Sens Analy - What-If"/>
      <sheetName val="CASFLOW"/>
      <sheetName val="AREAS"/>
      <sheetName val="ELEM SUMMARY (2)"/>
      <sheetName val="BUILDING COST"/>
      <sheetName val="IRR &amp; NPV"/>
      <sheetName val="WORKINGS"/>
      <sheetName val="Sheet4"/>
      <sheetName val="Graph Back Up"/>
      <sheetName val="GENERAL "/>
      <sheetName val="AREAS (2)"/>
      <sheetName val="Sens Analy - What-If (2)"/>
      <sheetName val="cASH fLOW @ 18%"/>
      <sheetName val="Cash Flow @ 22%"/>
      <sheetName val="Sheet1"/>
      <sheetName val="AB Oct Analysis"/>
      <sheetName val="Back Up 3 Graphs"/>
      <sheetName val="Chart1"/>
      <sheetName val="Chart2"/>
      <sheetName val="Chart3"/>
      <sheetName val="Sheet2"/>
      <sheetName val="IRR &amp; NPV (2)"/>
      <sheetName val="INDEX"/>
      <sheetName val="COV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sheetData sheetId="18"/>
      <sheetData sheetId="19"/>
      <sheetData sheetId="20" refreshError="1"/>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sheetData sheetId="35"/>
      <sheetData sheetId="36" refreshError="1"/>
      <sheetData sheetId="37"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4)"/>
      <sheetName val="COVER (3)"/>
      <sheetName val="Flysheet 1"/>
      <sheetName val="Flysheet 2"/>
      <sheetName val="Flysheet 3"/>
      <sheetName val="Flysheet 4"/>
      <sheetName val="Flysheet 5"/>
      <sheetName val="Flysheet 6"/>
      <sheetName val="Sheet1"/>
      <sheetName val="Sheet2"/>
      <sheetName val="Sheet3"/>
      <sheetName val="WORKINGS"/>
      <sheetName val="AREA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J Carey Final Account"/>
      <sheetName val="P2200 Budget"/>
      <sheetName val="Sheet1"/>
      <sheetName val="Sheet2"/>
      <sheetName val="Sheet3"/>
      <sheetName val="Devco Cashflow"/>
      <sheetName val="WORKING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lim summary"/>
      <sheetName val="preconstaff"/>
      <sheetName val="staff"/>
      <sheetName val="offices"/>
      <sheetName val="telephones"/>
      <sheetName val="hoarding"/>
      <sheetName val="plant"/>
      <sheetName val="scaffolding"/>
      <sheetName val="temporary works"/>
      <sheetName val="clean"/>
      <sheetName val="insurances"/>
      <sheetName val="Not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March 29th Stats"/>
      <sheetName val="Summary"/>
      <sheetName val="Detailed splits"/>
      <sheetName val="Chart3 (2)"/>
      <sheetName val="Graphs"/>
      <sheetName val="Chart3"/>
      <sheetName val="Sheet2"/>
      <sheetName val="Graphs (2)"/>
      <sheetName val="Reports"/>
      <sheetName val="St Giles"/>
      <sheetName val="Bow Bell"/>
      <sheetName val="CrownPlace"/>
      <sheetName val="HighHolborn"/>
      <sheetName val="LimeStreet"/>
      <sheetName val="Uniliever"/>
      <sheetName val="K2"/>
      <sheetName val="NewStSq"/>
      <sheetName val="NewStreet"/>
      <sheetName val="Port"/>
      <sheetName val="Heron"/>
      <sheetName val="ONC"/>
      <sheetName val="OSNA_A"/>
      <sheetName val="CrownPlaceSum"/>
      <sheetName val="Walbrook"/>
      <sheetName val="Great Titchfield"/>
      <sheetName val="190 Great PortLand st"/>
      <sheetName val="Data"/>
      <sheetName val="Income"/>
      <sheetName val="offices"/>
      <sheetName val="insurances"/>
      <sheetName val="plant"/>
      <sheetName val="hoarding"/>
      <sheetName val="Not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summary internal"/>
      <sheetName val="Charts"/>
      <sheetName val="orig1"/>
      <sheetName val="orig2"/>
      <sheetName val="1"/>
      <sheetName val="2"/>
      <sheetName val="3"/>
      <sheetName val="4"/>
      <sheetName val="5"/>
      <sheetName val="6"/>
      <sheetName val="7"/>
      <sheetName val="8"/>
      <sheetName val="9"/>
      <sheetName val="10"/>
      <sheetName val="11"/>
      <sheetName val="12"/>
      <sheetName val="13"/>
      <sheetName val="14"/>
      <sheetName val="15"/>
      <sheetName val="Chart data"/>
      <sheetName val="Uniliever"/>
      <sheetName val="Data"/>
      <sheetName val="Incom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utstanding invoices"/>
      <sheetName val="Invoice Procedures"/>
      <sheetName val="Invoice Nos"/>
      <sheetName val="Commitment reference"/>
      <sheetName val="Commitments"/>
      <sheetName val="Invoice Actuals by Budget - Pjt"/>
      <sheetName val="Invoice Actuals by Budget FBL"/>
      <sheetName val="Invoice Register"/>
      <sheetName val="Cheque Run 16 Mar"/>
      <sheetName val="Cheques"/>
      <sheetName val=" "/>
      <sheetName val="Summary 05-09  - Cash"/>
      <sheetName val="Accounting Policies"/>
      <sheetName val="Summary 05-09 - P&amp;L (Con Close)"/>
      <sheetName val="Summary 05-09 - P&amp;L (Com Close)"/>
      <sheetName val="Project Funding &amp; Invest Graph "/>
      <sheetName val="Report 1 - Forecast v Budget"/>
      <sheetName val="Report 2 - Cashflow"/>
      <sheetName val="Report 3 - P&amp;L"/>
      <sheetName val="SH Report 1"/>
      <sheetName val="Program - Monthly"/>
      <sheetName val="Program - Incl Costs"/>
      <sheetName val="."/>
      <sheetName val="Cashflow Forecasting"/>
      <sheetName val="Summary P&amp;L - Commercial Close"/>
      <sheetName val="Summary P&amp;L - Contract Close"/>
      <sheetName val="Summary Cashflow"/>
      <sheetName val="Resources"/>
      <sheetName val="Consultants"/>
      <sheetName val="Marketing"/>
      <sheetName val="Admin"/>
      <sheetName val="New Business"/>
      <sheetName val="Assumptions"/>
      <sheetName val="Project Income"/>
      <sheetName val="Project Expenditure"/>
      <sheetName val="PR#1 - LWI"/>
      <sheetName val="PR#2 - AW"/>
      <sheetName val="PR#3 - Newington"/>
      <sheetName val="PR#4 - WHL"/>
      <sheetName val="PR#5 - KX200"/>
      <sheetName val="PR#6 - Elephant Rd"/>
      <sheetName val="PR#7 - LWI 1"/>
      <sheetName val="PR#8 - LWI 2"/>
      <sheetName val="FBL &amp; WCF-Budget"/>
      <sheetName val="FBL &amp; WCF-Forecast"/>
      <sheetName val="Project Equity-Forecast"/>
      <sheetName val="   "/>
      <sheetName val="PR#2 - S-Curve of Fees"/>
      <sheetName val="PR#3 - S-Curve of Fees"/>
      <sheetName val="PR#7 - S-Curve of Fees"/>
      <sheetName val="PR#8 - S-Curve of Fees"/>
      <sheetName val="Adelaide Wharf"/>
      <sheetName val="Newington"/>
      <sheetName val="LWI 3"/>
      <sheetName val="LWI 4"/>
      <sheetName val="Reconciliation schedule"/>
      <sheetName val="Misc invoices"/>
      <sheetName val="WHL Invoices"/>
      <sheetName val="FB Invoices - -to be deleted"/>
      <sheetName val="LWI Invoices - Previous -Delete"/>
      <sheetName val="Chq Run 11-04"/>
      <sheetName val="Chq Run 12-04"/>
      <sheetName val="Approved Invoice Outstanding"/>
      <sheetName val="LWI Invoices - To be deleted"/>
      <sheetName val="Cheque run 280205"/>
      <sheetName val="Chart data"/>
      <sheetName val="Uniliev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ontsheet"/>
      <sheetName val="Assumptions &amp; Summary"/>
      <sheetName val="Index"/>
      <sheetName val="Tables"/>
      <sheetName val="Sensitivities"/>
      <sheetName val="Construction"/>
      <sheetName val="Swap profile"/>
      <sheetName val="Operations"/>
      <sheetName val="Rates"/>
      <sheetName val="Depn"/>
      <sheetName val="Aff (May 01)"/>
      <sheetName val="Control"/>
      <sheetName val="Funding &amp; cash"/>
      <sheetName val="P&amp;L"/>
      <sheetName val="C_F"/>
      <sheetName val="Source"/>
      <sheetName val="B_S"/>
      <sheetName val="IRRs"/>
      <sheetName val="Dialog1"/>
      <sheetName val="Graphs"/>
      <sheetName val="Sch2 Appendix A"/>
      <sheetName val="Sch2 Appendix B"/>
      <sheetName val="FM Appendix 5 (1)"/>
      <sheetName val="FM Appendix 5 (2)"/>
      <sheetName val="PF1"/>
      <sheetName val="PF2"/>
      <sheetName val="PF3"/>
      <sheetName val="PF4"/>
      <sheetName val="PF8"/>
      <sheetName val="Other macros"/>
      <sheetName val="Print macros"/>
      <sheetName val="custard"/>
      <sheetName val="Commitments"/>
      <sheetName val="Chart 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dditions"/>
      <sheetName val="Cover"/>
      <sheetName val="Basis "/>
      <sheetName val="Control room (3)"/>
      <sheetName val="Control room (2)"/>
      <sheetName val="Control room"/>
      <sheetName val="Budget"/>
      <sheetName val="Exclusions  "/>
      <sheetName val="Exclusions 2"/>
      <sheetName val="Updated Areas 21 January"/>
      <sheetName val="Updated Areas 16 December (2)"/>
      <sheetName val="Changes (1)"/>
      <sheetName val="Updated Areas 2 December 99"/>
      <sheetName val="Updated Areas 26th November"/>
      <sheetName val="Updated Areas 15th Nov"/>
      <sheetName val="Areas"/>
      <sheetName val="Sheet11"/>
      <sheetName val="Sheet12"/>
      <sheetName val="Sheet13"/>
      <sheetName val="Sheet14"/>
      <sheetName val="Sheet15"/>
      <sheetName val="Sheet16"/>
      <sheetName val="Target Areas (2)"/>
      <sheetName val="Target Areas"/>
      <sheetName val="Updated Areas 07 February "/>
      <sheetName val="Construction"/>
      <sheetName val="Operations"/>
      <sheetName val="Commitmen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ontents"/>
      <sheetName val="Exec Summary &amp; Introduction"/>
      <sheetName val="Summary"/>
      <sheetName val="Assumptions etc"/>
      <sheetName val="APPENDIX A"/>
      <sheetName val="Cost Plan"/>
      <sheetName val="Shell &amp; Core"/>
      <sheetName val="APPENDIX B"/>
      <sheetName val="APPENDIX C"/>
      <sheetName val="Prelims, Fee &amp; Contingencies"/>
      <sheetName val="APPENDIX D"/>
      <sheetName val="Strengthening slab"/>
      <sheetName val="Base Build spec Rev H - June 07"/>
      <sheetName val="Sustainability"/>
      <sheetName val="Works in CP in lieu of DMB"/>
      <sheetName val="S106 Review"/>
      <sheetName val="APPENDIX E"/>
      <sheetName val="Inflation Assessment"/>
      <sheetName val="APPENDIX F"/>
      <sheetName val="Schedule of Areas (Stage C)"/>
      <sheetName val="APPENDIX G"/>
      <sheetName val="Schedule of Areas (stage D)"/>
      <sheetName val="APPENDIX H"/>
      <sheetName val="BREEAM"/>
      <sheetName val="APPENDIX I"/>
      <sheetName val="Value Engineering"/>
      <sheetName val="APPENDIX J"/>
      <sheetName val="Key Movements"/>
      <sheetName val="Reconciliation"/>
      <sheetName val="increasing GIFA"/>
      <sheetName val="APPENDIX K"/>
      <sheetName val="Ext Glazing rates"/>
      <sheetName val="APPENDIX L"/>
      <sheetName val="APPENDIX M"/>
      <sheetName val="APPENDIX N"/>
      <sheetName val="Graph"/>
      <sheetName val="Cashflow"/>
      <sheetName val="Construction"/>
      <sheetName val="Operations"/>
      <sheetName val="Cat A Change Contro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h"/>
      <sheetName val="Cash and return"/>
      <sheetName val="Sheet2"/>
      <sheetName val="Sheet3"/>
      <sheetName val="Drawdown request to bank"/>
      <sheetName val="Cashflow"/>
      <sheetName val="Assumptions"/>
      <sheetName val="@risk rents and incentives"/>
      <sheetName val="Car park lease"/>
      <sheetName val="Net rent analysis"/>
      <sheetName val="Ba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el"/>
      <sheetName val="Parameters"/>
      <sheetName val="Summary TRIANG"/>
      <sheetName val="Summary TRIGEN"/>
    </sheetNames>
    <sheetDataSet>
      <sheetData sheetId="0"/>
      <sheetData sheetId="1">
        <row r="2">
          <cell r="B2">
            <v>10</v>
          </cell>
        </row>
        <row r="3">
          <cell r="B3">
            <v>90</v>
          </cell>
        </row>
        <row r="5">
          <cell r="B5">
            <v>1</v>
          </cell>
        </row>
      </sheetData>
      <sheetData sheetId="2" refreshError="1"/>
      <sheetData sheetId="3"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hflow"/>
      <sheetName val="Graph"/>
      <sheetName val="Macro custom function"/>
      <sheetName val="Cover"/>
    </sheetNames>
    <sheetDataSet>
      <sheetData sheetId="0" refreshError="1"/>
      <sheetData sheetId="1" refreshError="1"/>
      <sheetData sheetId="2" refreshError="1"/>
      <sheetData sheetId="3"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ISK Correlations"/>
      <sheetName val="Escalation with HEC"/>
      <sheetName val="Escalation no HEC"/>
      <sheetName val="Annual escalation"/>
      <sheetName val="Base estimate with HEC"/>
      <sheetName val="Base estimate no HEC"/>
      <sheetName val="Miscellaneous global factors"/>
      <sheetName val="Labour rate, hrs &amp; prod"/>
      <sheetName val="Schedule"/>
      <sheetName val="S-curve"/>
      <sheetName val="Summary outputs"/>
    </sheetNames>
    <sheetDataSet>
      <sheetData sheetId="0">
        <row r="1">
          <cell r="A1" t="str">
            <v>@RISK Correlation Sheet</v>
          </cell>
        </row>
        <row r="5">
          <cell r="C5">
            <v>1</v>
          </cell>
        </row>
        <row r="6">
          <cell r="C6">
            <v>1</v>
          </cell>
          <cell r="D6">
            <v>1</v>
          </cell>
        </row>
        <row r="7">
          <cell r="C7">
            <v>1</v>
          </cell>
          <cell r="D7">
            <v>1</v>
          </cell>
          <cell r="E7">
            <v>1</v>
          </cell>
        </row>
        <row r="8">
          <cell r="C8">
            <v>1</v>
          </cell>
          <cell r="D8">
            <v>1</v>
          </cell>
          <cell r="E8">
            <v>1</v>
          </cell>
          <cell r="F8">
            <v>1</v>
          </cell>
        </row>
        <row r="13">
          <cell r="C13">
            <v>1</v>
          </cell>
        </row>
        <row r="14">
          <cell r="C14">
            <v>1</v>
          </cell>
          <cell r="D14">
            <v>1</v>
          </cell>
        </row>
        <row r="15">
          <cell r="C15">
            <v>1</v>
          </cell>
          <cell r="D15">
            <v>1</v>
          </cell>
          <cell r="E15">
            <v>1</v>
          </cell>
        </row>
        <row r="16">
          <cell r="C16">
            <v>1</v>
          </cell>
          <cell r="D16">
            <v>1</v>
          </cell>
          <cell r="E16">
            <v>1</v>
          </cell>
          <cell r="F16">
            <v>1</v>
          </cell>
        </row>
        <row r="21">
          <cell r="C21">
            <v>1</v>
          </cell>
        </row>
        <row r="22">
          <cell r="C22">
            <v>1</v>
          </cell>
          <cell r="D22">
            <v>1</v>
          </cell>
        </row>
        <row r="27">
          <cell r="C27">
            <v>1</v>
          </cell>
        </row>
        <row r="28">
          <cell r="C28">
            <v>1</v>
          </cell>
          <cell r="D28">
            <v>1</v>
          </cell>
        </row>
        <row r="29">
          <cell r="C29">
            <v>1</v>
          </cell>
          <cell r="D29">
            <v>1</v>
          </cell>
          <cell r="E29">
            <v>1</v>
          </cell>
        </row>
        <row r="30">
          <cell r="C30">
            <v>1</v>
          </cell>
          <cell r="D30">
            <v>1</v>
          </cell>
          <cell r="E30">
            <v>1</v>
          </cell>
          <cell r="F30">
            <v>1</v>
          </cell>
        </row>
        <row r="31">
          <cell r="C31">
            <v>1</v>
          </cell>
          <cell r="D31">
            <v>1</v>
          </cell>
          <cell r="E31">
            <v>1</v>
          </cell>
          <cell r="F31">
            <v>1</v>
          </cell>
          <cell r="G31">
            <v>1</v>
          </cell>
        </row>
        <row r="32">
          <cell r="C32">
            <v>1</v>
          </cell>
          <cell r="D32">
            <v>1</v>
          </cell>
          <cell r="E32">
            <v>1</v>
          </cell>
          <cell r="F32">
            <v>1</v>
          </cell>
          <cell r="G32">
            <v>1</v>
          </cell>
          <cell r="H32">
            <v>1</v>
          </cell>
        </row>
        <row r="33">
          <cell r="C33">
            <v>1</v>
          </cell>
          <cell r="D33">
            <v>1</v>
          </cell>
          <cell r="E33">
            <v>1</v>
          </cell>
          <cell r="F33">
            <v>1</v>
          </cell>
          <cell r="G33">
            <v>1</v>
          </cell>
          <cell r="H33">
            <v>1</v>
          </cell>
          <cell r="I33">
            <v>1</v>
          </cell>
        </row>
        <row r="34">
          <cell r="C34">
            <v>1</v>
          </cell>
          <cell r="D34">
            <v>1</v>
          </cell>
          <cell r="E34">
            <v>1</v>
          </cell>
          <cell r="F34">
            <v>1</v>
          </cell>
          <cell r="G34">
            <v>1</v>
          </cell>
          <cell r="H34">
            <v>1</v>
          </cell>
          <cell r="I34">
            <v>1</v>
          </cell>
          <cell r="J34">
            <v>1</v>
          </cell>
        </row>
        <row r="35">
          <cell r="C35">
            <v>1</v>
          </cell>
          <cell r="D35">
            <v>1</v>
          </cell>
          <cell r="E35">
            <v>1</v>
          </cell>
          <cell r="F35">
            <v>1</v>
          </cell>
          <cell r="G35">
            <v>1</v>
          </cell>
          <cell r="H35">
            <v>1</v>
          </cell>
          <cell r="I35">
            <v>1</v>
          </cell>
          <cell r="J35">
            <v>1</v>
          </cell>
          <cell r="K35">
            <v>1</v>
          </cell>
        </row>
        <row r="36">
          <cell r="C36">
            <v>1</v>
          </cell>
          <cell r="D36">
            <v>1</v>
          </cell>
          <cell r="E36">
            <v>1</v>
          </cell>
          <cell r="F36">
            <v>1</v>
          </cell>
          <cell r="G36">
            <v>1</v>
          </cell>
          <cell r="H36">
            <v>1</v>
          </cell>
          <cell r="I36">
            <v>1</v>
          </cell>
          <cell r="J36">
            <v>1</v>
          </cell>
          <cell r="K36">
            <v>1</v>
          </cell>
          <cell r="L36">
            <v>1</v>
          </cell>
        </row>
        <row r="37">
          <cell r="C37">
            <v>1</v>
          </cell>
          <cell r="D37">
            <v>1</v>
          </cell>
          <cell r="E37">
            <v>1</v>
          </cell>
          <cell r="F37">
            <v>1</v>
          </cell>
          <cell r="G37">
            <v>1</v>
          </cell>
          <cell r="H37">
            <v>1</v>
          </cell>
          <cell r="I37">
            <v>1</v>
          </cell>
          <cell r="J37">
            <v>1</v>
          </cell>
          <cell r="K37">
            <v>1</v>
          </cell>
          <cell r="L37">
            <v>1</v>
          </cell>
          <cell r="M37">
            <v>1</v>
          </cell>
        </row>
        <row r="38">
          <cell r="C38">
            <v>1</v>
          </cell>
          <cell r="D38">
            <v>1</v>
          </cell>
          <cell r="E38">
            <v>1</v>
          </cell>
          <cell r="F38">
            <v>1</v>
          </cell>
          <cell r="G38">
            <v>1</v>
          </cell>
          <cell r="H38">
            <v>1</v>
          </cell>
          <cell r="I38">
            <v>1</v>
          </cell>
          <cell r="J38">
            <v>1</v>
          </cell>
          <cell r="K38">
            <v>1</v>
          </cell>
          <cell r="L38">
            <v>1</v>
          </cell>
          <cell r="M38">
            <v>1</v>
          </cell>
          <cell r="N38">
            <v>1</v>
          </cell>
        </row>
        <row r="39">
          <cell r="C39">
            <v>1</v>
          </cell>
          <cell r="D39">
            <v>1</v>
          </cell>
          <cell r="E39">
            <v>1</v>
          </cell>
          <cell r="F39">
            <v>1</v>
          </cell>
          <cell r="G39">
            <v>1</v>
          </cell>
          <cell r="H39">
            <v>1</v>
          </cell>
          <cell r="I39">
            <v>1</v>
          </cell>
          <cell r="J39">
            <v>1</v>
          </cell>
          <cell r="K39">
            <v>1</v>
          </cell>
          <cell r="L39">
            <v>1</v>
          </cell>
          <cell r="M39">
            <v>1</v>
          </cell>
          <cell r="N39">
            <v>1</v>
          </cell>
          <cell r="O39">
            <v>1</v>
          </cell>
        </row>
        <row r="40">
          <cell r="C40">
            <v>1</v>
          </cell>
          <cell r="D40">
            <v>1</v>
          </cell>
          <cell r="E40">
            <v>1</v>
          </cell>
          <cell r="F40">
            <v>1</v>
          </cell>
          <cell r="G40">
            <v>1</v>
          </cell>
          <cell r="H40">
            <v>1</v>
          </cell>
          <cell r="I40">
            <v>1</v>
          </cell>
          <cell r="J40">
            <v>1</v>
          </cell>
          <cell r="K40">
            <v>1</v>
          </cell>
          <cell r="L40">
            <v>1</v>
          </cell>
          <cell r="M40">
            <v>1</v>
          </cell>
          <cell r="N40">
            <v>1</v>
          </cell>
          <cell r="O40">
            <v>1</v>
          </cell>
          <cell r="P40">
            <v>1</v>
          </cell>
        </row>
        <row r="41">
          <cell r="C41">
            <v>1</v>
          </cell>
          <cell r="D41">
            <v>1</v>
          </cell>
          <cell r="E41">
            <v>1</v>
          </cell>
          <cell r="F41">
            <v>1</v>
          </cell>
          <cell r="G41">
            <v>1</v>
          </cell>
          <cell r="H41">
            <v>1</v>
          </cell>
          <cell r="I41">
            <v>1</v>
          </cell>
          <cell r="J41">
            <v>1</v>
          </cell>
          <cell r="K41">
            <v>1</v>
          </cell>
          <cell r="L41">
            <v>1</v>
          </cell>
          <cell r="M41">
            <v>1</v>
          </cell>
          <cell r="N41">
            <v>1</v>
          </cell>
          <cell r="O41">
            <v>1</v>
          </cell>
          <cell r="P41">
            <v>1</v>
          </cell>
          <cell r="Q41">
            <v>1</v>
          </cell>
        </row>
        <row r="42">
          <cell r="C42">
            <v>1</v>
          </cell>
          <cell r="D42">
            <v>1</v>
          </cell>
          <cell r="E42">
            <v>1</v>
          </cell>
          <cell r="F42">
            <v>1</v>
          </cell>
          <cell r="G42">
            <v>1</v>
          </cell>
          <cell r="H42">
            <v>1</v>
          </cell>
          <cell r="I42">
            <v>1</v>
          </cell>
          <cell r="J42">
            <v>1</v>
          </cell>
          <cell r="K42">
            <v>1</v>
          </cell>
          <cell r="L42">
            <v>1</v>
          </cell>
          <cell r="M42">
            <v>1</v>
          </cell>
          <cell r="N42">
            <v>1</v>
          </cell>
          <cell r="O42">
            <v>1</v>
          </cell>
          <cell r="P42">
            <v>1</v>
          </cell>
          <cell r="Q42">
            <v>1</v>
          </cell>
          <cell r="R42">
            <v>1</v>
          </cell>
        </row>
        <row r="43">
          <cell r="C43">
            <v>1</v>
          </cell>
          <cell r="D43">
            <v>1</v>
          </cell>
          <cell r="E43">
            <v>1</v>
          </cell>
          <cell r="F43">
            <v>1</v>
          </cell>
          <cell r="G43">
            <v>1</v>
          </cell>
          <cell r="H43">
            <v>1</v>
          </cell>
          <cell r="I43">
            <v>1</v>
          </cell>
          <cell r="J43">
            <v>1</v>
          </cell>
          <cell r="K43">
            <v>1</v>
          </cell>
          <cell r="L43">
            <v>1</v>
          </cell>
          <cell r="M43">
            <v>1</v>
          </cell>
          <cell r="N43">
            <v>1</v>
          </cell>
          <cell r="O43">
            <v>1</v>
          </cell>
          <cell r="P43">
            <v>1</v>
          </cell>
          <cell r="Q43">
            <v>1</v>
          </cell>
          <cell r="R43">
            <v>1</v>
          </cell>
          <cell r="S43">
            <v>1</v>
          </cell>
        </row>
        <row r="44">
          <cell r="C44">
            <v>1</v>
          </cell>
          <cell r="D44">
            <v>1</v>
          </cell>
          <cell r="E44">
            <v>1</v>
          </cell>
          <cell r="F44">
            <v>1</v>
          </cell>
          <cell r="G44">
            <v>1</v>
          </cell>
          <cell r="H44">
            <v>1</v>
          </cell>
          <cell r="I44">
            <v>1</v>
          </cell>
          <cell r="J44">
            <v>1</v>
          </cell>
          <cell r="K44">
            <v>1</v>
          </cell>
          <cell r="L44">
            <v>1</v>
          </cell>
          <cell r="M44">
            <v>1</v>
          </cell>
          <cell r="N44">
            <v>1</v>
          </cell>
          <cell r="O44">
            <v>1</v>
          </cell>
          <cell r="P44">
            <v>1</v>
          </cell>
          <cell r="Q44">
            <v>1</v>
          </cell>
          <cell r="R44">
            <v>1</v>
          </cell>
          <cell r="S44">
            <v>1</v>
          </cell>
          <cell r="T44">
            <v>1</v>
          </cell>
        </row>
        <row r="45">
          <cell r="C45">
            <v>1</v>
          </cell>
          <cell r="D45">
            <v>1</v>
          </cell>
          <cell r="E45">
            <v>1</v>
          </cell>
          <cell r="F45">
            <v>1</v>
          </cell>
          <cell r="G45">
            <v>1</v>
          </cell>
          <cell r="H45">
            <v>1</v>
          </cell>
          <cell r="I45">
            <v>1</v>
          </cell>
          <cell r="J45">
            <v>1</v>
          </cell>
          <cell r="K45">
            <v>1</v>
          </cell>
          <cell r="L45">
            <v>1</v>
          </cell>
          <cell r="M45">
            <v>1</v>
          </cell>
          <cell r="N45">
            <v>1</v>
          </cell>
          <cell r="O45">
            <v>1</v>
          </cell>
          <cell r="P45">
            <v>1</v>
          </cell>
          <cell r="Q45">
            <v>1</v>
          </cell>
          <cell r="R45">
            <v>1</v>
          </cell>
          <cell r="S45">
            <v>1</v>
          </cell>
          <cell r="T45">
            <v>1</v>
          </cell>
          <cell r="U45">
            <v>1</v>
          </cell>
        </row>
        <row r="46">
          <cell r="C46">
            <v>1</v>
          </cell>
          <cell r="D46">
            <v>1</v>
          </cell>
          <cell r="E46">
            <v>1</v>
          </cell>
          <cell r="F46">
            <v>1</v>
          </cell>
          <cell r="G46">
            <v>1</v>
          </cell>
          <cell r="H46">
            <v>1</v>
          </cell>
          <cell r="I46">
            <v>1</v>
          </cell>
          <cell r="J46">
            <v>1</v>
          </cell>
          <cell r="K46">
            <v>1</v>
          </cell>
          <cell r="L46">
            <v>1</v>
          </cell>
          <cell r="M46">
            <v>1</v>
          </cell>
          <cell r="N46">
            <v>1</v>
          </cell>
          <cell r="O46">
            <v>1</v>
          </cell>
          <cell r="P46">
            <v>1</v>
          </cell>
          <cell r="Q46">
            <v>1</v>
          </cell>
          <cell r="R46">
            <v>1</v>
          </cell>
          <cell r="S46">
            <v>1</v>
          </cell>
          <cell r="T46">
            <v>1</v>
          </cell>
          <cell r="U46">
            <v>1</v>
          </cell>
          <cell r="V46">
            <v>1</v>
          </cell>
        </row>
      </sheetData>
      <sheetData sheetId="1" refreshError="1"/>
      <sheetData sheetId="2" refreshError="1"/>
      <sheetData sheetId="3">
        <row r="1">
          <cell r="M1">
            <v>-2.5000000000000001E-2</v>
          </cell>
        </row>
        <row r="5">
          <cell r="A5" t="str">
            <v>Structural steel</v>
          </cell>
          <cell r="B5" t="str">
            <v>Optimistic</v>
          </cell>
          <cell r="C5">
            <v>0.03</v>
          </cell>
          <cell r="D5">
            <v>0.03</v>
          </cell>
          <cell r="E5">
            <v>0.03</v>
          </cell>
          <cell r="F5">
            <v>0.03</v>
          </cell>
          <cell r="G5">
            <v>0.08</v>
          </cell>
          <cell r="H5">
            <v>0</v>
          </cell>
          <cell r="I5">
            <v>0</v>
          </cell>
          <cell r="J5">
            <v>0</v>
          </cell>
          <cell r="L5">
            <v>5.5E-2</v>
          </cell>
          <cell r="M5">
            <v>-2.5000000000000001E-2</v>
          </cell>
          <cell r="N5">
            <v>-2.5000000000000001E-2</v>
          </cell>
          <cell r="O5">
            <v>-2.5000000000000001E-2</v>
          </cell>
          <cell r="Q5">
            <v>0.10333333333333333</v>
          </cell>
          <cell r="R5">
            <v>3.5000000000000003E-2</v>
          </cell>
          <cell r="S5">
            <v>2.5000000000000001E-2</v>
          </cell>
          <cell r="T5">
            <v>2.5000000000000001E-2</v>
          </cell>
          <cell r="V5">
            <v>7.8333333333333338E-2</v>
          </cell>
          <cell r="W5">
            <v>1.0000000000000002E-2</v>
          </cell>
          <cell r="X5">
            <v>0</v>
          </cell>
          <cell r="Y5">
            <v>0</v>
          </cell>
        </row>
        <row r="6">
          <cell r="B6" t="str">
            <v>Likely</v>
          </cell>
          <cell r="C6">
            <v>0.05</v>
          </cell>
          <cell r="D6">
            <v>0.05</v>
          </cell>
          <cell r="E6">
            <v>0.05</v>
          </cell>
          <cell r="F6">
            <v>0.05</v>
          </cell>
          <cell r="G6">
            <v>0.08</v>
          </cell>
          <cell r="H6">
            <v>2.5000000000000001E-2</v>
          </cell>
          <cell r="I6">
            <v>2.5000000000000001E-2</v>
          </cell>
          <cell r="J6">
            <v>2.5000000000000001E-2</v>
          </cell>
          <cell r="L6">
            <v>5.5E-2</v>
          </cell>
          <cell r="M6">
            <v>0</v>
          </cell>
          <cell r="N6">
            <v>0</v>
          </cell>
          <cell r="O6">
            <v>0</v>
          </cell>
        </row>
        <row r="7">
          <cell r="B7" t="str">
            <v>Pessimistic</v>
          </cell>
          <cell r="C7">
            <v>7.4999999999999997E-2</v>
          </cell>
          <cell r="D7">
            <v>7.4999999999999997E-2</v>
          </cell>
          <cell r="E7">
            <v>7.4999999999999997E-2</v>
          </cell>
          <cell r="F7">
            <v>7.4999999999999997E-2</v>
          </cell>
          <cell r="G7">
            <v>0.15</v>
          </cell>
          <cell r="H7">
            <v>0.08</v>
          </cell>
          <cell r="I7">
            <v>0.05</v>
          </cell>
          <cell r="J7">
            <v>0.05</v>
          </cell>
          <cell r="L7">
            <v>0.125</v>
          </cell>
          <cell r="M7">
            <v>5.5E-2</v>
          </cell>
          <cell r="N7">
            <v>2.5000000000000001E-2</v>
          </cell>
          <cell r="O7">
            <v>2.5000000000000001E-2</v>
          </cell>
        </row>
        <row r="8">
          <cell r="A8" t="str">
            <v>Tankage</v>
          </cell>
          <cell r="B8" t="str">
            <v>Optimistic</v>
          </cell>
          <cell r="C8">
            <v>0.03</v>
          </cell>
          <cell r="D8">
            <v>0.03</v>
          </cell>
          <cell r="E8">
            <v>0.03</v>
          </cell>
          <cell r="F8">
            <v>0.03</v>
          </cell>
          <cell r="G8">
            <v>0.08</v>
          </cell>
          <cell r="H8">
            <v>0</v>
          </cell>
          <cell r="I8">
            <v>0</v>
          </cell>
          <cell r="J8">
            <v>0</v>
          </cell>
          <cell r="L8">
            <v>5.5E-2</v>
          </cell>
          <cell r="M8">
            <v>-2.5000000000000001E-2</v>
          </cell>
          <cell r="N8">
            <v>-2.5000000000000001E-2</v>
          </cell>
          <cell r="O8">
            <v>-2.5000000000000001E-2</v>
          </cell>
          <cell r="Q8">
            <v>0.10333333333333333</v>
          </cell>
          <cell r="R8">
            <v>3.5000000000000003E-2</v>
          </cell>
          <cell r="S8">
            <v>2.5000000000000001E-2</v>
          </cell>
          <cell r="T8">
            <v>2.5000000000000001E-2</v>
          </cell>
          <cell r="V8">
            <v>7.8333333333333338E-2</v>
          </cell>
          <cell r="W8">
            <v>1.0000000000000002E-2</v>
          </cell>
          <cell r="X8">
            <v>0</v>
          </cell>
          <cell r="Y8">
            <v>0</v>
          </cell>
        </row>
        <row r="9">
          <cell r="B9" t="str">
            <v>Likely</v>
          </cell>
          <cell r="C9">
            <v>0.05</v>
          </cell>
          <cell r="D9">
            <v>0.05</v>
          </cell>
          <cell r="E9">
            <v>0.05</v>
          </cell>
          <cell r="F9">
            <v>0.05</v>
          </cell>
          <cell r="G9">
            <v>0.08</v>
          </cell>
          <cell r="H9">
            <v>2.5000000000000001E-2</v>
          </cell>
          <cell r="I9">
            <v>2.5000000000000001E-2</v>
          </cell>
          <cell r="J9">
            <v>2.5000000000000001E-2</v>
          </cell>
          <cell r="L9">
            <v>5.5E-2</v>
          </cell>
          <cell r="M9">
            <v>0</v>
          </cell>
          <cell r="N9">
            <v>0</v>
          </cell>
          <cell r="O9">
            <v>0</v>
          </cell>
        </row>
        <row r="10">
          <cell r="B10" t="str">
            <v>Pessimistic</v>
          </cell>
          <cell r="C10">
            <v>7.4999999999999997E-2</v>
          </cell>
          <cell r="D10">
            <v>7.4999999999999997E-2</v>
          </cell>
          <cell r="E10">
            <v>7.4999999999999997E-2</v>
          </cell>
          <cell r="F10">
            <v>7.4999999999999997E-2</v>
          </cell>
          <cell r="G10">
            <v>0.15</v>
          </cell>
          <cell r="H10">
            <v>0.08</v>
          </cell>
          <cell r="I10">
            <v>0.05</v>
          </cell>
          <cell r="J10">
            <v>0.05</v>
          </cell>
          <cell r="L10">
            <v>0.125</v>
          </cell>
          <cell r="M10">
            <v>5.5E-2</v>
          </cell>
          <cell r="N10">
            <v>2.5000000000000001E-2</v>
          </cell>
          <cell r="O10">
            <v>2.5000000000000001E-2</v>
          </cell>
        </row>
        <row r="11">
          <cell r="A11" t="str">
            <v>Plate</v>
          </cell>
          <cell r="B11" t="str">
            <v>Optimistic</v>
          </cell>
          <cell r="C11">
            <v>0.03</v>
          </cell>
          <cell r="D11">
            <v>0.03</v>
          </cell>
          <cell r="E11">
            <v>0.03</v>
          </cell>
          <cell r="F11">
            <v>0.03</v>
          </cell>
          <cell r="G11">
            <v>0.08</v>
          </cell>
          <cell r="H11">
            <v>0</v>
          </cell>
          <cell r="I11">
            <v>0</v>
          </cell>
          <cell r="J11">
            <v>0</v>
          </cell>
          <cell r="L11">
            <v>5.5E-2</v>
          </cell>
          <cell r="M11">
            <v>-2.5000000000000001E-2</v>
          </cell>
          <cell r="N11">
            <v>-2.5000000000000001E-2</v>
          </cell>
          <cell r="O11">
            <v>-2.5000000000000001E-2</v>
          </cell>
          <cell r="Q11">
            <v>0.10333333333333333</v>
          </cell>
          <cell r="R11">
            <v>3.5000000000000003E-2</v>
          </cell>
          <cell r="S11">
            <v>2.5000000000000001E-2</v>
          </cell>
          <cell r="T11">
            <v>2.5000000000000001E-2</v>
          </cell>
          <cell r="V11">
            <v>7.8333333333333338E-2</v>
          </cell>
          <cell r="W11">
            <v>1.0000000000000002E-2</v>
          </cell>
          <cell r="X11">
            <v>0</v>
          </cell>
          <cell r="Y11">
            <v>0</v>
          </cell>
        </row>
        <row r="12">
          <cell r="B12" t="str">
            <v>Likely</v>
          </cell>
          <cell r="C12">
            <v>0.05</v>
          </cell>
          <cell r="D12">
            <v>0.05</v>
          </cell>
          <cell r="E12">
            <v>0.05</v>
          </cell>
          <cell r="F12">
            <v>0.05</v>
          </cell>
          <cell r="G12">
            <v>0.08</v>
          </cell>
          <cell r="H12">
            <v>2.5000000000000001E-2</v>
          </cell>
          <cell r="I12">
            <v>2.5000000000000001E-2</v>
          </cell>
          <cell r="J12">
            <v>2.5000000000000001E-2</v>
          </cell>
          <cell r="L12">
            <v>5.5E-2</v>
          </cell>
          <cell r="M12">
            <v>0</v>
          </cell>
          <cell r="N12">
            <v>0</v>
          </cell>
          <cell r="O12">
            <v>0</v>
          </cell>
        </row>
        <row r="13">
          <cell r="B13" t="str">
            <v>Pessimistic</v>
          </cell>
          <cell r="C13">
            <v>7.4999999999999997E-2</v>
          </cell>
          <cell r="D13">
            <v>7.4999999999999997E-2</v>
          </cell>
          <cell r="E13">
            <v>7.4999999999999997E-2</v>
          </cell>
          <cell r="F13">
            <v>7.4999999999999997E-2</v>
          </cell>
          <cell r="G13">
            <v>0.15</v>
          </cell>
          <cell r="H13">
            <v>0.08</v>
          </cell>
          <cell r="I13">
            <v>0.05</v>
          </cell>
          <cell r="J13">
            <v>0.05</v>
          </cell>
          <cell r="L13">
            <v>0.125</v>
          </cell>
          <cell r="M13">
            <v>5.5E-2</v>
          </cell>
          <cell r="N13">
            <v>2.5000000000000001E-2</v>
          </cell>
          <cell r="O13">
            <v>2.5000000000000001E-2</v>
          </cell>
        </row>
        <row r="14">
          <cell r="A14" t="str">
            <v>Piping</v>
          </cell>
          <cell r="B14" t="str">
            <v>Optimistic</v>
          </cell>
          <cell r="C14">
            <v>0.03</v>
          </cell>
          <cell r="D14">
            <v>0.03</v>
          </cell>
          <cell r="E14">
            <v>0.03</v>
          </cell>
          <cell r="F14">
            <v>0.03</v>
          </cell>
          <cell r="G14">
            <v>0.1</v>
          </cell>
          <cell r="H14">
            <v>0</v>
          </cell>
          <cell r="I14">
            <v>0</v>
          </cell>
          <cell r="J14">
            <v>0</v>
          </cell>
          <cell r="L14">
            <v>7.5000000000000011E-2</v>
          </cell>
          <cell r="M14">
            <v>-2.5000000000000001E-2</v>
          </cell>
          <cell r="N14">
            <v>-2.5000000000000001E-2</v>
          </cell>
          <cell r="O14">
            <v>-2.5000000000000001E-2</v>
          </cell>
          <cell r="Q14">
            <v>0.13333333333333333</v>
          </cell>
          <cell r="R14">
            <v>3.5000000000000003E-2</v>
          </cell>
          <cell r="S14">
            <v>2.5000000000000001E-2</v>
          </cell>
          <cell r="T14">
            <v>2.5000000000000001E-2</v>
          </cell>
          <cell r="V14">
            <v>0.10833333333333334</v>
          </cell>
          <cell r="W14">
            <v>1.0000000000000002E-2</v>
          </cell>
          <cell r="X14">
            <v>0</v>
          </cell>
          <cell r="Y14">
            <v>0</v>
          </cell>
        </row>
        <row r="15">
          <cell r="B15" t="str">
            <v>Likely</v>
          </cell>
          <cell r="C15">
            <v>0.05</v>
          </cell>
          <cell r="D15">
            <v>0.05</v>
          </cell>
          <cell r="E15">
            <v>0.05</v>
          </cell>
          <cell r="F15">
            <v>0.05</v>
          </cell>
          <cell r="G15">
            <v>0.15</v>
          </cell>
          <cell r="H15">
            <v>2.5000000000000001E-2</v>
          </cell>
          <cell r="I15">
            <v>2.5000000000000001E-2</v>
          </cell>
          <cell r="J15">
            <v>2.5000000000000001E-2</v>
          </cell>
          <cell r="L15">
            <v>0.125</v>
          </cell>
          <cell r="M15">
            <v>0</v>
          </cell>
          <cell r="N15">
            <v>0</v>
          </cell>
          <cell r="O15">
            <v>0</v>
          </cell>
        </row>
        <row r="16">
          <cell r="B16" t="str">
            <v>Pessimistic</v>
          </cell>
          <cell r="C16">
            <v>7.4999999999999997E-2</v>
          </cell>
          <cell r="D16">
            <v>7.4999999999999997E-2</v>
          </cell>
          <cell r="E16">
            <v>7.4999999999999997E-2</v>
          </cell>
          <cell r="F16">
            <v>7.4999999999999997E-2</v>
          </cell>
          <cell r="G16">
            <v>0.15</v>
          </cell>
          <cell r="H16">
            <v>0.08</v>
          </cell>
          <cell r="I16">
            <v>0.05</v>
          </cell>
          <cell r="J16">
            <v>0.05</v>
          </cell>
          <cell r="L16">
            <v>0.125</v>
          </cell>
          <cell r="M16">
            <v>5.5E-2</v>
          </cell>
          <cell r="N16">
            <v>2.5000000000000001E-2</v>
          </cell>
          <cell r="O16">
            <v>2.5000000000000001E-2</v>
          </cell>
        </row>
        <row r="17">
          <cell r="A17" t="str">
            <v>Concrete</v>
          </cell>
          <cell r="B17" t="str">
            <v>Optimistic</v>
          </cell>
          <cell r="C17">
            <v>0.03</v>
          </cell>
          <cell r="D17">
            <v>0.03</v>
          </cell>
          <cell r="E17">
            <v>0.03</v>
          </cell>
          <cell r="F17">
            <v>0.03</v>
          </cell>
          <cell r="G17">
            <v>0.03</v>
          </cell>
          <cell r="H17">
            <v>0.03</v>
          </cell>
          <cell r="I17">
            <v>0.03</v>
          </cell>
          <cell r="J17">
            <v>0.03</v>
          </cell>
          <cell r="L17">
            <v>4.9999999999999975E-3</v>
          </cell>
          <cell r="M17">
            <v>4.9999999999999975E-3</v>
          </cell>
          <cell r="N17">
            <v>4.9999999999999975E-3</v>
          </cell>
          <cell r="O17">
            <v>4.9999999999999975E-3</v>
          </cell>
          <cell r="Q17">
            <v>5.1666666666666666E-2</v>
          </cell>
          <cell r="R17">
            <v>5.1666666666666666E-2</v>
          </cell>
          <cell r="S17">
            <v>5.1666666666666666E-2</v>
          </cell>
          <cell r="T17">
            <v>5.1666666666666666E-2</v>
          </cell>
          <cell r="V17">
            <v>2.6666666666666665E-2</v>
          </cell>
          <cell r="W17">
            <v>2.6666666666666665E-2</v>
          </cell>
          <cell r="X17">
            <v>2.6666666666666665E-2</v>
          </cell>
          <cell r="Y17">
            <v>2.6666666666666665E-2</v>
          </cell>
        </row>
        <row r="18">
          <cell r="B18" t="str">
            <v>Likely</v>
          </cell>
          <cell r="C18">
            <v>0.05</v>
          </cell>
          <cell r="D18">
            <v>0.05</v>
          </cell>
          <cell r="E18">
            <v>0.05</v>
          </cell>
          <cell r="F18">
            <v>0.05</v>
          </cell>
          <cell r="G18">
            <v>0.05</v>
          </cell>
          <cell r="H18">
            <v>0.05</v>
          </cell>
          <cell r="I18">
            <v>0.05</v>
          </cell>
          <cell r="J18">
            <v>0.05</v>
          </cell>
          <cell r="L18">
            <v>2.5000000000000001E-2</v>
          </cell>
          <cell r="M18">
            <v>2.5000000000000001E-2</v>
          </cell>
          <cell r="N18">
            <v>2.5000000000000001E-2</v>
          </cell>
          <cell r="O18">
            <v>2.5000000000000001E-2</v>
          </cell>
        </row>
        <row r="19">
          <cell r="B19" t="str">
            <v>Pessimistic</v>
          </cell>
          <cell r="C19">
            <v>7.4999999999999997E-2</v>
          </cell>
          <cell r="D19">
            <v>7.4999999999999997E-2</v>
          </cell>
          <cell r="E19">
            <v>7.4999999999999997E-2</v>
          </cell>
          <cell r="F19">
            <v>7.4999999999999997E-2</v>
          </cell>
          <cell r="G19">
            <v>7.4999999999999997E-2</v>
          </cell>
          <cell r="H19">
            <v>7.4999999999999997E-2</v>
          </cell>
          <cell r="I19">
            <v>7.4999999999999997E-2</v>
          </cell>
          <cell r="J19">
            <v>7.4999999999999997E-2</v>
          </cell>
          <cell r="L19">
            <v>4.9999999999999996E-2</v>
          </cell>
          <cell r="M19">
            <v>4.9999999999999996E-2</v>
          </cell>
          <cell r="N19">
            <v>4.9999999999999996E-2</v>
          </cell>
          <cell r="O19">
            <v>4.9999999999999996E-2</v>
          </cell>
        </row>
        <row r="20">
          <cell r="A20" t="str">
            <v>Insulation</v>
          </cell>
          <cell r="B20" t="str">
            <v>Optimistic</v>
          </cell>
          <cell r="C20">
            <v>0.03</v>
          </cell>
          <cell r="D20">
            <v>0.03</v>
          </cell>
          <cell r="E20">
            <v>0.03</v>
          </cell>
          <cell r="F20">
            <v>0.03</v>
          </cell>
          <cell r="G20">
            <v>0.03</v>
          </cell>
          <cell r="H20">
            <v>0</v>
          </cell>
          <cell r="I20">
            <v>0</v>
          </cell>
          <cell r="J20">
            <v>0</v>
          </cell>
          <cell r="L20">
            <v>4.9999999999999975E-3</v>
          </cell>
          <cell r="M20">
            <v>-2.5000000000000001E-2</v>
          </cell>
          <cell r="N20">
            <v>-2.5000000000000001E-2</v>
          </cell>
          <cell r="O20">
            <v>-2.5000000000000001E-2</v>
          </cell>
          <cell r="Q20">
            <v>3.6666666666666667E-2</v>
          </cell>
          <cell r="R20">
            <v>2.6666666666666665E-2</v>
          </cell>
          <cell r="S20">
            <v>2.6666666666666665E-2</v>
          </cell>
          <cell r="T20">
            <v>2.6666666666666665E-2</v>
          </cell>
          <cell r="V20">
            <v>1.1666666666666665E-2</v>
          </cell>
          <cell r="W20">
            <v>1.6666666666666635E-3</v>
          </cell>
          <cell r="X20">
            <v>1.6666666666666635E-3</v>
          </cell>
          <cell r="Y20">
            <v>1.6666666666666635E-3</v>
          </cell>
        </row>
        <row r="21">
          <cell r="B21" t="str">
            <v>Likely</v>
          </cell>
          <cell r="C21">
            <v>0.05</v>
          </cell>
          <cell r="D21">
            <v>0.05</v>
          </cell>
          <cell r="E21">
            <v>0.05</v>
          </cell>
          <cell r="F21">
            <v>0.05</v>
          </cell>
          <cell r="G21">
            <v>0.03</v>
          </cell>
          <cell r="H21">
            <v>0.03</v>
          </cell>
          <cell r="I21">
            <v>0.03</v>
          </cell>
          <cell r="J21">
            <v>0.03</v>
          </cell>
          <cell r="L21">
            <v>4.9999999999999975E-3</v>
          </cell>
          <cell r="M21">
            <v>4.9999999999999975E-3</v>
          </cell>
          <cell r="N21">
            <v>4.9999999999999975E-3</v>
          </cell>
          <cell r="O21">
            <v>4.9999999999999975E-3</v>
          </cell>
        </row>
        <row r="22">
          <cell r="B22" t="str">
            <v>Pessimistic</v>
          </cell>
          <cell r="C22">
            <v>7.4999999999999997E-2</v>
          </cell>
          <cell r="D22">
            <v>7.4999999999999997E-2</v>
          </cell>
          <cell r="E22">
            <v>7.4999999999999997E-2</v>
          </cell>
          <cell r="F22">
            <v>7.4999999999999997E-2</v>
          </cell>
          <cell r="G22">
            <v>0.05</v>
          </cell>
          <cell r="H22">
            <v>0.05</v>
          </cell>
          <cell r="I22">
            <v>0.05</v>
          </cell>
          <cell r="J22">
            <v>0.05</v>
          </cell>
          <cell r="L22">
            <v>2.5000000000000001E-2</v>
          </cell>
          <cell r="M22">
            <v>2.5000000000000001E-2</v>
          </cell>
          <cell r="N22">
            <v>2.5000000000000001E-2</v>
          </cell>
          <cell r="O22">
            <v>2.5000000000000001E-2</v>
          </cell>
        </row>
        <row r="23">
          <cell r="A23" t="str">
            <v>Mechanical equip.</v>
          </cell>
          <cell r="B23" t="str">
            <v>Optimistic</v>
          </cell>
          <cell r="C23">
            <v>0.03</v>
          </cell>
          <cell r="D23">
            <v>0.03</v>
          </cell>
          <cell r="E23">
            <v>0.03</v>
          </cell>
          <cell r="F23">
            <v>0.03</v>
          </cell>
          <cell r="G23">
            <v>0.05</v>
          </cell>
          <cell r="H23">
            <v>0.03</v>
          </cell>
          <cell r="I23">
            <v>0.03</v>
          </cell>
          <cell r="J23">
            <v>0.03</v>
          </cell>
          <cell r="L23">
            <v>2.5000000000000001E-2</v>
          </cell>
          <cell r="M23">
            <v>4.9999999999999975E-3</v>
          </cell>
          <cell r="N23">
            <v>4.9999999999999975E-3</v>
          </cell>
          <cell r="O23">
            <v>4.9999999999999975E-3</v>
          </cell>
          <cell r="Q23">
            <v>6.6666666666666666E-2</v>
          </cell>
          <cell r="R23">
            <v>0.04</v>
          </cell>
          <cell r="S23">
            <v>0.04</v>
          </cell>
          <cell r="T23">
            <v>0.04</v>
          </cell>
          <cell r="V23">
            <v>4.1666666666666664E-2</v>
          </cell>
          <cell r="W23">
            <v>1.4999999999999999E-2</v>
          </cell>
          <cell r="X23">
            <v>1.4999999999999999E-2</v>
          </cell>
          <cell r="Y23">
            <v>1.4999999999999999E-2</v>
          </cell>
        </row>
        <row r="24">
          <cell r="B24" t="str">
            <v>Likely</v>
          </cell>
          <cell r="C24">
            <v>0.05</v>
          </cell>
          <cell r="D24">
            <v>0.05</v>
          </cell>
          <cell r="E24">
            <v>0.05</v>
          </cell>
          <cell r="F24">
            <v>0.05</v>
          </cell>
          <cell r="G24">
            <v>0.05</v>
          </cell>
          <cell r="H24">
            <v>0.04</v>
          </cell>
          <cell r="I24">
            <v>0.04</v>
          </cell>
          <cell r="J24">
            <v>0.04</v>
          </cell>
          <cell r="L24">
            <v>2.5000000000000001E-2</v>
          </cell>
          <cell r="M24">
            <v>1.4999999999999999E-2</v>
          </cell>
          <cell r="N24">
            <v>1.4999999999999999E-2</v>
          </cell>
          <cell r="O24">
            <v>1.4999999999999999E-2</v>
          </cell>
        </row>
        <row r="25">
          <cell r="B25" t="str">
            <v>Pessimistic</v>
          </cell>
          <cell r="C25">
            <v>7.4999999999999997E-2</v>
          </cell>
          <cell r="D25">
            <v>7.4999999999999997E-2</v>
          </cell>
          <cell r="E25">
            <v>7.4999999999999997E-2</v>
          </cell>
          <cell r="F25">
            <v>7.4999999999999997E-2</v>
          </cell>
          <cell r="G25">
            <v>0.1</v>
          </cell>
          <cell r="H25">
            <v>0.05</v>
          </cell>
          <cell r="I25">
            <v>0.05</v>
          </cell>
          <cell r="J25">
            <v>0.05</v>
          </cell>
          <cell r="L25">
            <v>7.5000000000000011E-2</v>
          </cell>
          <cell r="M25">
            <v>2.5000000000000001E-2</v>
          </cell>
          <cell r="N25">
            <v>2.5000000000000001E-2</v>
          </cell>
          <cell r="O25">
            <v>2.5000000000000001E-2</v>
          </cell>
        </row>
        <row r="26">
          <cell r="A26" t="str">
            <v>Mechanical equip</v>
          </cell>
          <cell r="B26" t="str">
            <v>Optimistic</v>
          </cell>
          <cell r="C26">
            <v>0.03</v>
          </cell>
          <cell r="D26">
            <v>0.03</v>
          </cell>
          <cell r="E26">
            <v>0.03</v>
          </cell>
          <cell r="F26">
            <v>0.03</v>
          </cell>
          <cell r="G26">
            <v>0.08</v>
          </cell>
          <cell r="H26">
            <v>0</v>
          </cell>
          <cell r="I26">
            <v>0</v>
          </cell>
          <cell r="J26">
            <v>0</v>
          </cell>
          <cell r="L26">
            <v>5.5E-2</v>
          </cell>
          <cell r="M26">
            <v>-2.5000000000000001E-2</v>
          </cell>
          <cell r="N26">
            <v>-2.5000000000000001E-2</v>
          </cell>
          <cell r="O26">
            <v>-2.5000000000000001E-2</v>
          </cell>
          <cell r="Q26">
            <v>0.10333333333333333</v>
          </cell>
          <cell r="R26">
            <v>3.5000000000000003E-2</v>
          </cell>
          <cell r="S26">
            <v>2.5000000000000001E-2</v>
          </cell>
          <cell r="T26">
            <v>2.5000000000000001E-2</v>
          </cell>
          <cell r="V26">
            <v>7.8333333333333338E-2</v>
          </cell>
          <cell r="W26">
            <v>1.0000000000000002E-2</v>
          </cell>
          <cell r="X26">
            <v>0</v>
          </cell>
          <cell r="Y26">
            <v>0</v>
          </cell>
        </row>
        <row r="27">
          <cell r="A27" t="str">
            <v>(Heaters)</v>
          </cell>
          <cell r="B27" t="str">
            <v>Likely</v>
          </cell>
          <cell r="C27">
            <v>0.05</v>
          </cell>
          <cell r="D27">
            <v>0.05</v>
          </cell>
          <cell r="E27">
            <v>0.05</v>
          </cell>
          <cell r="F27">
            <v>0.05</v>
          </cell>
          <cell r="G27">
            <v>0.08</v>
          </cell>
          <cell r="H27">
            <v>2.5000000000000001E-2</v>
          </cell>
          <cell r="I27">
            <v>2.5000000000000001E-2</v>
          </cell>
          <cell r="J27">
            <v>2.5000000000000001E-2</v>
          </cell>
          <cell r="L27">
            <v>5.5E-2</v>
          </cell>
          <cell r="M27">
            <v>0</v>
          </cell>
          <cell r="N27">
            <v>0</v>
          </cell>
          <cell r="O27">
            <v>0</v>
          </cell>
        </row>
        <row r="28">
          <cell r="B28" t="str">
            <v>Pessimistic</v>
          </cell>
          <cell r="C28">
            <v>7.4999999999999997E-2</v>
          </cell>
          <cell r="D28">
            <v>7.4999999999999997E-2</v>
          </cell>
          <cell r="E28">
            <v>7.4999999999999997E-2</v>
          </cell>
          <cell r="F28">
            <v>7.4999999999999997E-2</v>
          </cell>
          <cell r="G28">
            <v>0.15</v>
          </cell>
          <cell r="H28">
            <v>0.08</v>
          </cell>
          <cell r="I28">
            <v>0.05</v>
          </cell>
          <cell r="J28">
            <v>0.05</v>
          </cell>
          <cell r="L28">
            <v>0.125</v>
          </cell>
          <cell r="M28">
            <v>5.5E-2</v>
          </cell>
          <cell r="N28">
            <v>2.5000000000000001E-2</v>
          </cell>
          <cell r="O28">
            <v>2.5000000000000001E-2</v>
          </cell>
        </row>
        <row r="29">
          <cell r="A29" t="str">
            <v>Electrical equip</v>
          </cell>
          <cell r="B29" t="str">
            <v>Optimistic</v>
          </cell>
          <cell r="C29">
            <v>0.03</v>
          </cell>
          <cell r="D29">
            <v>0.03</v>
          </cell>
          <cell r="E29">
            <v>0.03</v>
          </cell>
          <cell r="F29">
            <v>0.03</v>
          </cell>
          <cell r="G29">
            <v>0.05</v>
          </cell>
          <cell r="H29">
            <v>2.5000000000000001E-2</v>
          </cell>
          <cell r="I29">
            <v>2.5000000000000001E-2</v>
          </cell>
          <cell r="J29">
            <v>2.5000000000000001E-2</v>
          </cell>
          <cell r="L29">
            <v>2.5000000000000001E-2</v>
          </cell>
          <cell r="M29">
            <v>0</v>
          </cell>
          <cell r="N29">
            <v>0</v>
          </cell>
          <cell r="O29">
            <v>0</v>
          </cell>
          <cell r="Q29">
            <v>6.6666666666666666E-2</v>
          </cell>
          <cell r="R29">
            <v>3.833333333333333E-2</v>
          </cell>
          <cell r="S29">
            <v>3.833333333333333E-2</v>
          </cell>
          <cell r="T29">
            <v>3.833333333333333E-2</v>
          </cell>
          <cell r="V29">
            <v>4.1666666666666664E-2</v>
          </cell>
          <cell r="W29">
            <v>1.3333333333333329E-2</v>
          </cell>
          <cell r="X29">
            <v>1.3333333333333329E-2</v>
          </cell>
          <cell r="Y29">
            <v>1.3333333333333329E-2</v>
          </cell>
        </row>
        <row r="30">
          <cell r="B30" t="str">
            <v>Likely</v>
          </cell>
          <cell r="C30">
            <v>0.05</v>
          </cell>
          <cell r="D30">
            <v>0.05</v>
          </cell>
          <cell r="E30">
            <v>0.05</v>
          </cell>
          <cell r="F30">
            <v>0.05</v>
          </cell>
          <cell r="G30">
            <v>0.05</v>
          </cell>
          <cell r="H30">
            <v>0.04</v>
          </cell>
          <cell r="I30">
            <v>0.04</v>
          </cell>
          <cell r="J30">
            <v>0.04</v>
          </cell>
          <cell r="L30">
            <v>2.5000000000000001E-2</v>
          </cell>
          <cell r="M30">
            <v>1.4999999999999999E-2</v>
          </cell>
          <cell r="N30">
            <v>1.4999999999999999E-2</v>
          </cell>
          <cell r="O30">
            <v>1.4999999999999999E-2</v>
          </cell>
        </row>
        <row r="31">
          <cell r="B31" t="str">
            <v>Pessimistic</v>
          </cell>
          <cell r="C31">
            <v>7.4999999999999997E-2</v>
          </cell>
          <cell r="D31">
            <v>7.4999999999999997E-2</v>
          </cell>
          <cell r="E31">
            <v>7.4999999999999997E-2</v>
          </cell>
          <cell r="F31">
            <v>7.4999999999999997E-2</v>
          </cell>
          <cell r="G31">
            <v>0.1</v>
          </cell>
          <cell r="H31">
            <v>0.05</v>
          </cell>
          <cell r="I31">
            <v>0.05</v>
          </cell>
          <cell r="J31">
            <v>0.05</v>
          </cell>
          <cell r="L31">
            <v>7.5000000000000011E-2</v>
          </cell>
          <cell r="M31">
            <v>2.5000000000000001E-2</v>
          </cell>
          <cell r="N31">
            <v>2.5000000000000001E-2</v>
          </cell>
          <cell r="O31">
            <v>2.5000000000000001E-2</v>
          </cell>
        </row>
        <row r="32">
          <cell r="A32" t="str">
            <v>Electrical Cable</v>
          </cell>
          <cell r="B32" t="str">
            <v>Optimistic</v>
          </cell>
          <cell r="C32">
            <v>0.03</v>
          </cell>
          <cell r="D32">
            <v>0.03</v>
          </cell>
          <cell r="E32">
            <v>0.03</v>
          </cell>
          <cell r="F32">
            <v>0.03</v>
          </cell>
          <cell r="G32">
            <v>0.05</v>
          </cell>
          <cell r="H32">
            <v>2.5000000000000001E-2</v>
          </cell>
          <cell r="I32">
            <v>2.5000000000000001E-2</v>
          </cell>
          <cell r="J32">
            <v>2.5000000000000001E-2</v>
          </cell>
          <cell r="L32">
            <v>2.5000000000000001E-2</v>
          </cell>
          <cell r="M32">
            <v>0</v>
          </cell>
          <cell r="N32">
            <v>0</v>
          </cell>
          <cell r="O32">
            <v>0</v>
          </cell>
          <cell r="Q32">
            <v>6.6666666666666666E-2</v>
          </cell>
          <cell r="R32">
            <v>3.833333333333333E-2</v>
          </cell>
          <cell r="S32">
            <v>3.833333333333333E-2</v>
          </cell>
          <cell r="T32">
            <v>3.833333333333333E-2</v>
          </cell>
          <cell r="V32">
            <v>4.1666666666666664E-2</v>
          </cell>
          <cell r="W32">
            <v>1.3333333333333329E-2</v>
          </cell>
          <cell r="X32">
            <v>1.3333333333333329E-2</v>
          </cell>
          <cell r="Y32">
            <v>1.3333333333333329E-2</v>
          </cell>
        </row>
        <row r="33">
          <cell r="B33" t="str">
            <v>Likely</v>
          </cell>
          <cell r="C33">
            <v>0.05</v>
          </cell>
          <cell r="D33">
            <v>0.05</v>
          </cell>
          <cell r="E33">
            <v>0.05</v>
          </cell>
          <cell r="F33">
            <v>0.05</v>
          </cell>
          <cell r="G33">
            <v>0.05</v>
          </cell>
          <cell r="H33">
            <v>0.04</v>
          </cell>
          <cell r="I33">
            <v>0.04</v>
          </cell>
          <cell r="J33">
            <v>0.04</v>
          </cell>
          <cell r="L33">
            <v>2.5000000000000001E-2</v>
          </cell>
          <cell r="M33">
            <v>1.4999999999999999E-2</v>
          </cell>
          <cell r="N33">
            <v>1.4999999999999999E-2</v>
          </cell>
          <cell r="O33">
            <v>1.4999999999999999E-2</v>
          </cell>
        </row>
        <row r="34">
          <cell r="B34" t="str">
            <v>Pessimistic</v>
          </cell>
          <cell r="C34">
            <v>7.4999999999999997E-2</v>
          </cell>
          <cell r="D34">
            <v>7.4999999999999997E-2</v>
          </cell>
          <cell r="E34">
            <v>7.4999999999999997E-2</v>
          </cell>
          <cell r="F34">
            <v>7.4999999999999997E-2</v>
          </cell>
          <cell r="G34">
            <v>0.1</v>
          </cell>
          <cell r="H34">
            <v>0.05</v>
          </cell>
          <cell r="I34">
            <v>0.05</v>
          </cell>
          <cell r="J34">
            <v>0.05</v>
          </cell>
          <cell r="L34">
            <v>7.5000000000000011E-2</v>
          </cell>
          <cell r="M34">
            <v>2.5000000000000001E-2</v>
          </cell>
          <cell r="N34">
            <v>2.5000000000000001E-2</v>
          </cell>
          <cell r="O34">
            <v>2.5000000000000001E-2</v>
          </cell>
        </row>
        <row r="35">
          <cell r="A35" t="str">
            <v>Electrical Cable Ladder</v>
          </cell>
          <cell r="B35" t="str">
            <v>Optimistic</v>
          </cell>
          <cell r="C35">
            <v>0.03</v>
          </cell>
          <cell r="D35">
            <v>0.03</v>
          </cell>
          <cell r="E35">
            <v>0.03</v>
          </cell>
          <cell r="F35">
            <v>0.03</v>
          </cell>
          <cell r="G35">
            <v>0.08</v>
          </cell>
          <cell r="H35">
            <v>0</v>
          </cell>
          <cell r="I35">
            <v>0</v>
          </cell>
          <cell r="J35">
            <v>0</v>
          </cell>
          <cell r="L35">
            <v>5.5E-2</v>
          </cell>
          <cell r="M35">
            <v>-2.5000000000000001E-2</v>
          </cell>
          <cell r="N35">
            <v>-2.5000000000000001E-2</v>
          </cell>
          <cell r="O35">
            <v>-2.5000000000000001E-2</v>
          </cell>
          <cell r="Q35">
            <v>0.10333333333333333</v>
          </cell>
          <cell r="R35">
            <v>3.5000000000000003E-2</v>
          </cell>
          <cell r="S35">
            <v>2.5000000000000001E-2</v>
          </cell>
          <cell r="T35">
            <v>2.5000000000000001E-2</v>
          </cell>
          <cell r="V35">
            <v>7.8333333333333338E-2</v>
          </cell>
          <cell r="W35">
            <v>1.0000000000000002E-2</v>
          </cell>
          <cell r="X35">
            <v>0</v>
          </cell>
          <cell r="Y35">
            <v>0</v>
          </cell>
        </row>
        <row r="36">
          <cell r="B36" t="str">
            <v>Likely</v>
          </cell>
          <cell r="C36">
            <v>0.05</v>
          </cell>
          <cell r="D36">
            <v>0.05</v>
          </cell>
          <cell r="E36">
            <v>0.05</v>
          </cell>
          <cell r="F36">
            <v>0.05</v>
          </cell>
          <cell r="G36">
            <v>0.08</v>
          </cell>
          <cell r="H36">
            <v>2.5000000000000001E-2</v>
          </cell>
          <cell r="I36">
            <v>2.5000000000000001E-2</v>
          </cell>
          <cell r="J36">
            <v>2.5000000000000001E-2</v>
          </cell>
          <cell r="L36">
            <v>5.5E-2</v>
          </cell>
          <cell r="M36">
            <v>0</v>
          </cell>
          <cell r="N36">
            <v>0</v>
          </cell>
          <cell r="O36">
            <v>0</v>
          </cell>
        </row>
        <row r="37">
          <cell r="B37" t="str">
            <v>Pessimistic</v>
          </cell>
          <cell r="C37">
            <v>7.4999999999999997E-2</v>
          </cell>
          <cell r="D37">
            <v>7.4999999999999997E-2</v>
          </cell>
          <cell r="E37">
            <v>7.4999999999999997E-2</v>
          </cell>
          <cell r="F37">
            <v>7.4999999999999997E-2</v>
          </cell>
          <cell r="G37">
            <v>0.15</v>
          </cell>
          <cell r="H37">
            <v>0.08</v>
          </cell>
          <cell r="I37">
            <v>0.05</v>
          </cell>
          <cell r="J37">
            <v>0.05</v>
          </cell>
          <cell r="L37">
            <v>0.125</v>
          </cell>
          <cell r="M37">
            <v>5.5E-2</v>
          </cell>
          <cell r="N37">
            <v>2.5000000000000001E-2</v>
          </cell>
          <cell r="O37">
            <v>2.5000000000000001E-2</v>
          </cell>
        </row>
        <row r="38">
          <cell r="A38" t="str">
            <v>Labour (shop)</v>
          </cell>
          <cell r="B38" t="str">
            <v>Optimistic</v>
          </cell>
          <cell r="C38">
            <v>0.05</v>
          </cell>
          <cell r="D38">
            <v>0.05</v>
          </cell>
          <cell r="E38">
            <v>0.05</v>
          </cell>
          <cell r="F38">
            <v>0.05</v>
          </cell>
          <cell r="G38">
            <v>0.05</v>
          </cell>
          <cell r="H38">
            <v>0.05</v>
          </cell>
          <cell r="I38">
            <v>0.05</v>
          </cell>
          <cell r="J38">
            <v>0.05</v>
          </cell>
          <cell r="K38" t="str">
            <v xml:space="preserve">Numbers reduced to avoid double </v>
          </cell>
          <cell r="L38">
            <v>2.5000000000000001E-2</v>
          </cell>
          <cell r="M38">
            <v>2.5000000000000001E-2</v>
          </cell>
          <cell r="N38">
            <v>2.5000000000000001E-2</v>
          </cell>
          <cell r="O38">
            <v>2.5000000000000001E-2</v>
          </cell>
          <cell r="Q38">
            <v>5.333333333333333E-2</v>
          </cell>
          <cell r="R38">
            <v>5.333333333333333E-2</v>
          </cell>
          <cell r="S38">
            <v>5.333333333333333E-2</v>
          </cell>
          <cell r="T38">
            <v>5.333333333333333E-2</v>
          </cell>
          <cell r="V38">
            <v>2.8333333333333328E-2</v>
          </cell>
          <cell r="W38">
            <v>2.8333333333333328E-2</v>
          </cell>
          <cell r="X38">
            <v>2.8333333333333328E-2</v>
          </cell>
          <cell r="Y38">
            <v>2.8333333333333328E-2</v>
          </cell>
        </row>
        <row r="39">
          <cell r="B39" t="str">
            <v>Likely</v>
          </cell>
          <cell r="C39">
            <v>0.08</v>
          </cell>
          <cell r="D39">
            <v>0.06</v>
          </cell>
          <cell r="E39">
            <v>0.06</v>
          </cell>
          <cell r="F39">
            <v>0.06</v>
          </cell>
          <cell r="G39">
            <v>0.05</v>
          </cell>
          <cell r="H39">
            <v>0.05</v>
          </cell>
          <cell r="I39">
            <v>0.05</v>
          </cell>
          <cell r="J39">
            <v>0.05</v>
          </cell>
          <cell r="K39" t="str">
            <v xml:space="preserve">counting risk that is already </v>
          </cell>
          <cell r="L39">
            <v>2.5000000000000001E-2</v>
          </cell>
          <cell r="M39">
            <v>2.5000000000000001E-2</v>
          </cell>
          <cell r="N39">
            <v>2.5000000000000001E-2</v>
          </cell>
          <cell r="O39">
            <v>2.5000000000000001E-2</v>
          </cell>
        </row>
        <row r="40">
          <cell r="B40" t="str">
            <v>Pessimistic</v>
          </cell>
          <cell r="C40">
            <v>0.18</v>
          </cell>
          <cell r="D40">
            <v>0.18</v>
          </cell>
          <cell r="E40">
            <v>0.18</v>
          </cell>
          <cell r="F40">
            <v>0.18</v>
          </cell>
          <cell r="G40">
            <v>0.06</v>
          </cell>
          <cell r="H40">
            <v>0.06</v>
          </cell>
          <cell r="I40">
            <v>0.06</v>
          </cell>
          <cell r="J40">
            <v>0.06</v>
          </cell>
          <cell r="K40" t="str">
            <v>considered in global factors</v>
          </cell>
          <cell r="L40">
            <v>3.4999999999999996E-2</v>
          </cell>
          <cell r="M40">
            <v>3.4999999999999996E-2</v>
          </cell>
          <cell r="N40">
            <v>3.4999999999999996E-2</v>
          </cell>
          <cell r="O40">
            <v>3.4999999999999996E-2</v>
          </cell>
        </row>
        <row r="41">
          <cell r="A41" t="str">
            <v>Labour (field)</v>
          </cell>
          <cell r="B41" t="str">
            <v>Optimistic</v>
          </cell>
          <cell r="C41">
            <v>0.05</v>
          </cell>
          <cell r="D41">
            <v>0.05</v>
          </cell>
          <cell r="E41">
            <v>0.05</v>
          </cell>
          <cell r="F41">
            <v>0.05</v>
          </cell>
          <cell r="G41">
            <v>0.05</v>
          </cell>
          <cell r="H41">
            <v>0.05</v>
          </cell>
          <cell r="I41">
            <v>0.05</v>
          </cell>
          <cell r="J41">
            <v>0.05</v>
          </cell>
          <cell r="L41">
            <v>2.5000000000000001E-2</v>
          </cell>
          <cell r="M41">
            <v>2.5000000000000001E-2</v>
          </cell>
          <cell r="N41">
            <v>2.5000000000000001E-2</v>
          </cell>
          <cell r="O41">
            <v>2.5000000000000001E-2</v>
          </cell>
          <cell r="Q41">
            <v>5.333333333333333E-2</v>
          </cell>
          <cell r="R41">
            <v>5.333333333333333E-2</v>
          </cell>
          <cell r="S41">
            <v>5.333333333333333E-2</v>
          </cell>
          <cell r="T41">
            <v>5.333333333333333E-2</v>
          </cell>
          <cell r="V41">
            <v>2.8333333333333328E-2</v>
          </cell>
          <cell r="W41">
            <v>2.8333333333333328E-2</v>
          </cell>
          <cell r="X41">
            <v>2.8333333333333328E-2</v>
          </cell>
          <cell r="Y41">
            <v>2.8333333333333328E-2</v>
          </cell>
        </row>
        <row r="42">
          <cell r="B42" t="str">
            <v>Likely</v>
          </cell>
          <cell r="C42">
            <v>0.08</v>
          </cell>
          <cell r="D42">
            <v>0.06</v>
          </cell>
          <cell r="E42">
            <v>0.06</v>
          </cell>
          <cell r="F42">
            <v>0.06</v>
          </cell>
          <cell r="G42">
            <v>0.05</v>
          </cell>
          <cell r="H42">
            <v>0.05</v>
          </cell>
          <cell r="I42">
            <v>0.05</v>
          </cell>
          <cell r="J42">
            <v>0.05</v>
          </cell>
          <cell r="L42">
            <v>2.5000000000000001E-2</v>
          </cell>
          <cell r="M42">
            <v>2.5000000000000001E-2</v>
          </cell>
          <cell r="N42">
            <v>2.5000000000000001E-2</v>
          </cell>
          <cell r="O42">
            <v>2.5000000000000001E-2</v>
          </cell>
        </row>
        <row r="43">
          <cell r="B43" t="str">
            <v>Pessimistic</v>
          </cell>
          <cell r="C43">
            <v>0.18</v>
          </cell>
          <cell r="D43">
            <v>0.18</v>
          </cell>
          <cell r="E43">
            <v>0.18</v>
          </cell>
          <cell r="F43">
            <v>0.18</v>
          </cell>
          <cell r="G43">
            <v>0.06</v>
          </cell>
          <cell r="H43">
            <v>0.06</v>
          </cell>
          <cell r="I43">
            <v>0.06</v>
          </cell>
          <cell r="J43">
            <v>0.06</v>
          </cell>
          <cell r="L43">
            <v>3.4999999999999996E-2</v>
          </cell>
          <cell r="M43">
            <v>3.4999999999999996E-2</v>
          </cell>
          <cell r="N43">
            <v>3.4999999999999996E-2</v>
          </cell>
          <cell r="O43">
            <v>3.4999999999999996E-2</v>
          </cell>
        </row>
        <row r="44">
          <cell r="A44" t="str">
            <v>Engineering</v>
          </cell>
          <cell r="B44" t="str">
            <v>Optimistic</v>
          </cell>
          <cell r="C44">
            <v>0.03</v>
          </cell>
          <cell r="D44">
            <v>0.03</v>
          </cell>
          <cell r="E44">
            <v>0.03</v>
          </cell>
          <cell r="F44">
            <v>0.03</v>
          </cell>
          <cell r="G44">
            <v>0.1</v>
          </cell>
          <cell r="H44">
            <v>0.05</v>
          </cell>
          <cell r="I44">
            <v>0.05</v>
          </cell>
          <cell r="J44">
            <v>0.05</v>
          </cell>
          <cell r="L44">
            <v>7.5000000000000011E-2</v>
          </cell>
          <cell r="M44">
            <v>2.5000000000000001E-2</v>
          </cell>
          <cell r="N44">
            <v>2.5000000000000001E-2</v>
          </cell>
          <cell r="O44">
            <v>2.5000000000000001E-2</v>
          </cell>
          <cell r="Q44">
            <v>0.14666666666666667</v>
          </cell>
          <cell r="R44">
            <v>7.6666666666666661E-2</v>
          </cell>
          <cell r="S44">
            <v>6.6666666666666666E-2</v>
          </cell>
          <cell r="T44">
            <v>6.6666666666666666E-2</v>
          </cell>
          <cell r="V44">
            <v>0.12166666666666667</v>
          </cell>
          <cell r="W44">
            <v>5.1666666666666659E-2</v>
          </cell>
          <cell r="X44">
            <v>4.1666666666666664E-2</v>
          </cell>
          <cell r="Y44">
            <v>4.1666666666666664E-2</v>
          </cell>
        </row>
        <row r="45">
          <cell r="B45" t="str">
            <v>Likely</v>
          </cell>
          <cell r="C45">
            <v>0.08</v>
          </cell>
          <cell r="D45">
            <v>0.03</v>
          </cell>
          <cell r="E45">
            <v>0.03</v>
          </cell>
          <cell r="F45">
            <v>0.03</v>
          </cell>
          <cell r="G45">
            <v>0.12</v>
          </cell>
          <cell r="H45">
            <v>0.08</v>
          </cell>
          <cell r="I45">
            <v>0.05</v>
          </cell>
          <cell r="J45">
            <v>0.05</v>
          </cell>
          <cell r="L45">
            <v>9.5000000000000001E-2</v>
          </cell>
          <cell r="M45">
            <v>5.5E-2</v>
          </cell>
          <cell r="N45">
            <v>2.5000000000000001E-2</v>
          </cell>
          <cell r="O45">
            <v>2.5000000000000001E-2</v>
          </cell>
        </row>
        <row r="46">
          <cell r="B46" t="str">
            <v>Pessimistic</v>
          </cell>
          <cell r="C46">
            <v>0.105</v>
          </cell>
          <cell r="D46">
            <v>0.105</v>
          </cell>
          <cell r="E46">
            <v>0.105</v>
          </cell>
          <cell r="F46">
            <v>0.105</v>
          </cell>
          <cell r="G46">
            <v>0.22</v>
          </cell>
          <cell r="H46">
            <v>0.1</v>
          </cell>
          <cell r="I46">
            <v>0.1</v>
          </cell>
          <cell r="J46">
            <v>0.1</v>
          </cell>
          <cell r="L46">
            <v>0.19500000000000001</v>
          </cell>
          <cell r="M46">
            <v>7.5000000000000011E-2</v>
          </cell>
          <cell r="N46">
            <v>7.5000000000000011E-2</v>
          </cell>
          <cell r="O46">
            <v>7.5000000000000011E-2</v>
          </cell>
        </row>
        <row r="47">
          <cell r="A47" t="str">
            <v>PCM</v>
          </cell>
          <cell r="B47" t="str">
            <v>Optimistic</v>
          </cell>
          <cell r="C47">
            <v>0.03</v>
          </cell>
          <cell r="D47">
            <v>0.03</v>
          </cell>
          <cell r="E47">
            <v>0.03</v>
          </cell>
          <cell r="F47">
            <v>0.03</v>
          </cell>
          <cell r="G47">
            <v>0.1</v>
          </cell>
          <cell r="H47">
            <v>0.05</v>
          </cell>
          <cell r="I47">
            <v>0.05</v>
          </cell>
          <cell r="J47">
            <v>0.05</v>
          </cell>
          <cell r="L47">
            <v>7.5000000000000011E-2</v>
          </cell>
          <cell r="M47">
            <v>2.5000000000000001E-2</v>
          </cell>
          <cell r="N47">
            <v>2.5000000000000001E-2</v>
          </cell>
          <cell r="O47">
            <v>2.5000000000000001E-2</v>
          </cell>
          <cell r="Q47">
            <v>0.14666666666666667</v>
          </cell>
          <cell r="R47">
            <v>7.6666666666666661E-2</v>
          </cell>
          <cell r="S47">
            <v>7.6666666666666661E-2</v>
          </cell>
          <cell r="T47">
            <v>6.6666666666666666E-2</v>
          </cell>
          <cell r="V47">
            <v>0.12166666666666667</v>
          </cell>
          <cell r="W47">
            <v>5.1666666666666659E-2</v>
          </cell>
          <cell r="X47">
            <v>5.1666666666666659E-2</v>
          </cell>
          <cell r="Y47">
            <v>4.1666666666666664E-2</v>
          </cell>
        </row>
        <row r="48">
          <cell r="B48" t="str">
            <v>Likely</v>
          </cell>
          <cell r="C48">
            <v>0.1</v>
          </cell>
          <cell r="D48">
            <v>0.04</v>
          </cell>
          <cell r="E48">
            <v>0.04</v>
          </cell>
          <cell r="F48">
            <v>0.04</v>
          </cell>
          <cell r="G48">
            <v>0.12</v>
          </cell>
          <cell r="H48">
            <v>0.08</v>
          </cell>
          <cell r="I48">
            <v>0.08</v>
          </cell>
          <cell r="J48">
            <v>0.05</v>
          </cell>
          <cell r="L48">
            <v>9.5000000000000001E-2</v>
          </cell>
          <cell r="M48">
            <v>5.5E-2</v>
          </cell>
          <cell r="N48">
            <v>5.5E-2</v>
          </cell>
          <cell r="O48">
            <v>2.5000000000000001E-2</v>
          </cell>
        </row>
        <row r="49">
          <cell r="B49" t="str">
            <v>Pessimistic</v>
          </cell>
          <cell r="C49">
            <v>0.105</v>
          </cell>
          <cell r="D49">
            <v>0.105</v>
          </cell>
          <cell r="E49">
            <v>0.105</v>
          </cell>
          <cell r="F49">
            <v>0.105</v>
          </cell>
          <cell r="G49">
            <v>0.22</v>
          </cell>
          <cell r="H49">
            <v>0.1</v>
          </cell>
          <cell r="I49">
            <v>0.1</v>
          </cell>
          <cell r="J49">
            <v>0.1</v>
          </cell>
          <cell r="L49">
            <v>0.19500000000000001</v>
          </cell>
          <cell r="M49">
            <v>7.5000000000000011E-2</v>
          </cell>
          <cell r="N49">
            <v>7.5000000000000011E-2</v>
          </cell>
          <cell r="O49">
            <v>7.5000000000000011E-2</v>
          </cell>
        </row>
      </sheetData>
      <sheetData sheetId="4" refreshError="1"/>
      <sheetData sheetId="5" refreshError="1"/>
      <sheetData sheetId="6" refreshError="1"/>
      <sheetData sheetId="7" refreshError="1"/>
      <sheetData sheetId="8">
        <row r="12">
          <cell r="B12">
            <v>0</v>
          </cell>
        </row>
        <row r="13">
          <cell r="B13">
            <v>38748</v>
          </cell>
        </row>
        <row r="16">
          <cell r="B16">
            <v>1.0356481481481481</v>
          </cell>
        </row>
      </sheetData>
      <sheetData sheetId="9" refreshError="1"/>
      <sheetData sheetId="10"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IABILITY"/>
      <sheetName val="Notes"/>
      <sheetName val="Chart data"/>
    </sheetNames>
    <sheetDataSet>
      <sheetData sheetId="0" refreshError="1"/>
      <sheetData sheetId="1" refreshError="1"/>
      <sheetData sheetId="2"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VIABILITY"/>
      <sheetName val="Notes"/>
    </sheetNames>
    <sheetDataSet>
      <sheetData sheetId="0" refreshError="1"/>
      <sheetData sheetId="1" refreshError="1"/>
      <sheetData sheetId="2"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T-INPUT"/>
      <sheetName val="CRT-SUM"/>
      <sheetName val="CRT-DETAIL"/>
      <sheetName val="CRT-JBCC"/>
      <sheetName val="Haylett"/>
      <sheetName val="PROGRESS REPORT"/>
      <sheetName val="FR-BLDRSWRK-INPUT"/>
      <sheetName val="FR-INDEX - GENERAL INFO"/>
      <sheetName val="FR-FINAL-SUM"/>
      <sheetName val="FR-SUMMERY"/>
      <sheetName val="FR-PRLIMS-DETAIL"/>
      <sheetName val="FR-BUILDERSWORK-DETAIL"/>
      <sheetName val="FR-PROVSNL-SUM-DETAIL"/>
      <sheetName val="CONTINGENCIES"/>
      <sheetName val="ESCALATION"/>
      <sheetName val="FR-PROFF-FEES"/>
      <sheetName val="FR-IUC."/>
      <sheetName val="FR-AI"/>
      <sheetName val="FR-S.I.-"/>
      <sheetName val="VAT"/>
      <sheetName val="Construction Cashflow"/>
      <sheetName val="PROGRESSIVE CASHFLOW CH 1"/>
      <sheetName val="Monthly cashflow CHART2"/>
      <sheetName val="prof-fee-cashflow"/>
      <sheetName val="prof fee chart 1"/>
      <sheetName val="prof-fee monthly"/>
      <sheetName val="Project cashflow"/>
      <sheetName val="FR_SUMMERY"/>
      <sheetName val="FR_PRLIMS_DETAIL"/>
      <sheetName val="AREAS"/>
      <sheetName val="WORKINGS"/>
      <sheetName val="VIABILIT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nd Management Business - 2"/>
      <sheetName val="RLV Calc"/>
      <sheetName val="Summary"/>
      <sheetName val="Cashflow"/>
      <sheetName val="Profit &amp; Loss"/>
      <sheetName val="Sales"/>
      <sheetName val="Dev. Costs"/>
      <sheetName val="Built form op"/>
      <sheetName val="PROFIT AND LOSS (2)"/>
      <sheetName val="50% JV"/>
      <sheetName val="Summary Returns"/>
      <sheetName val="Fixed Land Value"/>
      <sheetName val="Fixed Land Value + Profit shr"/>
      <sheetName val="% Rev"/>
      <sheetName val="Land Value"/>
      <sheetName val="Assumptions"/>
      <sheetName val="#REF"/>
      <sheetName val="Lookups"/>
      <sheetName val="Income"/>
      <sheetName val="Sheet1"/>
      <sheetName val="Zone A Categories"/>
      <sheetName val="EASEL CA Example"/>
      <sheetName val="Ramp data"/>
      <sheetName val="PPlay_Data"/>
      <sheetName val="Financial Summary"/>
      <sheetName val="Data_Sheet"/>
      <sheetName val="Bluewater NPV - sell January"/>
      <sheetName val="Lower Ground"/>
      <sheetName val="Upper Ground"/>
      <sheetName val="Inputs"/>
      <sheetName val="Control"/>
      <sheetName val="CA Upside_Downside Old"/>
      <sheetName val="D&amp;C Calcs"/>
      <sheetName val="Cap Cost"/>
      <sheetName val="Costs (dev)"/>
      <sheetName val="Calcs"/>
      <sheetName val="Letting"/>
      <sheetName val="S-C+Market"/>
      <sheetName val="UBR"/>
      <sheetName val="FR-PRLIMS-DETAIL"/>
      <sheetName val="FR-SUMME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J Carey Final Account"/>
      <sheetName val="P2200 Budget"/>
      <sheetName val="Sheet1"/>
      <sheetName val="Sheet2"/>
      <sheetName val="Sheet3"/>
      <sheetName val="Summary"/>
      <sheetName val="FR-PRLIMS-DETAIL"/>
      <sheetName val="FR-SUMME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rket Testing"/>
      <sheetName val="Demolitions"/>
      <sheetName val="Piling"/>
      <sheetName val="Concrete Works"/>
      <sheetName val="Structural steel"/>
      <sheetName val="Cover"/>
      <sheetName val="AREAS"/>
      <sheetName val="WORKING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sclaimer"/>
      <sheetName val="Assumptions"/>
      <sheetName val="Outputs"/>
      <sheetName val="Scenarios"/>
      <sheetName val="Historic_Inflation_Figures"/>
      <sheetName val="Area_Inflation"/>
      <sheetName val="Four Scenarios"/>
      <sheetName val="Inputs"/>
      <sheetName val="Sensitivities"/>
      <sheetName val="Project1_Cashflow"/>
      <sheetName val="Project2_Cashflow"/>
      <sheetName val="Project3_Cashflow"/>
      <sheetName val="Project4_Cashflow"/>
      <sheetName val="Landowner Share"/>
      <sheetName val="Annual Summary"/>
      <sheetName val="WORKINGS"/>
      <sheetName val="AREAS"/>
      <sheetName val="ESTIMATE"/>
      <sheetName val="Cover"/>
      <sheetName val="Cashflow"/>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sclaimer"/>
      <sheetName val="Assumptions"/>
      <sheetName val="Outputs"/>
      <sheetName val="Scenarios"/>
      <sheetName val="Historic_Inflation_Figures"/>
      <sheetName val="Area_Inflation"/>
      <sheetName val="Four Scenarios"/>
      <sheetName val="Inputs"/>
      <sheetName val="Sensitivities"/>
      <sheetName val="Project1_Cashflow"/>
      <sheetName val="Project2_Cashflow"/>
      <sheetName val="Project3_Cashflow"/>
      <sheetName val="Project4_Cashflow"/>
      <sheetName val="Landowner Share"/>
      <sheetName val="Annual Summary"/>
      <sheetName val="WORKINGS"/>
      <sheetName val="AREA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sclaimer"/>
      <sheetName val="User Notes"/>
      <sheetName val="Summary"/>
      <sheetName val="Control"/>
      <sheetName val="Mix - E India"/>
      <sheetName val="Mix - Newington"/>
      <sheetName val="Mix - Cat"/>
      <sheetName val="East India"/>
      <sheetName val="Newington"/>
      <sheetName val="Catford"/>
      <sheetName val="Relevant Site Calcs"/>
      <sheetName val="Financing"/>
      <sheetName val="Tables"/>
      <sheetName val="More Tables"/>
      <sheetName val="Sensitivity"/>
      <sheetName val="WORKINGS"/>
      <sheetName val="AREAS"/>
      <sheetName val="FR-PROVSNL-SUM-DETAIL"/>
      <sheetName val="FR-SUMMERY"/>
      <sheetName val="Sensitiviti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T-INPUT"/>
      <sheetName val="CRT-SUM"/>
      <sheetName val="CRT-DETAIL"/>
      <sheetName val="CRT-JBCC"/>
      <sheetName val="Haylett (3)"/>
      <sheetName val="Haylett (2)"/>
      <sheetName val="Haylett"/>
      <sheetName val="Sheet1"/>
      <sheetName val="FR-BLDRSWRK-DETAIL"/>
      <sheetName val="FR-INDEX - GENERAL INFO"/>
      <sheetName val="FR-FINAL-SUM"/>
      <sheetName val="FR-SUMMERY"/>
      <sheetName val="FR-PROVSNL-SUM-DETAIL"/>
      <sheetName val="FR-PROFF-FEES"/>
      <sheetName val="FR-VO.-IUC."/>
      <sheetName val="FR-S.I.-"/>
      <sheetName val="VAT"/>
      <sheetName val="Construction Cashflow"/>
      <sheetName val="prof-fee-cashflow"/>
      <sheetName val="Project cashflow"/>
      <sheetName val="FR_SUMMERY"/>
      <sheetName val="FR_PROVSNL_SUM_DETAIL"/>
      <sheetName val="Sensitivities"/>
      <sheetName val="Control"/>
      <sheetName val="Imports"/>
      <sheetName val="Trades"/>
      <sheetName val="Notes"/>
      <sheetName val="Summary "/>
      <sheetName val="I&amp;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
      <sheetName val="steps"/>
      <sheetName val="EscalationSummary"/>
      <sheetName val="Escalation_D"/>
      <sheetName val="CashFlow_D"/>
      <sheetName val="EscalationPB"/>
      <sheetName val="CashFlowPB"/>
      <sheetName val="EscalationWMS"/>
      <sheetName val="CashFlow_WMS"/>
      <sheetName val="Index"/>
      <sheetName val="Reference"/>
      <sheetName val="Estimate D"/>
      <sheetName val="Direct Costs_D"/>
      <sheetName val="Contingency_D"/>
      <sheetName val="EstimatePB"/>
      <sheetName val="Direct CostsPB"/>
      <sheetName val="ContingencyPB"/>
      <sheetName val="Estimate WMS"/>
      <sheetName val="Direct CostsWMS"/>
      <sheetName val="ContingencyWMS"/>
    </sheetNames>
    <sheetDataSet>
      <sheetData sheetId="0"/>
      <sheetData sheetId="1"/>
      <sheetData sheetId="2"/>
      <sheetData sheetId="3"/>
      <sheetData sheetId="4"/>
      <sheetData sheetId="5"/>
      <sheetData sheetId="6"/>
      <sheetData sheetId="7"/>
      <sheetData sheetId="8"/>
      <sheetData sheetId="9">
        <row r="4">
          <cell r="D4" t="str">
            <v>ABS Wage Price Index - 6345 T5 Construction</v>
          </cell>
        </row>
        <row r="5">
          <cell r="D5" t="str">
            <v>ABS Wage Price Index - 6345 T7 Professionals</v>
          </cell>
        </row>
        <row r="6">
          <cell r="D6" t="str">
            <v>ABS PPI Materials in Manufacturing - 6427 T28 Iron &amp; Steel Index</v>
          </cell>
        </row>
        <row r="7">
          <cell r="D7" t="str">
            <v>ABS PPI Materials in Manufacturing - 6427 T28 Copper &amp; Brass Index</v>
          </cell>
        </row>
        <row r="8">
          <cell r="D8" t="str">
            <v>ABS PPI Construction Industies - 6427 T15 Construction Output</v>
          </cell>
        </row>
        <row r="9">
          <cell r="D9" t="str">
            <v>ABS PPI Construction Industies - 6427 T15 Construction Output</v>
          </cell>
        </row>
        <row r="10">
          <cell r="D10" t="str">
            <v>ABS CPI - 6401 T7 Transportation, Automotive Fuel</v>
          </cell>
        </row>
        <row r="11">
          <cell r="D11" t="str">
            <v>ABS PPI Construction Industies - 6427 T15 Construction Output</v>
          </cell>
        </row>
      </sheetData>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COVER "/>
      <sheetName val="INDEX "/>
      <sheetName val="COST SUMMARY"/>
      <sheetName val="RETURNS - TRIALS"/>
      <sheetName val="graphs"/>
      <sheetName val="Graph Back Up"/>
      <sheetName val="Sens Analy - What-If"/>
      <sheetName val="CASFLOW "/>
      <sheetName val="IRR &amp; NPV"/>
      <sheetName val="LEASING "/>
      <sheetName val="AREAS"/>
      <sheetName val="ELEM SUMMARY (2)"/>
      <sheetName val="BUILDING COST"/>
      <sheetName val="WORKINGS"/>
      <sheetName val="Sheet4"/>
      <sheetName val="IRR &amp; NPV (2)"/>
      <sheetName val="GENERAL "/>
      <sheetName val="AREAS (2)"/>
      <sheetName val="Sens Analy - What-If (2)"/>
      <sheetName val="cASH fLOW @ 18%"/>
      <sheetName val="Cash Flow @ 22%"/>
      <sheetName val="AB Oct Analysis"/>
      <sheetName val="Chart1"/>
      <sheetName val="Chart2"/>
      <sheetName val="Chart3"/>
      <sheetName val="Sheet2"/>
      <sheetName val="SENSITIVY"/>
      <sheetName val="ELEM SUMMARY "/>
      <sheetName val="Flysheet fIN hIGH (2)"/>
      <sheetName val="Flysheet fIN hIGH"/>
      <sheetName val="Flysheet Gen"/>
      <sheetName val="Flysheet Bldg Costs"/>
      <sheetName val="Flysheet Areas"/>
      <sheetName val="Flysheet Workings"/>
      <sheetName val="Flysheet Annexures"/>
      <sheetName val="SALES &amp; RETUR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row r="1">
          <cell r="A1" t="str">
            <v xml:space="preserve">  LAZARUS OFFICES &amp; WAREHOUSE</v>
          </cell>
          <cell r="L1" t="str">
            <v>28 SEPTEMBER 1999</v>
          </cell>
        </row>
        <row r="3">
          <cell r="A3" t="str">
            <v xml:space="preserve">  PRELIMINARY ESTIMATE No 1</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sclaimer"/>
      <sheetName val="User Notes"/>
      <sheetName val="Summary"/>
      <sheetName val="Control"/>
      <sheetName val="Mix - E India"/>
      <sheetName val="Mix - Newington"/>
      <sheetName val="Mix - Cat"/>
      <sheetName val="East India"/>
      <sheetName val="Newington"/>
      <sheetName val="Catford"/>
      <sheetName val="Relevant Site Calcs"/>
      <sheetName val="Financing"/>
      <sheetName val="Tables"/>
      <sheetName val="More Tables"/>
      <sheetName val="Sensitivity"/>
      <sheetName val="WORKINGS"/>
      <sheetName val="AREAS"/>
      <sheetName val="SALES &amp; RETURNS"/>
      <sheetName val="NPV"/>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of Results"/>
      <sheetName val="Viability"/>
      <sheetName val="Improvement Costs"/>
      <sheetName val="Operating Costs"/>
      <sheetName val="Net Operating Income"/>
      <sheetName val="Mortgage Loan"/>
      <sheetName val="Owners Equity"/>
      <sheetName val="Cash Flow incl. Equity"/>
      <sheetName val="Maximum cash Flow exposure"/>
      <sheetName val="IRR"/>
      <sheetName val="Sensitivity Analysis"/>
      <sheetName val="Control"/>
      <sheetName val="WORKINGS"/>
      <sheetName val="AREA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ision History"/>
      <sheetName val="Summary"/>
      <sheetName val="Direct Costs"/>
      <sheetName val="Summary from MRA Estimate"/>
      <sheetName val="AH WBS Codes"/>
      <sheetName val="AH Labour Rate Summary"/>
      <sheetName val="Inputs"/>
      <sheetName val="Contingency"/>
    </sheetNames>
    <sheetDataSet>
      <sheetData sheetId="0" refreshError="1"/>
      <sheetData sheetId="1" refreshError="1"/>
      <sheetData sheetId="2" refreshError="1"/>
      <sheetData sheetId="3" refreshError="1"/>
      <sheetData sheetId="4"/>
      <sheetData sheetId="5">
        <row r="5">
          <cell r="A5" t="str">
            <v>Code</v>
          </cell>
          <cell r="B5" t="str">
            <v>Gang Type</v>
          </cell>
          <cell r="C5" t="str">
            <v>Direct Labour</v>
          </cell>
          <cell r="D5" t="str">
            <v>Temporary Materials &amp; Equipment</v>
          </cell>
          <cell r="E5" t="str">
            <v>Maintenance &amp; Support Labour</v>
          </cell>
          <cell r="F5" t="str">
            <v>Staff</v>
          </cell>
          <cell r="G5" t="str">
            <v>Ohead &amp; margin</v>
          </cell>
          <cell r="H5" t="str">
            <v>TOTAL</v>
          </cell>
          <cell r="I5" t="str">
            <v>Total 
as % 
Directs</v>
          </cell>
          <cell r="K5" t="str">
            <v xml:space="preserve">Labour </v>
          </cell>
          <cell r="L5" t="str">
            <v>Equipment</v>
          </cell>
        </row>
        <row r="6">
          <cell r="A6" t="str">
            <v>Civil</v>
          </cell>
          <cell r="B6" t="str">
            <v>1. General Civil</v>
          </cell>
          <cell r="C6">
            <v>63.054150215947537</v>
          </cell>
          <cell r="D6">
            <v>45.817834649390875</v>
          </cell>
          <cell r="E6">
            <v>12.863046644053297</v>
          </cell>
          <cell r="F6">
            <v>13.87191304750846</v>
          </cell>
          <cell r="G6">
            <v>20.341041683535028</v>
          </cell>
          <cell r="H6">
            <v>155.9479862404352</v>
          </cell>
          <cell r="I6">
            <v>2.4732390446361632</v>
          </cell>
          <cell r="K6">
            <v>101.56979985680042</v>
          </cell>
          <cell r="L6">
            <v>54.378186383634784</v>
          </cell>
        </row>
        <row r="7">
          <cell r="A7" t="str">
            <v>Civile</v>
          </cell>
          <cell r="B7" t="str">
            <v>1a. General Civil (no equip)</v>
          </cell>
          <cell r="C7">
            <v>61.76263963845679</v>
          </cell>
          <cell r="D7">
            <v>10.660500000000013</v>
          </cell>
          <cell r="E7">
            <v>7.658567315168642</v>
          </cell>
          <cell r="F7">
            <v>13.587780720460495</v>
          </cell>
          <cell r="G7">
            <v>14.050423151112888</v>
          </cell>
          <cell r="H7">
            <v>107.71991082519884</v>
          </cell>
          <cell r="I7">
            <v>1.7440949974898181</v>
          </cell>
          <cell r="K7">
            <v>94.991224652241144</v>
          </cell>
          <cell r="L7">
            <v>12.728686172957694</v>
          </cell>
        </row>
        <row r="8">
          <cell r="A8" t="str">
            <v>Bulk</v>
          </cell>
          <cell r="B8" t="str">
            <v>1b. Bulk Earthworks</v>
          </cell>
          <cell r="C8">
            <v>62.559321189767964</v>
          </cell>
          <cell r="D8">
            <v>102.414985528082</v>
          </cell>
          <cell r="E8">
            <v>21.520406489280177</v>
          </cell>
          <cell r="F8">
            <v>15.139355727923849</v>
          </cell>
          <cell r="G8">
            <v>30.245110340258105</v>
          </cell>
          <cell r="H8">
            <v>231.87917927531208</v>
          </cell>
          <cell r="I8">
            <v>3.7065488382127398</v>
          </cell>
          <cell r="K8">
            <v>110.68822432860773</v>
          </cell>
          <cell r="L8">
            <v>121.19095494670435</v>
          </cell>
        </row>
        <row r="9">
          <cell r="A9" t="str">
            <v>Conc</v>
          </cell>
          <cell r="B9" t="str">
            <v>2. Concrete</v>
          </cell>
          <cell r="C9">
            <v>63.626396011517542</v>
          </cell>
          <cell r="D9">
            <v>16.145850498568841</v>
          </cell>
          <cell r="E9">
            <v>11.261872094038605</v>
          </cell>
          <cell r="F9">
            <v>10.498355341900394</v>
          </cell>
          <cell r="G9">
            <v>15.22987109190381</v>
          </cell>
          <cell r="H9">
            <v>116.76234503792918</v>
          </cell>
          <cell r="I9">
            <v>1.8351242936468233</v>
          </cell>
          <cell r="K9">
            <v>97.533978595281198</v>
          </cell>
          <cell r="L9">
            <v>19.228366442647982</v>
          </cell>
        </row>
        <row r="10">
          <cell r="A10" t="str">
            <v>Steel</v>
          </cell>
          <cell r="B10" t="str">
            <v>3. Structural Steel</v>
          </cell>
          <cell r="C10">
            <v>64.172117577434136</v>
          </cell>
          <cell r="D10">
            <v>22.964106784281451</v>
          </cell>
          <cell r="E10">
            <v>15.080447630697021</v>
          </cell>
          <cell r="F10">
            <v>10.588399400276632</v>
          </cell>
          <cell r="G10">
            <v>16.920760708903391</v>
          </cell>
          <cell r="H10">
            <v>129.72583210159263</v>
          </cell>
          <cell r="I10">
            <v>2.0215295520684236</v>
          </cell>
          <cell r="K10">
            <v>102.30238411178088</v>
          </cell>
          <cell r="L10">
            <v>27.423447989811748</v>
          </cell>
        </row>
        <row r="11">
          <cell r="A11" t="str">
            <v>Arch</v>
          </cell>
          <cell r="B11" t="str">
            <v>4. Architectural - Cladding</v>
          </cell>
          <cell r="C11">
            <v>64.332348841041664</v>
          </cell>
          <cell r="D11">
            <v>17.056070616844245</v>
          </cell>
          <cell r="E11">
            <v>12.673472721685208</v>
          </cell>
          <cell r="F11">
            <v>12.030149233274793</v>
          </cell>
          <cell r="G11">
            <v>15.913806211926889</v>
          </cell>
          <cell r="H11">
            <v>122.0058476247728</v>
          </cell>
          <cell r="I11">
            <v>1.8964929747277868</v>
          </cell>
          <cell r="K11">
            <v>101.61481849243795</v>
          </cell>
          <cell r="L11">
            <v>20.39102913233485</v>
          </cell>
        </row>
        <row r="12">
          <cell r="A12" t="str">
            <v>Mech</v>
          </cell>
          <cell r="B12" t="str">
            <v>5. Mechanical</v>
          </cell>
          <cell r="C12">
            <v>65.175899769291988</v>
          </cell>
          <cell r="D12">
            <v>12.769693461143756</v>
          </cell>
          <cell r="E12">
            <v>22.224981821328569</v>
          </cell>
          <cell r="F12">
            <v>17.923372436555297</v>
          </cell>
          <cell r="G12">
            <v>17.714092123247941</v>
          </cell>
          <cell r="H12">
            <v>135.80803961156755</v>
          </cell>
          <cell r="I12">
            <v>2.0837156079516728</v>
          </cell>
          <cell r="K12">
            <v>120.1362766814341</v>
          </cell>
          <cell r="L12">
            <v>15.671762930133454</v>
          </cell>
        </row>
        <row r="13">
          <cell r="A13" t="str">
            <v>Mechb</v>
          </cell>
          <cell r="B13" t="str">
            <v>5a. Mechanical - Platework</v>
          </cell>
          <cell r="C13">
            <v>65.096301209528193</v>
          </cell>
          <cell r="D13">
            <v>20.206933778688722</v>
          </cell>
          <cell r="E13">
            <v>22.197838712449116</v>
          </cell>
          <cell r="F13">
            <v>17.901482832620253</v>
          </cell>
          <cell r="G13">
            <v>18.810383479992943</v>
          </cell>
          <cell r="H13">
            <v>144.21294001327922</v>
          </cell>
          <cell r="I13">
            <v>2.2153784060494464</v>
          </cell>
          <cell r="K13">
            <v>119.55013567605351</v>
          </cell>
          <cell r="L13">
            <v>24.662804337225708</v>
          </cell>
        </row>
        <row r="14">
          <cell r="A14" t="str">
            <v>Pipe</v>
          </cell>
          <cell r="B14" t="str">
            <v>6. Piping</v>
          </cell>
          <cell r="C14">
            <v>64.664140003568392</v>
          </cell>
          <cell r="D14">
            <v>14.449581371460898</v>
          </cell>
          <cell r="E14">
            <v>22.050471741216825</v>
          </cell>
          <cell r="F14">
            <v>14.226110800785047</v>
          </cell>
          <cell r="G14">
            <v>17.308545587554676</v>
          </cell>
          <cell r="H14">
            <v>132.69884950458584</v>
          </cell>
          <cell r="I14">
            <v>2.0521242453276738</v>
          </cell>
          <cell r="K14">
            <v>115.08798038755883</v>
          </cell>
          <cell r="L14">
            <v>17.610869117027008</v>
          </cell>
        </row>
        <row r="15">
          <cell r="A15" t="str">
            <v>Elect</v>
          </cell>
          <cell r="B15" t="str">
            <v>7. Electrical</v>
          </cell>
          <cell r="C15">
            <v>63.488634320606046</v>
          </cell>
          <cell r="D15">
            <v>13.369552549329196</v>
          </cell>
          <cell r="E15">
            <v>10.094692856976362</v>
          </cell>
          <cell r="F15">
            <v>12.570749595479997</v>
          </cell>
          <cell r="G15">
            <v>14.928544398358742</v>
          </cell>
          <cell r="H15">
            <v>114.45217372075034</v>
          </cell>
          <cell r="I15">
            <v>1.8027190999697316</v>
          </cell>
          <cell r="K15">
            <v>98.485787093659098</v>
          </cell>
          <cell r="L15">
            <v>15.966386627091239</v>
          </cell>
        </row>
        <row r="16">
          <cell r="A16" t="str">
            <v>Inst</v>
          </cell>
          <cell r="B16" t="str">
            <v>8. Instruments</v>
          </cell>
          <cell r="C16">
            <v>65.220840036257115</v>
          </cell>
          <cell r="D16">
            <v>15.212585226577296</v>
          </cell>
          <cell r="E16">
            <v>12.65284296703388</v>
          </cell>
          <cell r="F16">
            <v>17.935731009970709</v>
          </cell>
          <cell r="G16">
            <v>16.653299885975848</v>
          </cell>
          <cell r="H16">
            <v>127.67529912581486</v>
          </cell>
          <cell r="I16">
            <v>1.9575844017776909</v>
          </cell>
          <cell r="K16">
            <v>109.31303150051696</v>
          </cell>
          <cell r="L16">
            <v>18.362267625297903</v>
          </cell>
        </row>
        <row r="17">
          <cell r="A17" t="str">
            <v>None</v>
          </cell>
          <cell r="B17" t="str">
            <v>9. No Labour or equipment</v>
          </cell>
          <cell r="C17">
            <v>0</v>
          </cell>
          <cell r="D17">
            <v>0</v>
          </cell>
          <cell r="E17">
            <v>0</v>
          </cell>
          <cell r="F17">
            <v>0</v>
          </cell>
          <cell r="G17">
            <v>0</v>
          </cell>
          <cell r="H17">
            <v>0</v>
          </cell>
          <cell r="I17">
            <v>0</v>
          </cell>
          <cell r="K17">
            <v>0</v>
          </cell>
          <cell r="L17">
            <v>0</v>
          </cell>
        </row>
        <row r="18">
          <cell r="A18" t="str">
            <v>Average</v>
          </cell>
          <cell r="B18" t="str">
            <v>ALL-IN-AVERAGE</v>
          </cell>
          <cell r="C18">
            <v>63.974100971129872</v>
          </cell>
          <cell r="D18">
            <v>24.384809488429081</v>
          </cell>
          <cell r="E18">
            <v>15.225836031128908</v>
          </cell>
          <cell r="F18">
            <v>13.255498702372423</v>
          </cell>
          <cell r="G18">
            <v>17.526036778959043</v>
          </cell>
          <cell r="H18">
            <v>134.36628197201932</v>
          </cell>
          <cell r="I18">
            <v>2.1003230984466028</v>
          </cell>
          <cell r="K18">
            <v>105.1447325813059</v>
          </cell>
          <cell r="L18">
            <v>29.22154939071342</v>
          </cell>
        </row>
      </sheetData>
      <sheetData sheetId="6" refreshError="1"/>
      <sheetData sheetId="7"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PEX"/>
      <sheetName val="Control"/>
      <sheetName val="eval"/>
    </sheetNames>
    <sheetDataSet>
      <sheetData sheetId="0" refreshError="1"/>
      <sheetData sheetId="1" refreshError="1"/>
      <sheetData sheetId="2"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val"/>
      <sheetName val="CAPEX"/>
      <sheetName val="Control"/>
      <sheetName val="Viability"/>
    </sheetNames>
    <sheetDataSet>
      <sheetData sheetId="0" refreshError="1"/>
      <sheetData sheetId="1" refreshError="1"/>
      <sheetData sheetId="2" refreshError="1"/>
      <sheetData sheetId="3"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QC"/>
      <sheetName val="CONTENTS"/>
      <sheetName val="NOTES"/>
      <sheetName val="PROF TEAM"/>
      <sheetName val="ASSUMPTIONS"/>
      <sheetName val="CHANGES"/>
      <sheetName val="Fee Summary"/>
      <sheetName val="PROJECT SPEC"/>
      <sheetName val="AREAS"/>
      <sheetName val="CAPEX (Ph 1 &amp; 2)"/>
      <sheetName val="INCOME"/>
      <sheetName val="SENSITIVITY ANALYSIS"/>
      <sheetName val="Flysheet 1"/>
      <sheetName val="Flysheet 2"/>
      <sheetName val="Flysheet 3"/>
      <sheetName val="TENANT LIST"/>
      <sheetName val="Flysheet 4"/>
      <sheetName val="Flysheet 5"/>
      <sheetName val="TI RATES"/>
      <sheetName val="AREA SUMMARY "/>
      <sheetName val="CAD FINAL"/>
      <sheetName val="Operating Expenses"/>
      <sheetName val="Constr CF"/>
      <sheetName val="EXECUTIVE SUMMARY"/>
      <sheetName val="3505-CT06-50_CA"/>
      <sheetName val="South Mall"/>
      <sheetName val="Tender Analysis"/>
      <sheetName val="BUDGET RECON"/>
      <sheetName val="CAPEX"/>
      <sheetName val="CAPEX (2)"/>
      <sheetName val="CAPEX (Ph 1)"/>
      <sheetName val="CAPEX (Ph 1 &amp; 2A)"/>
      <sheetName val="CAPEX (Ph 1A)"/>
      <sheetName val="ev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COVER  (3)"/>
      <sheetName val=" COVER  (2)"/>
      <sheetName val=" COVER "/>
      <sheetName val="Sheet3"/>
      <sheetName val="Flysheet fIN hIGH"/>
      <sheetName val="Flysheet Gen"/>
      <sheetName val="Flysheet Bldg Costs"/>
      <sheetName val="Flysheet Areas"/>
      <sheetName val="Flysheet Workings"/>
      <sheetName val="Flysheet Annexures"/>
      <sheetName val="INDEX "/>
      <sheetName val="COST SUMMARY"/>
      <sheetName val="RETURNS - TRIALS"/>
      <sheetName val="graphs"/>
      <sheetName val="Sens Analy - What-If"/>
      <sheetName val="CASFLOW"/>
      <sheetName val="AREAS"/>
      <sheetName val="ELEM SUMMARY (2)"/>
      <sheetName val="BUILDING COST"/>
      <sheetName val="IRR &amp; NPV"/>
      <sheetName val="WORKINGS"/>
      <sheetName val="Sheet4"/>
      <sheetName val="Graph Back Up"/>
      <sheetName val="GENERAL "/>
      <sheetName val="AREAS (2)"/>
      <sheetName val="Sens Analy - What-If (2)"/>
      <sheetName val="cASH fLOW @ 18%"/>
      <sheetName val="Cash Flow @ 22%"/>
      <sheetName val="Sheet1"/>
      <sheetName val="AB Oct Analysis"/>
      <sheetName val="Back Up 3 Graphs"/>
      <sheetName val="Chart1"/>
      <sheetName val="Chart2"/>
      <sheetName val="Chart3"/>
      <sheetName val="Sheet2"/>
      <sheetName val="IRR &amp; NPV (2)"/>
      <sheetName val="ev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row r="1">
          <cell r="A1" t="str">
            <v xml:space="preserve">  NEW OFFICES AND WAREHOUSE FOR FAST FORWARD</v>
          </cell>
          <cell r="G1">
            <v>36311</v>
          </cell>
        </row>
        <row r="3">
          <cell r="A3" t="str">
            <v xml:space="preserve">  PRELIMINARY ESTIMATE No 1</v>
          </cell>
        </row>
        <row r="5">
          <cell r="A5" t="str">
            <v xml:space="preserve">  AREA SCHEDULE</v>
          </cell>
        </row>
      </sheetData>
      <sheetData sheetId="17"/>
      <sheetData sheetId="18"/>
      <sheetData sheetId="19"/>
      <sheetData sheetId="20" refreshError="1"/>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sheetData sheetId="35"/>
      <sheetData sheetId="36"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 (Level 4&amp;5 Cooling) (2)"/>
      <sheetName val="Viability"/>
      <sheetName val="eval"/>
    </sheetNames>
    <sheetDataSet>
      <sheetData sheetId="0"/>
      <sheetData sheetId="1" refreshError="1"/>
      <sheetData sheetId="2"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ontents"/>
      <sheetName val="General"/>
      <sheetName val="Income"/>
      <sheetName val="Op Costs"/>
      <sheetName val="Variations"/>
      <sheetName val="Executive Summary"/>
      <sheetName val="Building Works"/>
      <sheetName val="Constr CF"/>
      <sheetName val="Fees"/>
      <sheetName val="Storage Units"/>
      <sheetName val="Tender Analysis"/>
      <sheetName val="ESTIMATE"/>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nge control"/>
      <sheetName val="Notes"/>
      <sheetName val="Cover"/>
      <sheetName val="Document Issue Sheet"/>
      <sheetName val="Contents"/>
      <sheetName val="1.0 Executive Summary"/>
      <sheetName val="2.0 Cost Plan (Model) Summary"/>
      <sheetName val="Shell and Core"/>
      <sheetName val="Template"/>
      <sheetName val="4.0 Basis and Assumptions"/>
      <sheetName val="5.0 Exclusions"/>
      <sheetName val="6.0 Benchmarking Analysis 1"/>
      <sheetName val="6.0 Benchmarking Analysis 2"/>
      <sheetName val="6.0 Benchmarking Analysis 3"/>
      <sheetName val="7.0 Key Parameters"/>
      <sheetName val="8.0 Risks and Opportunities"/>
      <sheetName val="9.0 Outline Specification"/>
      <sheetName val="10.0 Schedule of Floor Areas"/>
      <sheetName val="Cash Flow"/>
      <sheetName val="Flysheets"/>
      <sheetName val="Storage Units"/>
      <sheetName val="ESTIMA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t Eval"/>
      <sheetName val="Risk Register"/>
      <sheetName val="Attendance"/>
      <sheetName val="Report"/>
      <sheetName val="Sheet1"/>
      <sheetName val="Graph"/>
      <sheetName val="Ref"/>
      <sheetName val="@Risk"/>
      <sheetName val="Cost Summary"/>
      <sheetName val="Cash Flow"/>
      <sheetName val="Storage Uni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 4"/>
      <sheetName val="Content2"/>
      <sheetName val="With Chart"/>
      <sheetName val="Construction Costs "/>
      <sheetName val="Notes and Assumptions"/>
      <sheetName val="Exclusions"/>
      <sheetName val="Possible Capital"/>
      <sheetName val="Sheet1"/>
      <sheetName val="SUMMARY"/>
      <sheetName val="Cash Flow"/>
      <sheetName val="Regist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ont"/>
      <sheetName val="Bill Summary"/>
      <sheetName val="1-1"/>
      <sheetName val="1-2"/>
      <sheetName val="changehse"/>
      <sheetName val="Sub 1 Shaft"/>
      <sheetName val="Sub 2 Eskom"/>
      <sheetName val="2-1"/>
    </sheetNames>
    <sheetDataSet>
      <sheetData sheetId="0">
        <row r="21">
          <cell r="J21">
            <v>0</v>
          </cell>
        </row>
      </sheetData>
      <sheetData sheetId="1"/>
      <sheetData sheetId="2"/>
      <sheetData sheetId="3"/>
      <sheetData sheetId="4"/>
      <sheetData sheetId="5"/>
      <sheetData sheetId="6"/>
      <sheetData sheetId="7"/>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OUTPUT - Escalation Amounts"/>
      <sheetName val="OUTPUT - Cost Estimate Summary"/>
      <sheetName val="Input - Escalation Rates"/>
      <sheetName val="Input - Unescalated &amp; Schedule"/>
      <sheetName val="Input - S-curve Severity"/>
      <sheetName val="Input - Base date 2010 figures"/>
    </sheetNames>
    <sheetDataSet>
      <sheetData sheetId="0"/>
      <sheetData sheetId="1"/>
      <sheetData sheetId="2"/>
      <sheetData sheetId="3"/>
      <sheetData sheetId="4"/>
      <sheetData sheetId="5">
        <row r="38">
          <cell r="B38">
            <v>0</v>
          </cell>
          <cell r="C38">
            <v>0</v>
          </cell>
        </row>
        <row r="39">
          <cell r="B39">
            <v>0.01</v>
          </cell>
          <cell r="C39">
            <v>1.9455084568193035E-2</v>
          </cell>
        </row>
        <row r="40">
          <cell r="B40">
            <v>0.02</v>
          </cell>
          <cell r="C40">
            <v>2.1041347020468282E-2</v>
          </cell>
        </row>
        <row r="41">
          <cell r="B41">
            <v>0.03</v>
          </cell>
          <cell r="C41">
            <v>2.2753943462803999E-2</v>
          </cell>
        </row>
        <row r="42">
          <cell r="B42">
            <v>0.04</v>
          </cell>
          <cell r="C42">
            <v>2.4602428402739435E-2</v>
          </cell>
        </row>
        <row r="43">
          <cell r="B43">
            <v>0.05</v>
          </cell>
          <cell r="C43">
            <v>2.6596993576865856E-2</v>
          </cell>
        </row>
        <row r="44">
          <cell r="B44">
            <v>0.06</v>
          </cell>
          <cell r="C44">
            <v>2.8748495926539969E-2</v>
          </cell>
        </row>
        <row r="45">
          <cell r="B45">
            <v>7.0000000000000007E-2</v>
          </cell>
          <cell r="C45">
            <v>3.1068484159667412E-2</v>
          </cell>
        </row>
        <row r="46">
          <cell r="B46">
            <v>0.08</v>
          </cell>
          <cell r="C46">
            <v>3.356922328148252E-2</v>
          </cell>
        </row>
        <row r="47">
          <cell r="B47">
            <v>0.09</v>
          </cell>
          <cell r="C47">
            <v>3.6263716374648335E-2</v>
          </cell>
        </row>
        <row r="48">
          <cell r="B48">
            <v>0.1</v>
          </cell>
          <cell r="C48">
            <v>3.9165722796764356E-2</v>
          </cell>
        </row>
        <row r="49">
          <cell r="B49">
            <v>0.11</v>
          </cell>
          <cell r="C49">
            <v>4.2289771842033794E-2</v>
          </cell>
        </row>
        <row r="50">
          <cell r="B50">
            <v>0.12</v>
          </cell>
          <cell r="C50">
            <v>4.5651170784443723E-2</v>
          </cell>
        </row>
        <row r="51">
          <cell r="B51">
            <v>0.13</v>
          </cell>
          <cell r="C51">
            <v>4.9266006084026655E-2</v>
          </cell>
        </row>
        <row r="52">
          <cell r="B52">
            <v>0.14000000000000001</v>
          </cell>
          <cell r="C52">
            <v>5.3151136398063722E-2</v>
          </cell>
        </row>
        <row r="53">
          <cell r="B53">
            <v>0.15</v>
          </cell>
          <cell r="C53">
            <v>5.7324175898868755E-2</v>
          </cell>
        </row>
        <row r="54">
          <cell r="B54">
            <v>0.16</v>
          </cell>
          <cell r="C54">
            <v>6.1803466263588597E-2</v>
          </cell>
        </row>
        <row r="55">
          <cell r="B55">
            <v>0.17</v>
          </cell>
          <cell r="C55">
            <v>6.6608035575090679E-2</v>
          </cell>
        </row>
        <row r="56">
          <cell r="B56">
            <v>0.18</v>
          </cell>
          <cell r="C56">
            <v>7.1757542263751334E-2</v>
          </cell>
        </row>
        <row r="57">
          <cell r="B57">
            <v>0.19</v>
          </cell>
          <cell r="C57">
            <v>7.727220213665989E-2</v>
          </cell>
        </row>
        <row r="58">
          <cell r="B58">
            <v>0.2</v>
          </cell>
          <cell r="C58">
            <v>8.317269649392238E-2</v>
          </cell>
        </row>
        <row r="59">
          <cell r="B59">
            <v>0.21</v>
          </cell>
          <cell r="C59">
            <v>8.9480059333561401E-2</v>
          </cell>
        </row>
        <row r="60">
          <cell r="B60">
            <v>0.22</v>
          </cell>
          <cell r="C60">
            <v>9.6215541710692826E-2</v>
          </cell>
        </row>
        <row r="61">
          <cell r="B61">
            <v>0.23</v>
          </cell>
          <cell r="C61">
            <v>0.10340045145824957</v>
          </cell>
        </row>
        <row r="62">
          <cell r="B62">
            <v>0.24</v>
          </cell>
          <cell r="C62">
            <v>0.11105596671140756</v>
          </cell>
        </row>
        <row r="63">
          <cell r="B63">
            <v>0.25</v>
          </cell>
          <cell r="C63">
            <v>0.11920292202211755</v>
          </cell>
        </row>
        <row r="64">
          <cell r="B64">
            <v>0.26</v>
          </cell>
          <cell r="C64">
            <v>0.12786156631908133</v>
          </cell>
        </row>
        <row r="65">
          <cell r="B65">
            <v>0.27</v>
          </cell>
          <cell r="C65">
            <v>0.13705129257545967</v>
          </cell>
        </row>
        <row r="66">
          <cell r="B66">
            <v>0.28000000000000003</v>
          </cell>
          <cell r="C66">
            <v>0.14679033980138242</v>
          </cell>
        </row>
        <row r="67">
          <cell r="B67">
            <v>0.28999999999999998</v>
          </cell>
          <cell r="C67">
            <v>0.1570954688854527</v>
          </cell>
        </row>
        <row r="68">
          <cell r="B68">
            <v>0.3</v>
          </cell>
          <cell r="C68">
            <v>0.16798161486607552</v>
          </cell>
        </row>
        <row r="69">
          <cell r="B69">
            <v>0.31</v>
          </cell>
          <cell r="C69">
            <v>0.17946151940732682</v>
          </cell>
        </row>
        <row r="70">
          <cell r="B70">
            <v>0.32</v>
          </cell>
          <cell r="C70">
            <v>0.19154534856146752</v>
          </cell>
        </row>
        <row r="71">
          <cell r="B71">
            <v>0.33</v>
          </cell>
          <cell r="C71">
            <v>0.20424030228409179</v>
          </cell>
        </row>
        <row r="72">
          <cell r="B72">
            <v>0.34</v>
          </cell>
          <cell r="C72">
            <v>0.21755022357688752</v>
          </cell>
        </row>
        <row r="73">
          <cell r="B73">
            <v>0.35</v>
          </cell>
          <cell r="C73">
            <v>0.23147521650098232</v>
          </cell>
        </row>
        <row r="74">
          <cell r="B74">
            <v>0.36</v>
          </cell>
          <cell r="C74">
            <v>0.2460112835510519</v>
          </cell>
        </row>
        <row r="75">
          <cell r="B75">
            <v>0.37</v>
          </cell>
          <cell r="C75">
            <v>0.261149993915751</v>
          </cell>
        </row>
        <row r="76">
          <cell r="B76">
            <v>0.38</v>
          </cell>
          <cell r="C76">
            <v>0.27687819487561016</v>
          </cell>
        </row>
        <row r="77">
          <cell r="B77">
            <v>0.39</v>
          </cell>
          <cell r="C77">
            <v>0.29317777890643243</v>
          </cell>
        </row>
        <row r="78">
          <cell r="B78">
            <v>0.4</v>
          </cell>
          <cell r="C78">
            <v>0.31002551887238755</v>
          </cell>
        </row>
        <row r="79">
          <cell r="B79">
            <v>0.41</v>
          </cell>
          <cell r="C79">
            <v>0.32739298293223951</v>
          </cell>
        </row>
        <row r="80">
          <cell r="B80">
            <v>0.42</v>
          </cell>
          <cell r="C80">
            <v>0.34524653939368072</v>
          </cell>
        </row>
        <row r="81">
          <cell r="B81">
            <v>0.43</v>
          </cell>
          <cell r="C81">
            <v>0.36354745971843366</v>
          </cell>
        </row>
        <row r="82">
          <cell r="B82">
            <v>0.44</v>
          </cell>
          <cell r="C82">
            <v>0.38225212523075103</v>
          </cell>
        </row>
        <row r="83">
          <cell r="B83">
            <v>0.45</v>
          </cell>
          <cell r="C83">
            <v>0.401312339887548</v>
          </cell>
        </row>
        <row r="84">
          <cell r="B84">
            <v>0.46</v>
          </cell>
          <cell r="C84">
            <v>0.42067574785125056</v>
          </cell>
        </row>
        <row r="85">
          <cell r="B85">
            <v>0.47</v>
          </cell>
          <cell r="C85">
            <v>0.44028635073280697</v>
          </cell>
        </row>
        <row r="86">
          <cell r="B86">
            <v>0.48</v>
          </cell>
          <cell r="C86">
            <v>0.46008511544443426</v>
          </cell>
        </row>
        <row r="87">
          <cell r="B87">
            <v>0.49</v>
          </cell>
          <cell r="C87">
            <v>0.48001065984441826</v>
          </cell>
        </row>
        <row r="88">
          <cell r="B88">
            <v>0.5</v>
          </cell>
          <cell r="C88">
            <v>0.5</v>
          </cell>
        </row>
        <row r="89">
          <cell r="B89">
            <v>0.51</v>
          </cell>
          <cell r="C89">
            <v>0.51998934015558185</v>
          </cell>
        </row>
        <row r="90">
          <cell r="B90">
            <v>0.52</v>
          </cell>
          <cell r="C90">
            <v>0.53991488455556569</v>
          </cell>
        </row>
        <row r="91">
          <cell r="B91">
            <v>0.53</v>
          </cell>
          <cell r="C91">
            <v>0.55971364926719291</v>
          </cell>
        </row>
        <row r="92">
          <cell r="B92">
            <v>0.54</v>
          </cell>
          <cell r="C92">
            <v>0.5793242521487495</v>
          </cell>
        </row>
        <row r="93">
          <cell r="B93">
            <v>0.55000000000000004</v>
          </cell>
          <cell r="C93">
            <v>0.59868766011245211</v>
          </cell>
        </row>
        <row r="94">
          <cell r="B94">
            <v>0.56000000000000005</v>
          </cell>
          <cell r="C94">
            <v>0.61774787476924908</v>
          </cell>
        </row>
        <row r="95">
          <cell r="B95">
            <v>0.56999999999999995</v>
          </cell>
          <cell r="C95">
            <v>0.63645254028156617</v>
          </cell>
        </row>
        <row r="96">
          <cell r="B96">
            <v>0.57999999999999996</v>
          </cell>
          <cell r="C96">
            <v>0.65475346060631912</v>
          </cell>
        </row>
        <row r="97">
          <cell r="B97">
            <v>0.59</v>
          </cell>
          <cell r="C97">
            <v>0.67260701706776038</v>
          </cell>
        </row>
        <row r="98">
          <cell r="B98">
            <v>0.6</v>
          </cell>
          <cell r="C98">
            <v>0.6899744811276125</v>
          </cell>
        </row>
        <row r="99">
          <cell r="B99">
            <v>0.61</v>
          </cell>
          <cell r="C99">
            <v>0.70682222109356752</v>
          </cell>
        </row>
        <row r="100">
          <cell r="B100">
            <v>0.62</v>
          </cell>
          <cell r="C100">
            <v>0.72312180512438984</v>
          </cell>
        </row>
        <row r="101">
          <cell r="B101">
            <v>0.63</v>
          </cell>
          <cell r="C101">
            <v>0.73885000608424889</v>
          </cell>
        </row>
        <row r="102">
          <cell r="B102">
            <v>0.64</v>
          </cell>
          <cell r="C102">
            <v>0.75398871644894816</v>
          </cell>
        </row>
        <row r="103">
          <cell r="B103">
            <v>0.65</v>
          </cell>
          <cell r="C103">
            <v>0.76852478349901776</v>
          </cell>
        </row>
        <row r="104">
          <cell r="B104">
            <v>0.66</v>
          </cell>
          <cell r="C104">
            <v>0.78244977642311242</v>
          </cell>
        </row>
        <row r="105">
          <cell r="B105">
            <v>0.67</v>
          </cell>
          <cell r="C105">
            <v>0.79575969771590827</v>
          </cell>
        </row>
        <row r="106">
          <cell r="B106">
            <v>0.68</v>
          </cell>
          <cell r="C106">
            <v>0.80845465143853257</v>
          </cell>
        </row>
        <row r="107">
          <cell r="B107">
            <v>0.69</v>
          </cell>
          <cell r="C107">
            <v>0.82053848059267309</v>
          </cell>
        </row>
        <row r="108">
          <cell r="B108">
            <v>0.7</v>
          </cell>
          <cell r="C108">
            <v>0.83201838513392445</v>
          </cell>
        </row>
        <row r="109">
          <cell r="B109">
            <v>0.71</v>
          </cell>
          <cell r="C109">
            <v>0.84290453111454722</v>
          </cell>
        </row>
        <row r="110">
          <cell r="B110">
            <v>0.72</v>
          </cell>
          <cell r="C110">
            <v>0.85320966019861766</v>
          </cell>
        </row>
        <row r="111">
          <cell r="B111">
            <v>0.73</v>
          </cell>
          <cell r="C111">
            <v>0.86294870742454044</v>
          </cell>
        </row>
        <row r="112">
          <cell r="B112">
            <v>0.74</v>
          </cell>
          <cell r="C112">
            <v>0.8721384336809187</v>
          </cell>
        </row>
        <row r="113">
          <cell r="B113">
            <v>0.75</v>
          </cell>
          <cell r="C113">
            <v>0.88079707797788231</v>
          </cell>
        </row>
        <row r="114">
          <cell r="B114">
            <v>0.76</v>
          </cell>
          <cell r="C114">
            <v>0.88894403328859239</v>
          </cell>
        </row>
        <row r="115">
          <cell r="B115">
            <v>0.77</v>
          </cell>
          <cell r="C115">
            <v>0.89659954854175039</v>
          </cell>
        </row>
        <row r="116">
          <cell r="B116">
            <v>0.78</v>
          </cell>
          <cell r="C116">
            <v>0.9037844582893072</v>
          </cell>
        </row>
        <row r="117">
          <cell r="B117">
            <v>0.79</v>
          </cell>
          <cell r="C117">
            <v>0.9105199406664386</v>
          </cell>
        </row>
        <row r="118">
          <cell r="B118">
            <v>0.8</v>
          </cell>
          <cell r="C118">
            <v>0.91682730350607766</v>
          </cell>
        </row>
        <row r="119">
          <cell r="B119">
            <v>0.81</v>
          </cell>
          <cell r="C119">
            <v>0.92272779786334014</v>
          </cell>
        </row>
        <row r="120">
          <cell r="B120">
            <v>0.82</v>
          </cell>
          <cell r="C120">
            <v>0.92824245773624858</v>
          </cell>
        </row>
        <row r="121">
          <cell r="B121">
            <v>0.83</v>
          </cell>
          <cell r="C121">
            <v>0.93339196442490935</v>
          </cell>
        </row>
        <row r="122">
          <cell r="B122">
            <v>0.84</v>
          </cell>
          <cell r="C122">
            <v>0.93819653373641143</v>
          </cell>
        </row>
        <row r="123">
          <cell r="B123">
            <v>0.85</v>
          </cell>
          <cell r="C123">
            <v>0.94267582410113127</v>
          </cell>
        </row>
        <row r="124">
          <cell r="B124">
            <v>0.86</v>
          </cell>
          <cell r="C124">
            <v>0.94684886360193621</v>
          </cell>
        </row>
        <row r="125">
          <cell r="B125">
            <v>0.87</v>
          </cell>
          <cell r="C125">
            <v>0.95073399391597324</v>
          </cell>
        </row>
        <row r="126">
          <cell r="B126">
            <v>0.88</v>
          </cell>
          <cell r="C126">
            <v>0.95434882921555619</v>
          </cell>
        </row>
        <row r="127">
          <cell r="B127">
            <v>0.89</v>
          </cell>
          <cell r="C127">
            <v>0.95771022815796625</v>
          </cell>
        </row>
        <row r="128">
          <cell r="B128">
            <v>0.9</v>
          </cell>
          <cell r="C128">
            <v>0.96083427720323566</v>
          </cell>
        </row>
        <row r="129">
          <cell r="B129">
            <v>0.91</v>
          </cell>
          <cell r="C129">
            <v>0.96373628362535169</v>
          </cell>
        </row>
        <row r="130">
          <cell r="B130">
            <v>0.92</v>
          </cell>
          <cell r="C130">
            <v>0.96643077671851751</v>
          </cell>
        </row>
        <row r="131">
          <cell r="B131">
            <v>0.93</v>
          </cell>
          <cell r="C131">
            <v>0.96893151584033255</v>
          </cell>
        </row>
        <row r="132">
          <cell r="B132">
            <v>0.94</v>
          </cell>
          <cell r="C132">
            <v>0.97125150407345995</v>
          </cell>
        </row>
        <row r="133">
          <cell r="B133">
            <v>0.95</v>
          </cell>
          <cell r="C133">
            <v>0.97340300642313404</v>
          </cell>
        </row>
        <row r="134">
          <cell r="B134">
            <v>0.96</v>
          </cell>
          <cell r="C134">
            <v>0.97539757159726048</v>
          </cell>
        </row>
        <row r="135">
          <cell r="B135">
            <v>0.97</v>
          </cell>
          <cell r="C135">
            <v>0.97724605653719587</v>
          </cell>
        </row>
        <row r="136">
          <cell r="B136">
            <v>0.98</v>
          </cell>
          <cell r="C136">
            <v>0.97895865297953166</v>
          </cell>
        </row>
        <row r="137">
          <cell r="B137">
            <v>0.99</v>
          </cell>
          <cell r="C137">
            <v>0.98054491543180688</v>
          </cell>
        </row>
        <row r="138">
          <cell r="B138">
            <v>1</v>
          </cell>
          <cell r="C138">
            <v>1</v>
          </cell>
        </row>
      </sheetData>
      <sheetData sheetId="6"/>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Change Log"/>
      <sheetName val="Project Information"/>
      <sheetName val="Schedule of Areas"/>
      <sheetName val="Total Project Costs"/>
      <sheetName val="Funds Requested Paper"/>
      <sheetName val="Cost Plan General Summary"/>
      <sheetName val="Total Project D&amp;M Cost"/>
      <sheetName val="Facilities Summary"/>
      <sheetName val="FAC Elemental Summary"/>
      <sheetName val="Benchmark Summary"/>
      <sheetName val="Design &amp; Management Costs"/>
      <sheetName val="FAC1"/>
      <sheetName val="FAC2"/>
      <sheetName val="FAC3"/>
      <sheetName val="FAC4"/>
      <sheetName val="FAC5"/>
      <sheetName val="FAC6"/>
      <sheetName val="FAC7"/>
      <sheetName val="FAC8"/>
      <sheetName val="FAC9"/>
      <sheetName val="FAC10"/>
      <sheetName val="WBS F1&amp;2"/>
      <sheetName val="ESTIMATE"/>
      <sheetName val="Subcontracts"/>
      <sheetName val="Trad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ontents"/>
      <sheetName val="Summary "/>
      <sheetName val="Chart2"/>
      <sheetName val="Chart3"/>
      <sheetName val="6. Cont Sum -Feed &amp; Not 4 issue"/>
      <sheetName val="Exclusions"/>
      <sheetName val="Options"/>
      <sheetName val="Areas (revised)"/>
      <sheetName val="Areas (notes)"/>
      <sheetName val="Info"/>
      <sheetName val="Areas"/>
      <sheetName val="FAC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s>
    <sheetDataSet>
      <sheetData sheetId="0"/>
      <sheetData sheetId="1">
        <row r="1">
          <cell r="A1" t="str">
            <v>Yes</v>
          </cell>
        </row>
        <row r="2">
          <cell r="A2" t="str">
            <v>No</v>
          </cell>
        </row>
      </sheetData>
      <sheetData sheetId="2"/>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ettings_Master"/>
      <sheetName val="Rates_Master"/>
      <sheetName val="Baseline_BOQ"/>
      <sheetName val="Materials_Calculator"/>
      <sheetName val="Baseline BoQ"/>
      <sheetName val="Materials Calculator"/>
      <sheetName val="Rates_Calculator "/>
    </sheetNames>
    <sheetDataSet>
      <sheetData sheetId="0"/>
      <sheetData sheetId="1"/>
      <sheetData sheetId="2"/>
      <sheetData sheetId="3"/>
      <sheetData sheetId="4"/>
      <sheetData sheetId="5"/>
      <sheetData sheetId="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A287DD-E8EF-4B75-8023-B43629C37F9C}">
  <sheetPr>
    <pageSetUpPr fitToPage="1"/>
  </sheetPr>
  <dimension ref="A1:O2017"/>
  <sheetViews>
    <sheetView tabSelected="1" view="pageBreakPreview" zoomScale="90" zoomScaleNormal="100" zoomScaleSheetLayoutView="90" workbookViewId="0">
      <pane xSplit="2" ySplit="1" topLeftCell="C2" activePane="bottomRight" state="frozen"/>
      <selection pane="topRight" activeCell="D1" sqref="D1"/>
      <selection pane="bottomLeft" activeCell="A2" sqref="A2"/>
      <selection pane="bottomRight" activeCell="C17" sqref="C17"/>
    </sheetView>
  </sheetViews>
  <sheetFormatPr defaultColWidth="9.08984375" defaultRowHeight="12.5" x14ac:dyDescent="0.35"/>
  <cols>
    <col min="1" max="1" width="12" style="356" customWidth="1"/>
    <col min="2" max="2" width="27.26953125" style="356" customWidth="1"/>
    <col min="3" max="3" width="16.6328125" style="356" bestFit="1" customWidth="1"/>
    <col min="4" max="4" width="6.453125" style="356" customWidth="1"/>
    <col min="5" max="5" width="12" style="356" customWidth="1"/>
    <col min="6" max="6" width="60.6328125" style="187" customWidth="1"/>
    <col min="7" max="7" width="6.36328125" style="356" bestFit="1" customWidth="1"/>
    <col min="8" max="8" width="10.453125" style="358" bestFit="1" customWidth="1"/>
    <col min="9" max="9" width="11.90625" style="360" customWidth="1"/>
    <col min="10" max="10" width="14.6328125" style="241" customWidth="1"/>
    <col min="11" max="11" width="11.453125" style="10" bestFit="1" customWidth="1"/>
    <col min="12" max="16384" width="9.08984375" style="10"/>
  </cols>
  <sheetData>
    <row r="1" spans="1:15" ht="26" x14ac:dyDescent="0.35">
      <c r="A1" s="1" t="s">
        <v>898</v>
      </c>
      <c r="B1" s="1" t="s">
        <v>1</v>
      </c>
      <c r="C1" s="1" t="s">
        <v>900</v>
      </c>
      <c r="D1" s="1" t="s">
        <v>2</v>
      </c>
      <c r="E1" s="1" t="s">
        <v>3</v>
      </c>
      <c r="F1" s="3" t="s">
        <v>4</v>
      </c>
      <c r="G1" s="4" t="s">
        <v>5</v>
      </c>
      <c r="H1" s="5" t="s">
        <v>6</v>
      </c>
      <c r="I1" s="7" t="s">
        <v>7</v>
      </c>
      <c r="J1" s="8" t="s">
        <v>8</v>
      </c>
      <c r="K1" s="10">
        <v>1</v>
      </c>
    </row>
    <row r="2" spans="1:15" s="20" customFormat="1" x14ac:dyDescent="0.35">
      <c r="A2" s="11" t="s">
        <v>10</v>
      </c>
      <c r="B2" s="11" t="s">
        <v>11</v>
      </c>
      <c r="C2" s="11"/>
      <c r="D2" s="12"/>
      <c r="E2" s="12"/>
      <c r="F2" s="13" t="s">
        <v>12</v>
      </c>
      <c r="G2" s="14"/>
      <c r="H2" s="15"/>
      <c r="I2" s="17"/>
      <c r="J2" s="18"/>
      <c r="L2" s="21"/>
      <c r="O2" s="21"/>
    </row>
    <row r="3" spans="1:15" s="20" customFormat="1" x14ac:dyDescent="0.35">
      <c r="A3" s="11" t="s">
        <v>10</v>
      </c>
      <c r="B3" s="11" t="s">
        <v>11</v>
      </c>
      <c r="C3" s="11"/>
      <c r="D3" s="12"/>
      <c r="E3" s="22" t="s">
        <v>13</v>
      </c>
      <c r="F3" s="13" t="s">
        <v>14</v>
      </c>
      <c r="G3" s="23"/>
      <c r="H3" s="24"/>
      <c r="I3" s="26"/>
      <c r="J3" s="27"/>
      <c r="L3" s="21"/>
      <c r="O3" s="21"/>
    </row>
    <row r="4" spans="1:15" s="20" customFormat="1" x14ac:dyDescent="0.35">
      <c r="A4" s="11" t="s">
        <v>10</v>
      </c>
      <c r="B4" s="11" t="s">
        <v>11</v>
      </c>
      <c r="C4" s="11"/>
      <c r="D4" s="12"/>
      <c r="E4" s="12"/>
      <c r="F4" s="13" t="s">
        <v>15</v>
      </c>
      <c r="G4" s="23"/>
      <c r="H4" s="24"/>
      <c r="I4" s="26"/>
      <c r="J4" s="27"/>
      <c r="L4" s="21"/>
      <c r="O4" s="21"/>
    </row>
    <row r="5" spans="1:15" s="20" customFormat="1" x14ac:dyDescent="0.35">
      <c r="A5" s="11" t="s">
        <v>10</v>
      </c>
      <c r="B5" s="11" t="s">
        <v>11</v>
      </c>
      <c r="C5" s="11"/>
      <c r="D5" s="12"/>
      <c r="E5" s="12"/>
      <c r="F5" s="13" t="s">
        <v>16</v>
      </c>
      <c r="G5" s="23"/>
      <c r="H5" s="24"/>
      <c r="I5" s="26"/>
      <c r="J5" s="27"/>
      <c r="L5" s="21"/>
      <c r="O5" s="21"/>
    </row>
    <row r="6" spans="1:15" s="20" customFormat="1" x14ac:dyDescent="0.35">
      <c r="A6" s="11" t="s">
        <v>10</v>
      </c>
      <c r="B6" s="11" t="s">
        <v>11</v>
      </c>
      <c r="C6" s="11"/>
      <c r="D6" s="12"/>
      <c r="E6" s="12">
        <v>8.3000000000000007</v>
      </c>
      <c r="F6" s="13" t="s">
        <v>17</v>
      </c>
      <c r="G6" s="23"/>
      <c r="H6" s="24"/>
      <c r="I6" s="26"/>
      <c r="J6" s="27"/>
      <c r="L6" s="21"/>
      <c r="O6" s="21"/>
    </row>
    <row r="7" spans="1:15" s="20" customFormat="1" x14ac:dyDescent="0.35">
      <c r="A7" s="11" t="s">
        <v>10</v>
      </c>
      <c r="B7" s="11" t="s">
        <v>11</v>
      </c>
      <c r="C7" s="11"/>
      <c r="D7" s="12"/>
      <c r="E7" s="12"/>
      <c r="F7" s="13" t="s">
        <v>18</v>
      </c>
      <c r="G7" s="23"/>
      <c r="H7" s="24"/>
      <c r="I7" s="26"/>
      <c r="J7" s="27"/>
      <c r="L7" s="21"/>
      <c r="O7" s="21"/>
    </row>
    <row r="8" spans="1:15" s="20" customFormat="1" ht="21" x14ac:dyDescent="0.35">
      <c r="A8" s="11" t="s">
        <v>10</v>
      </c>
      <c r="B8" s="11" t="s">
        <v>11</v>
      </c>
      <c r="C8" s="11"/>
      <c r="D8" s="12"/>
      <c r="E8" s="12"/>
      <c r="F8" s="29" t="s">
        <v>19</v>
      </c>
      <c r="G8" s="23"/>
      <c r="H8" s="24"/>
      <c r="I8" s="26"/>
      <c r="J8" s="27"/>
      <c r="L8" s="21"/>
      <c r="O8" s="21"/>
    </row>
    <row r="9" spans="1:15" s="20" customFormat="1" x14ac:dyDescent="0.35">
      <c r="A9" s="11" t="s">
        <v>10</v>
      </c>
      <c r="B9" s="11" t="s">
        <v>11</v>
      </c>
      <c r="C9" s="11"/>
      <c r="D9" s="12" t="s">
        <v>20</v>
      </c>
      <c r="E9" s="12" t="s">
        <v>21</v>
      </c>
      <c r="F9" s="30" t="s">
        <v>22</v>
      </c>
      <c r="G9" s="23" t="s">
        <v>23</v>
      </c>
      <c r="H9" s="24">
        <v>1</v>
      </c>
      <c r="I9" s="31">
        <v>500000</v>
      </c>
      <c r="J9" s="27">
        <f>H9*I9</f>
        <v>500000</v>
      </c>
      <c r="L9" s="21"/>
      <c r="O9" s="21"/>
    </row>
    <row r="10" spans="1:15" s="20" customFormat="1" x14ac:dyDescent="0.35">
      <c r="A10" s="11" t="s">
        <v>10</v>
      </c>
      <c r="B10" s="11" t="s">
        <v>11</v>
      </c>
      <c r="C10" s="11"/>
      <c r="D10" s="12"/>
      <c r="E10" s="12" t="s">
        <v>24</v>
      </c>
      <c r="F10" s="32" t="s">
        <v>25</v>
      </c>
      <c r="G10" s="23"/>
      <c r="H10" s="24"/>
      <c r="I10" s="31"/>
      <c r="J10" s="27"/>
      <c r="L10" s="21"/>
      <c r="O10" s="21"/>
    </row>
    <row r="11" spans="1:15" s="20" customFormat="1" x14ac:dyDescent="0.35">
      <c r="A11" s="11" t="s">
        <v>10</v>
      </c>
      <c r="B11" s="11" t="s">
        <v>11</v>
      </c>
      <c r="C11" s="11"/>
      <c r="D11" s="12" t="s">
        <v>26</v>
      </c>
      <c r="E11" s="12" t="s">
        <v>27</v>
      </c>
      <c r="F11" s="30" t="s">
        <v>28</v>
      </c>
      <c r="G11" s="23" t="s">
        <v>23</v>
      </c>
      <c r="H11" s="24">
        <v>1</v>
      </c>
      <c r="I11" s="31">
        <v>30000</v>
      </c>
      <c r="J11" s="27">
        <f>H11*I11</f>
        <v>30000</v>
      </c>
      <c r="L11" s="21"/>
      <c r="O11" s="21"/>
    </row>
    <row r="12" spans="1:15" s="20" customFormat="1" x14ac:dyDescent="0.35">
      <c r="A12" s="11" t="s">
        <v>10</v>
      </c>
      <c r="B12" s="11" t="s">
        <v>11</v>
      </c>
      <c r="C12" s="11"/>
      <c r="D12" s="12" t="s">
        <v>29</v>
      </c>
      <c r="E12" s="12" t="s">
        <v>30</v>
      </c>
      <c r="F12" s="30" t="s">
        <v>31</v>
      </c>
      <c r="G12" s="23" t="s">
        <v>23</v>
      </c>
      <c r="H12" s="24">
        <v>1</v>
      </c>
      <c r="I12" s="31">
        <v>10000</v>
      </c>
      <c r="J12" s="27">
        <f>H12*I12</f>
        <v>10000</v>
      </c>
      <c r="L12" s="21"/>
      <c r="O12" s="21"/>
    </row>
    <row r="13" spans="1:15" s="33" customFormat="1" ht="14.5" x14ac:dyDescent="0.35">
      <c r="A13" s="11" t="s">
        <v>10</v>
      </c>
      <c r="B13" s="11" t="s">
        <v>11</v>
      </c>
      <c r="C13" s="11"/>
      <c r="D13" s="12" t="s">
        <v>32</v>
      </c>
      <c r="E13" s="12" t="s">
        <v>33</v>
      </c>
      <c r="F13" s="30" t="s">
        <v>34</v>
      </c>
      <c r="G13" s="23" t="s">
        <v>35</v>
      </c>
      <c r="H13" s="24">
        <v>1</v>
      </c>
      <c r="I13" s="31">
        <v>10000</v>
      </c>
      <c r="J13" s="27">
        <f>I13*H13</f>
        <v>10000</v>
      </c>
    </row>
    <row r="14" spans="1:15" s="33" customFormat="1" ht="14.5" x14ac:dyDescent="0.35">
      <c r="A14" s="11" t="s">
        <v>10</v>
      </c>
      <c r="B14" s="11" t="s">
        <v>11</v>
      </c>
      <c r="C14" s="11"/>
      <c r="D14" s="12" t="s">
        <v>36</v>
      </c>
      <c r="E14" s="12" t="s">
        <v>37</v>
      </c>
      <c r="F14" s="30" t="s">
        <v>38</v>
      </c>
      <c r="G14" s="23" t="s">
        <v>35</v>
      </c>
      <c r="H14" s="24">
        <v>1</v>
      </c>
      <c r="I14" s="31">
        <v>20000</v>
      </c>
      <c r="J14" s="27">
        <f>I14*H14</f>
        <v>20000</v>
      </c>
    </row>
    <row r="15" spans="1:15" s="33" customFormat="1" ht="14.5" x14ac:dyDescent="0.35">
      <c r="A15" s="11" t="s">
        <v>10</v>
      </c>
      <c r="B15" s="11" t="s">
        <v>11</v>
      </c>
      <c r="C15" s="11"/>
      <c r="D15" s="12" t="s">
        <v>39</v>
      </c>
      <c r="E15" s="12" t="s">
        <v>40</v>
      </c>
      <c r="F15" s="30" t="s">
        <v>41</v>
      </c>
      <c r="G15" s="23" t="s">
        <v>35</v>
      </c>
      <c r="H15" s="24">
        <v>1</v>
      </c>
      <c r="I15" s="31">
        <v>20000</v>
      </c>
      <c r="J15" s="27">
        <f>I15*H15</f>
        <v>20000</v>
      </c>
    </row>
    <row r="16" spans="1:15" s="21" customFormat="1" x14ac:dyDescent="0.35">
      <c r="A16" s="11" t="s">
        <v>10</v>
      </c>
      <c r="B16" s="11" t="s">
        <v>11</v>
      </c>
      <c r="C16" s="11"/>
      <c r="D16" s="12" t="s">
        <v>42</v>
      </c>
      <c r="E16" s="12" t="s">
        <v>43</v>
      </c>
      <c r="F16" s="30" t="s">
        <v>44</v>
      </c>
      <c r="G16" s="23" t="s">
        <v>23</v>
      </c>
      <c r="H16" s="24">
        <v>1</v>
      </c>
      <c r="I16" s="31">
        <v>20000</v>
      </c>
      <c r="J16" s="27">
        <f>H16*I16</f>
        <v>20000</v>
      </c>
      <c r="K16" s="20"/>
      <c r="M16" s="20"/>
      <c r="N16" s="20"/>
    </row>
    <row r="17" spans="1:15" s="21" customFormat="1" x14ac:dyDescent="0.35">
      <c r="A17" s="11" t="s">
        <v>10</v>
      </c>
      <c r="B17" s="11" t="s">
        <v>11</v>
      </c>
      <c r="C17" s="11"/>
      <c r="D17" s="12" t="s">
        <v>45</v>
      </c>
      <c r="E17" s="12" t="s">
        <v>46</v>
      </c>
      <c r="F17" s="30" t="s">
        <v>47</v>
      </c>
      <c r="G17" s="23" t="s">
        <v>23</v>
      </c>
      <c r="H17" s="24">
        <v>1</v>
      </c>
      <c r="I17" s="31">
        <v>15000</v>
      </c>
      <c r="J17" s="27">
        <f>H17*I17</f>
        <v>15000</v>
      </c>
      <c r="K17" s="20"/>
      <c r="M17" s="20"/>
      <c r="N17" s="20"/>
    </row>
    <row r="18" spans="1:15" s="33" customFormat="1" ht="14.5" x14ac:dyDescent="0.35">
      <c r="A18" s="11" t="s">
        <v>10</v>
      </c>
      <c r="B18" s="11" t="s">
        <v>11</v>
      </c>
      <c r="C18" s="11"/>
      <c r="D18" s="12" t="s">
        <v>48</v>
      </c>
      <c r="E18" s="12" t="s">
        <v>49</v>
      </c>
      <c r="F18" s="30" t="s">
        <v>50</v>
      </c>
      <c r="G18" s="23" t="s">
        <v>23</v>
      </c>
      <c r="H18" s="24">
        <v>1</v>
      </c>
      <c r="I18" s="31">
        <v>25000</v>
      </c>
      <c r="J18" s="27">
        <f>I18*H18</f>
        <v>25000</v>
      </c>
    </row>
    <row r="19" spans="1:15" s="33" customFormat="1" ht="14.5" x14ac:dyDescent="0.35">
      <c r="A19" s="11" t="s">
        <v>10</v>
      </c>
      <c r="B19" s="11" t="s">
        <v>11</v>
      </c>
      <c r="C19" s="11"/>
      <c r="D19" s="34" t="s">
        <v>51</v>
      </c>
      <c r="E19" s="30"/>
      <c r="F19" s="30" t="s">
        <v>52</v>
      </c>
      <c r="G19" s="23" t="s">
        <v>23</v>
      </c>
      <c r="H19" s="35">
        <v>1</v>
      </c>
      <c r="I19" s="31">
        <v>20000</v>
      </c>
      <c r="J19" s="27">
        <f>I19*H19</f>
        <v>20000</v>
      </c>
    </row>
    <row r="20" spans="1:15" s="33" customFormat="1" ht="13.75" customHeight="1" x14ac:dyDescent="0.35">
      <c r="A20" s="11" t="s">
        <v>10</v>
      </c>
      <c r="B20" s="11" t="s">
        <v>11</v>
      </c>
      <c r="C20" s="11"/>
      <c r="D20" s="34" t="s">
        <v>53</v>
      </c>
      <c r="E20" s="30"/>
      <c r="F20" s="30" t="s">
        <v>54</v>
      </c>
      <c r="G20" s="23" t="s">
        <v>23</v>
      </c>
      <c r="H20" s="35">
        <v>1</v>
      </c>
      <c r="I20" s="31">
        <v>55933.13</v>
      </c>
      <c r="J20" s="27">
        <f>I20*H20</f>
        <v>55933.13</v>
      </c>
    </row>
    <row r="21" spans="1:15" s="21" customFormat="1" ht="13.4" customHeight="1" x14ac:dyDescent="0.35">
      <c r="A21" s="11" t="s">
        <v>10</v>
      </c>
      <c r="B21" s="11" t="s">
        <v>11</v>
      </c>
      <c r="C21" s="11"/>
      <c r="D21" s="12" t="s">
        <v>55</v>
      </c>
      <c r="E21" s="12" t="s">
        <v>56</v>
      </c>
      <c r="F21" s="32" t="s">
        <v>57</v>
      </c>
      <c r="G21" s="23" t="s">
        <v>23</v>
      </c>
      <c r="H21" s="24">
        <v>1</v>
      </c>
      <c r="I21" s="31">
        <v>5000</v>
      </c>
      <c r="J21" s="27">
        <f>H21*I21</f>
        <v>5000</v>
      </c>
      <c r="K21" s="20"/>
      <c r="M21" s="20"/>
      <c r="N21" s="20"/>
    </row>
    <row r="22" spans="1:15" s="21" customFormat="1" ht="16.399999999999999" customHeight="1" x14ac:dyDescent="0.35">
      <c r="A22" s="11" t="s">
        <v>10</v>
      </c>
      <c r="B22" s="11" t="s">
        <v>11</v>
      </c>
      <c r="C22" s="11"/>
      <c r="D22" s="12" t="s">
        <v>58</v>
      </c>
      <c r="E22" s="12" t="s">
        <v>59</v>
      </c>
      <c r="F22" s="30" t="s">
        <v>60</v>
      </c>
      <c r="G22" s="23" t="s">
        <v>23</v>
      </c>
      <c r="H22" s="24">
        <v>1</v>
      </c>
      <c r="I22" s="31">
        <v>15000</v>
      </c>
      <c r="J22" s="27">
        <f>H22*I22</f>
        <v>15000</v>
      </c>
      <c r="K22" s="20"/>
      <c r="M22" s="20"/>
      <c r="N22" s="20"/>
    </row>
    <row r="23" spans="1:15" s="20" customFormat="1" x14ac:dyDescent="0.35">
      <c r="A23" s="11" t="s">
        <v>10</v>
      </c>
      <c r="B23" s="11" t="s">
        <v>61</v>
      </c>
      <c r="C23" s="11"/>
      <c r="D23" s="12"/>
      <c r="E23" s="37"/>
      <c r="F23" s="13" t="s">
        <v>12</v>
      </c>
      <c r="G23" s="23"/>
      <c r="H23" s="24"/>
      <c r="I23" s="38"/>
      <c r="J23" s="27"/>
      <c r="L23" s="21"/>
    </row>
    <row r="24" spans="1:15" s="40" customFormat="1" x14ac:dyDescent="0.35">
      <c r="A24" s="11" t="s">
        <v>10</v>
      </c>
      <c r="B24" s="11" t="s">
        <v>61</v>
      </c>
      <c r="C24" s="11"/>
      <c r="D24" s="22"/>
      <c r="E24" s="22" t="s">
        <v>13</v>
      </c>
      <c r="F24" s="13" t="s">
        <v>14</v>
      </c>
      <c r="G24" s="14"/>
      <c r="H24" s="15"/>
      <c r="I24" s="39"/>
      <c r="J24" s="18"/>
      <c r="L24" s="41"/>
      <c r="O24" s="41"/>
    </row>
    <row r="25" spans="1:15" s="20" customFormat="1" x14ac:dyDescent="0.35">
      <c r="A25" s="11" t="s">
        <v>10</v>
      </c>
      <c r="B25" s="11" t="s">
        <v>61</v>
      </c>
      <c r="C25" s="11"/>
      <c r="D25" s="12"/>
      <c r="E25" s="12"/>
      <c r="F25" s="13" t="s">
        <v>15</v>
      </c>
      <c r="G25" s="23"/>
      <c r="H25" s="24"/>
      <c r="I25" s="31"/>
      <c r="J25" s="27"/>
      <c r="L25" s="21"/>
      <c r="O25" s="21"/>
    </row>
    <row r="26" spans="1:15" s="20" customFormat="1" x14ac:dyDescent="0.35">
      <c r="A26" s="11" t="s">
        <v>10</v>
      </c>
      <c r="B26" s="11" t="s">
        <v>61</v>
      </c>
      <c r="C26" s="11"/>
      <c r="D26" s="12"/>
      <c r="E26" s="12"/>
      <c r="F26" s="13" t="s">
        <v>62</v>
      </c>
      <c r="G26" s="23"/>
      <c r="H26" s="24"/>
      <c r="I26" s="31"/>
      <c r="J26" s="27"/>
      <c r="L26" s="21"/>
      <c r="O26" s="21"/>
    </row>
    <row r="27" spans="1:15" s="20" customFormat="1" x14ac:dyDescent="0.35">
      <c r="A27" s="11" t="s">
        <v>10</v>
      </c>
      <c r="B27" s="11" t="s">
        <v>61</v>
      </c>
      <c r="C27" s="11"/>
      <c r="D27" s="12"/>
      <c r="E27" s="12">
        <v>8.4</v>
      </c>
      <c r="F27" s="13" t="s">
        <v>63</v>
      </c>
      <c r="G27" s="23"/>
      <c r="H27" s="24"/>
      <c r="I27" s="31"/>
      <c r="J27" s="27"/>
      <c r="L27" s="21"/>
      <c r="O27" s="21"/>
    </row>
    <row r="28" spans="1:15" s="20" customFormat="1" x14ac:dyDescent="0.35">
      <c r="A28" s="11" t="s">
        <v>10</v>
      </c>
      <c r="B28" s="11" t="s">
        <v>61</v>
      </c>
      <c r="C28" s="11"/>
      <c r="D28" s="12"/>
      <c r="E28" s="12"/>
      <c r="F28" s="13" t="s">
        <v>18</v>
      </c>
      <c r="G28" s="23"/>
      <c r="H28" s="24"/>
      <c r="I28" s="31"/>
      <c r="J28" s="27"/>
      <c r="L28" s="21"/>
      <c r="O28" s="21"/>
    </row>
    <row r="29" spans="1:15" s="20" customFormat="1" ht="21" x14ac:dyDescent="0.35">
      <c r="A29" s="11" t="s">
        <v>10</v>
      </c>
      <c r="B29" s="11" t="s">
        <v>61</v>
      </c>
      <c r="C29" s="11"/>
      <c r="D29" s="12"/>
      <c r="E29" s="12"/>
      <c r="F29" s="29" t="s">
        <v>19</v>
      </c>
      <c r="G29" s="23"/>
      <c r="H29" s="24"/>
      <c r="I29" s="31"/>
      <c r="J29" s="27"/>
      <c r="L29" s="21"/>
      <c r="O29" s="21"/>
    </row>
    <row r="30" spans="1:15" s="21" customFormat="1" x14ac:dyDescent="0.35">
      <c r="A30" s="11" t="s">
        <v>10</v>
      </c>
      <c r="B30" s="11" t="s">
        <v>61</v>
      </c>
      <c r="C30" s="11"/>
      <c r="D30" s="12" t="s">
        <v>20</v>
      </c>
      <c r="E30" s="12" t="s">
        <v>64</v>
      </c>
      <c r="F30" s="30" t="s">
        <v>22</v>
      </c>
      <c r="G30" s="23" t="s">
        <v>23</v>
      </c>
      <c r="H30" s="24">
        <v>1</v>
      </c>
      <c r="I30" s="31">
        <v>100000</v>
      </c>
      <c r="J30" s="27">
        <f>H30*I30</f>
        <v>100000</v>
      </c>
      <c r="K30" s="20"/>
      <c r="M30" s="20"/>
      <c r="N30" s="20"/>
    </row>
    <row r="31" spans="1:15" s="21" customFormat="1" ht="20" x14ac:dyDescent="0.35">
      <c r="A31" s="11" t="s">
        <v>10</v>
      </c>
      <c r="B31" s="11" t="s">
        <v>61</v>
      </c>
      <c r="C31" s="11"/>
      <c r="D31" s="12"/>
      <c r="E31" s="12" t="s">
        <v>65</v>
      </c>
      <c r="F31" s="32" t="s">
        <v>66</v>
      </c>
      <c r="G31" s="23"/>
      <c r="H31" s="24"/>
      <c r="I31" s="31"/>
      <c r="J31" s="27"/>
      <c r="K31" s="20"/>
      <c r="M31" s="20"/>
      <c r="N31" s="20"/>
    </row>
    <row r="32" spans="1:15" s="21" customFormat="1" x14ac:dyDescent="0.35">
      <c r="A32" s="11" t="s">
        <v>10</v>
      </c>
      <c r="B32" s="11" t="s">
        <v>61</v>
      </c>
      <c r="C32" s="11"/>
      <c r="D32" s="12"/>
      <c r="E32" s="12" t="s">
        <v>67</v>
      </c>
      <c r="F32" s="32" t="s">
        <v>25</v>
      </c>
      <c r="G32" s="23"/>
      <c r="H32" s="24"/>
      <c r="I32" s="31"/>
      <c r="J32" s="27"/>
      <c r="K32" s="20"/>
      <c r="M32" s="20"/>
      <c r="N32" s="20"/>
    </row>
    <row r="33" spans="1:15" s="21" customFormat="1" x14ac:dyDescent="0.35">
      <c r="A33" s="11" t="s">
        <v>10</v>
      </c>
      <c r="B33" s="11" t="s">
        <v>61</v>
      </c>
      <c r="C33" s="11"/>
      <c r="D33" s="12" t="s">
        <v>26</v>
      </c>
      <c r="E33" s="12" t="s">
        <v>68</v>
      </c>
      <c r="F33" s="30" t="s">
        <v>28</v>
      </c>
      <c r="G33" s="23" t="s">
        <v>23</v>
      </c>
      <c r="H33" s="24">
        <v>1</v>
      </c>
      <c r="I33" s="31">
        <v>30000</v>
      </c>
      <c r="J33" s="27">
        <f>H33*I33</f>
        <v>30000</v>
      </c>
      <c r="K33" s="42"/>
      <c r="M33" s="20"/>
      <c r="N33" s="20"/>
    </row>
    <row r="34" spans="1:15" s="21" customFormat="1" x14ac:dyDescent="0.35">
      <c r="A34" s="11" t="s">
        <v>10</v>
      </c>
      <c r="B34" s="11" t="s">
        <v>61</v>
      </c>
      <c r="C34" s="11"/>
      <c r="D34" s="12" t="s">
        <v>29</v>
      </c>
      <c r="E34" s="12" t="s">
        <v>69</v>
      </c>
      <c r="F34" s="30" t="s">
        <v>31</v>
      </c>
      <c r="G34" s="23" t="s">
        <v>23</v>
      </c>
      <c r="H34" s="24">
        <v>1</v>
      </c>
      <c r="I34" s="31">
        <v>15000</v>
      </c>
      <c r="J34" s="27">
        <f>H34*I34</f>
        <v>15000</v>
      </c>
      <c r="K34" s="20"/>
      <c r="M34" s="20"/>
      <c r="N34" s="20"/>
    </row>
    <row r="35" spans="1:15" s="21" customFormat="1" x14ac:dyDescent="0.35">
      <c r="A35" s="11" t="s">
        <v>10</v>
      </c>
      <c r="B35" s="11" t="s">
        <v>61</v>
      </c>
      <c r="C35" s="11"/>
      <c r="D35" s="12" t="s">
        <v>32</v>
      </c>
      <c r="E35" s="12" t="s">
        <v>70</v>
      </c>
      <c r="F35" s="30" t="s">
        <v>71</v>
      </c>
      <c r="G35" s="23" t="s">
        <v>23</v>
      </c>
      <c r="H35" s="24">
        <v>1</v>
      </c>
      <c r="I35" s="31">
        <v>15000</v>
      </c>
      <c r="J35" s="27">
        <f>H35*I35</f>
        <v>15000</v>
      </c>
      <c r="K35" s="20"/>
      <c r="M35" s="20"/>
      <c r="N35" s="20"/>
    </row>
    <row r="36" spans="1:15" s="21" customFormat="1" x14ac:dyDescent="0.35">
      <c r="A36" s="11" t="s">
        <v>10</v>
      </c>
      <c r="B36" s="11" t="s">
        <v>61</v>
      </c>
      <c r="C36" s="11"/>
      <c r="D36" s="12" t="s">
        <v>36</v>
      </c>
      <c r="E36" s="12" t="s">
        <v>72</v>
      </c>
      <c r="F36" s="30" t="s">
        <v>73</v>
      </c>
      <c r="G36" s="23" t="s">
        <v>23</v>
      </c>
      <c r="H36" s="24">
        <v>1</v>
      </c>
      <c r="I36" s="31">
        <v>30000</v>
      </c>
      <c r="J36" s="27">
        <f>H36*I36</f>
        <v>30000</v>
      </c>
      <c r="K36" s="20"/>
      <c r="M36" s="20"/>
      <c r="N36" s="20"/>
    </row>
    <row r="37" spans="1:15" s="21" customFormat="1" x14ac:dyDescent="0.35">
      <c r="A37" s="11" t="s">
        <v>10</v>
      </c>
      <c r="B37" s="11" t="s">
        <v>61</v>
      </c>
      <c r="C37" s="11"/>
      <c r="D37" s="12" t="s">
        <v>39</v>
      </c>
      <c r="E37" s="12" t="s">
        <v>74</v>
      </c>
      <c r="F37" s="30" t="s">
        <v>75</v>
      </c>
      <c r="G37" s="23" t="s">
        <v>23</v>
      </c>
      <c r="H37" s="24">
        <v>1</v>
      </c>
      <c r="I37" s="31">
        <v>30000</v>
      </c>
      <c r="J37" s="27">
        <f>H37*I37</f>
        <v>30000</v>
      </c>
      <c r="K37" s="20"/>
      <c r="M37" s="20"/>
      <c r="N37" s="20"/>
    </row>
    <row r="38" spans="1:15" s="21" customFormat="1" x14ac:dyDescent="0.35">
      <c r="A38" s="11" t="s">
        <v>10</v>
      </c>
      <c r="B38" s="11" t="s">
        <v>61</v>
      </c>
      <c r="C38" s="11"/>
      <c r="D38" s="12" t="s">
        <v>42</v>
      </c>
      <c r="E38" s="12" t="s">
        <v>76</v>
      </c>
      <c r="F38" s="30" t="s">
        <v>44</v>
      </c>
      <c r="G38" s="23" t="s">
        <v>23</v>
      </c>
      <c r="H38" s="24">
        <v>1</v>
      </c>
      <c r="I38" s="31">
        <v>20000</v>
      </c>
      <c r="J38" s="27">
        <f>H38*I38</f>
        <v>20000</v>
      </c>
      <c r="K38" s="20"/>
      <c r="M38" s="20"/>
      <c r="N38" s="20"/>
    </row>
    <row r="39" spans="1:15" s="21" customFormat="1" x14ac:dyDescent="0.35">
      <c r="A39" s="11" t="s">
        <v>10</v>
      </c>
      <c r="B39" s="11" t="s">
        <v>61</v>
      </c>
      <c r="C39" s="11"/>
      <c r="D39" s="12" t="s">
        <v>45</v>
      </c>
      <c r="E39" s="12" t="s">
        <v>77</v>
      </c>
      <c r="F39" s="30" t="s">
        <v>47</v>
      </c>
      <c r="G39" s="23" t="s">
        <v>23</v>
      </c>
      <c r="H39" s="24">
        <v>1</v>
      </c>
      <c r="I39" s="31">
        <v>20000</v>
      </c>
      <c r="J39" s="27">
        <f>H39*I39</f>
        <v>20000</v>
      </c>
      <c r="K39" s="20"/>
      <c r="M39" s="20"/>
      <c r="N39" s="20"/>
    </row>
    <row r="40" spans="1:15" s="21" customFormat="1" x14ac:dyDescent="0.35">
      <c r="A40" s="11" t="s">
        <v>10</v>
      </c>
      <c r="B40" s="11" t="s">
        <v>61</v>
      </c>
      <c r="C40" s="11"/>
      <c r="D40" s="12" t="s">
        <v>48</v>
      </c>
      <c r="E40" s="12" t="s">
        <v>78</v>
      </c>
      <c r="F40" s="30" t="s">
        <v>79</v>
      </c>
      <c r="G40" s="23" t="s">
        <v>23</v>
      </c>
      <c r="H40" s="24">
        <v>1</v>
      </c>
      <c r="I40" s="31">
        <v>60000</v>
      </c>
      <c r="J40" s="27">
        <f>H40*I40</f>
        <v>60000</v>
      </c>
      <c r="K40" s="20"/>
      <c r="M40" s="20"/>
      <c r="N40" s="20"/>
    </row>
    <row r="41" spans="1:15" s="21" customFormat="1" x14ac:dyDescent="0.35">
      <c r="A41" s="11" t="s">
        <v>10</v>
      </c>
      <c r="B41" s="11" t="s">
        <v>61</v>
      </c>
      <c r="C41" s="11"/>
      <c r="D41" s="12" t="s">
        <v>51</v>
      </c>
      <c r="E41" s="12" t="s">
        <v>80</v>
      </c>
      <c r="F41" s="30" t="s">
        <v>81</v>
      </c>
      <c r="G41" s="23" t="s">
        <v>23</v>
      </c>
      <c r="H41" s="24">
        <v>1</v>
      </c>
      <c r="I41" s="31">
        <v>120000</v>
      </c>
      <c r="J41" s="27">
        <f>H41*I41</f>
        <v>120000</v>
      </c>
      <c r="K41" s="20"/>
      <c r="M41" s="20"/>
      <c r="N41" s="20"/>
    </row>
    <row r="42" spans="1:15" s="21" customFormat="1" x14ac:dyDescent="0.35">
      <c r="A42" s="11" t="s">
        <v>10</v>
      </c>
      <c r="B42" s="11" t="s">
        <v>61</v>
      </c>
      <c r="C42" s="11"/>
      <c r="D42" s="12" t="s">
        <v>53</v>
      </c>
      <c r="E42" s="12" t="s">
        <v>82</v>
      </c>
      <c r="F42" s="30" t="s">
        <v>83</v>
      </c>
      <c r="G42" s="23" t="s">
        <v>23</v>
      </c>
      <c r="H42" s="24">
        <v>1</v>
      </c>
      <c r="I42" s="31">
        <v>24000</v>
      </c>
      <c r="J42" s="27">
        <f>H42*I42</f>
        <v>24000</v>
      </c>
      <c r="K42" s="20"/>
      <c r="M42" s="20"/>
      <c r="N42" s="20"/>
    </row>
    <row r="43" spans="1:15" s="33" customFormat="1" ht="14.5" x14ac:dyDescent="0.35">
      <c r="A43" s="11" t="s">
        <v>10</v>
      </c>
      <c r="B43" s="11" t="s">
        <v>61</v>
      </c>
      <c r="C43" s="11"/>
      <c r="D43" s="12" t="s">
        <v>55</v>
      </c>
      <c r="E43" s="12"/>
      <c r="F43" s="30" t="s">
        <v>84</v>
      </c>
      <c r="G43" s="23" t="s">
        <v>35</v>
      </c>
      <c r="H43" s="24">
        <v>1</v>
      </c>
      <c r="I43" s="31">
        <v>200000</v>
      </c>
      <c r="J43" s="27">
        <f>I43*H43</f>
        <v>200000</v>
      </c>
    </row>
    <row r="44" spans="1:15" s="21" customFormat="1" x14ac:dyDescent="0.35">
      <c r="A44" s="11" t="s">
        <v>10</v>
      </c>
      <c r="B44" s="11" t="s">
        <v>61</v>
      </c>
      <c r="C44" s="11"/>
      <c r="D44" s="12" t="s">
        <v>58</v>
      </c>
      <c r="E44" s="12" t="s">
        <v>85</v>
      </c>
      <c r="F44" s="30" t="s">
        <v>86</v>
      </c>
      <c r="G44" s="23" t="s">
        <v>23</v>
      </c>
      <c r="H44" s="24">
        <v>1</v>
      </c>
      <c r="I44" s="31">
        <v>10000</v>
      </c>
      <c r="J44" s="27">
        <f>H44*I44</f>
        <v>10000</v>
      </c>
      <c r="K44" s="20"/>
      <c r="M44" s="20"/>
      <c r="N44" s="20"/>
    </row>
    <row r="45" spans="1:15" s="21" customFormat="1" x14ac:dyDescent="0.35">
      <c r="A45" s="11" t="s">
        <v>10</v>
      </c>
      <c r="B45" s="11" t="s">
        <v>61</v>
      </c>
      <c r="C45" s="11"/>
      <c r="D45" s="12" t="s">
        <v>87</v>
      </c>
      <c r="E45" s="12" t="s">
        <v>88</v>
      </c>
      <c r="F45" s="30" t="s">
        <v>89</v>
      </c>
      <c r="G45" s="23" t="s">
        <v>23</v>
      </c>
      <c r="H45" s="24">
        <v>1</v>
      </c>
      <c r="I45" s="31">
        <v>60000</v>
      </c>
      <c r="J45" s="27">
        <f>H45*I45</f>
        <v>60000</v>
      </c>
      <c r="K45" s="20"/>
      <c r="M45" s="20"/>
      <c r="N45" s="20"/>
    </row>
    <row r="46" spans="1:15" s="20" customFormat="1" x14ac:dyDescent="0.35">
      <c r="A46" s="11" t="s">
        <v>10</v>
      </c>
      <c r="B46" s="11" t="s">
        <v>61</v>
      </c>
      <c r="C46" s="11"/>
      <c r="D46" s="12" t="s">
        <v>90</v>
      </c>
      <c r="E46" s="12" t="s">
        <v>91</v>
      </c>
      <c r="F46" s="30" t="s">
        <v>92</v>
      </c>
      <c r="G46" s="23" t="s">
        <v>23</v>
      </c>
      <c r="H46" s="24">
        <v>1</v>
      </c>
      <c r="I46" s="31">
        <v>100000</v>
      </c>
      <c r="J46" s="27">
        <f>H46*I46</f>
        <v>100000</v>
      </c>
      <c r="L46" s="21"/>
      <c r="O46" s="21"/>
    </row>
    <row r="47" spans="1:15" ht="13" x14ac:dyDescent="0.35">
      <c r="A47" s="11" t="s">
        <v>93</v>
      </c>
      <c r="B47" s="11" t="s">
        <v>94</v>
      </c>
      <c r="C47" s="11"/>
      <c r="D47" s="11"/>
      <c r="E47" s="11"/>
      <c r="F47" s="43" t="s">
        <v>95</v>
      </c>
      <c r="G47" s="44"/>
      <c r="H47" s="45"/>
      <c r="I47" s="47"/>
      <c r="J47" s="48"/>
      <c r="K47" s="10">
        <v>1</v>
      </c>
    </row>
    <row r="48" spans="1:15" ht="13" x14ac:dyDescent="0.35">
      <c r="A48" s="11" t="s">
        <v>93</v>
      </c>
      <c r="B48" s="11" t="s">
        <v>94</v>
      </c>
      <c r="C48" s="11"/>
      <c r="D48" s="11"/>
      <c r="E48" s="11"/>
      <c r="F48" s="43" t="s">
        <v>96</v>
      </c>
      <c r="G48" s="44"/>
      <c r="H48" s="45"/>
      <c r="I48" s="47"/>
      <c r="J48" s="48"/>
      <c r="K48" s="10">
        <v>1</v>
      </c>
    </row>
    <row r="49" spans="1:11" ht="13" x14ac:dyDescent="0.35">
      <c r="A49" s="11" t="s">
        <v>93</v>
      </c>
      <c r="B49" s="11" t="s">
        <v>94</v>
      </c>
      <c r="C49" s="11"/>
      <c r="D49" s="11"/>
      <c r="E49" s="11"/>
      <c r="F49" s="43" t="s">
        <v>97</v>
      </c>
      <c r="G49" s="44"/>
      <c r="H49" s="45"/>
      <c r="I49" s="47"/>
      <c r="J49" s="48"/>
      <c r="K49" s="10">
        <v>1</v>
      </c>
    </row>
    <row r="50" spans="1:11" ht="13" x14ac:dyDescent="0.35">
      <c r="A50" s="50" t="s">
        <v>93</v>
      </c>
      <c r="B50" s="11" t="s">
        <v>94</v>
      </c>
      <c r="C50" s="11"/>
      <c r="D50" s="50"/>
      <c r="E50" s="50" t="s">
        <v>98</v>
      </c>
      <c r="F50" s="43" t="s">
        <v>99</v>
      </c>
      <c r="G50" s="51"/>
      <c r="H50" s="52"/>
      <c r="I50" s="54"/>
      <c r="J50" s="55"/>
      <c r="K50" s="10">
        <v>1</v>
      </c>
    </row>
    <row r="51" spans="1:11" ht="13" x14ac:dyDescent="0.35">
      <c r="A51" s="11" t="s">
        <v>93</v>
      </c>
      <c r="B51" s="11" t="s">
        <v>94</v>
      </c>
      <c r="C51" s="11"/>
      <c r="D51" s="11"/>
      <c r="E51" s="11"/>
      <c r="F51" s="57" t="s">
        <v>100</v>
      </c>
      <c r="G51" s="44"/>
      <c r="H51" s="58"/>
      <c r="I51" s="47"/>
      <c r="J51" s="48"/>
      <c r="K51" s="10">
        <v>1</v>
      </c>
    </row>
    <row r="52" spans="1:11" x14ac:dyDescent="0.35">
      <c r="A52" s="11" t="s">
        <v>93</v>
      </c>
      <c r="B52" s="11" t="s">
        <v>94</v>
      </c>
      <c r="C52" s="11"/>
      <c r="D52" s="11"/>
      <c r="E52" s="11"/>
      <c r="F52" s="60" t="s">
        <v>101</v>
      </c>
      <c r="G52" s="44"/>
      <c r="H52" s="58"/>
      <c r="I52" s="47"/>
      <c r="J52" s="48"/>
      <c r="K52" s="10">
        <v>1</v>
      </c>
    </row>
    <row r="53" spans="1:11" ht="13" x14ac:dyDescent="0.35">
      <c r="A53" s="11" t="s">
        <v>93</v>
      </c>
      <c r="B53" s="11" t="s">
        <v>94</v>
      </c>
      <c r="C53" s="11"/>
      <c r="D53" s="11"/>
      <c r="E53" s="11"/>
      <c r="F53" s="57" t="s">
        <v>102</v>
      </c>
      <c r="G53" s="44"/>
      <c r="H53" s="58"/>
      <c r="I53" s="47"/>
      <c r="J53" s="48"/>
      <c r="K53" s="10">
        <v>1</v>
      </c>
    </row>
    <row r="54" spans="1:11" ht="13" x14ac:dyDescent="0.35">
      <c r="A54" s="11" t="s">
        <v>93</v>
      </c>
      <c r="B54" s="11" t="s">
        <v>94</v>
      </c>
      <c r="C54" s="11"/>
      <c r="D54" s="11"/>
      <c r="E54" s="11"/>
      <c r="F54" s="57" t="s">
        <v>103</v>
      </c>
      <c r="G54" s="44"/>
      <c r="H54" s="58"/>
      <c r="I54" s="47"/>
      <c r="J54" s="48"/>
      <c r="K54" s="10">
        <v>1</v>
      </c>
    </row>
    <row r="55" spans="1:11" ht="37.5" x14ac:dyDescent="0.35">
      <c r="A55" s="11" t="s">
        <v>93</v>
      </c>
      <c r="B55" s="11" t="s">
        <v>94</v>
      </c>
      <c r="C55" s="11"/>
      <c r="D55" s="11"/>
      <c r="E55" s="11"/>
      <c r="F55" s="60" t="s">
        <v>104</v>
      </c>
      <c r="G55" s="44"/>
      <c r="H55" s="58"/>
      <c r="I55" s="47"/>
      <c r="J55" s="48"/>
      <c r="K55" s="10">
        <v>1</v>
      </c>
    </row>
    <row r="56" spans="1:11" ht="13" x14ac:dyDescent="0.35">
      <c r="A56" s="11" t="s">
        <v>93</v>
      </c>
      <c r="B56" s="11" t="s">
        <v>94</v>
      </c>
      <c r="C56" s="11"/>
      <c r="D56" s="11"/>
      <c r="E56" s="61" t="s">
        <v>105</v>
      </c>
      <c r="F56" s="57" t="s">
        <v>106</v>
      </c>
      <c r="G56" s="44"/>
      <c r="H56" s="58"/>
      <c r="I56" s="47"/>
      <c r="J56" s="48"/>
      <c r="K56" s="10">
        <v>1</v>
      </c>
    </row>
    <row r="57" spans="1:11" x14ac:dyDescent="0.35">
      <c r="A57" s="11" t="s">
        <v>93</v>
      </c>
      <c r="B57" s="11" t="s">
        <v>94</v>
      </c>
      <c r="C57" s="11"/>
      <c r="D57" s="11"/>
      <c r="E57" s="11" t="s">
        <v>21</v>
      </c>
      <c r="F57" s="62" t="s">
        <v>107</v>
      </c>
      <c r="G57" s="44"/>
      <c r="H57" s="58"/>
      <c r="I57" s="47"/>
      <c r="J57" s="48"/>
      <c r="K57" s="10">
        <v>1</v>
      </c>
    </row>
    <row r="58" spans="1:11" ht="25" x14ac:dyDescent="0.35">
      <c r="A58" s="11" t="s">
        <v>93</v>
      </c>
      <c r="B58" s="11" t="s">
        <v>94</v>
      </c>
      <c r="C58" s="11"/>
      <c r="D58" s="11" t="s">
        <v>20</v>
      </c>
      <c r="E58" s="11" t="s">
        <v>108</v>
      </c>
      <c r="F58" s="60" t="s">
        <v>109</v>
      </c>
      <c r="G58" s="44" t="s">
        <v>110</v>
      </c>
      <c r="H58" s="58">
        <v>307</v>
      </c>
      <c r="I58" s="47">
        <v>25</v>
      </c>
      <c r="J58" s="48">
        <f>I58*H58</f>
        <v>7675</v>
      </c>
      <c r="K58" s="10">
        <v>1</v>
      </c>
    </row>
    <row r="59" spans="1:11" ht="14.5" x14ac:dyDescent="0.35">
      <c r="A59" s="11" t="s">
        <v>93</v>
      </c>
      <c r="B59" s="11" t="s">
        <v>94</v>
      </c>
      <c r="C59" s="11"/>
      <c r="D59" s="11" t="s">
        <v>26</v>
      </c>
      <c r="E59" s="11" t="s">
        <v>111</v>
      </c>
      <c r="F59" s="60" t="s">
        <v>112</v>
      </c>
      <c r="G59" s="44" t="s">
        <v>110</v>
      </c>
      <c r="H59" s="58">
        <f>H58</f>
        <v>307</v>
      </c>
      <c r="I59" s="47">
        <v>65</v>
      </c>
      <c r="J59" s="48">
        <f>I59*H59</f>
        <v>19955</v>
      </c>
      <c r="K59" s="10">
        <v>1</v>
      </c>
    </row>
    <row r="60" spans="1:11" ht="13" x14ac:dyDescent="0.35">
      <c r="A60" s="11" t="s">
        <v>93</v>
      </c>
      <c r="B60" s="11" t="s">
        <v>94</v>
      </c>
      <c r="C60" s="11"/>
      <c r="D60" s="11"/>
      <c r="E60" s="11"/>
      <c r="F60" s="57" t="s">
        <v>113</v>
      </c>
      <c r="G60" s="44"/>
      <c r="H60" s="58"/>
      <c r="I60" s="47"/>
      <c r="J60" s="48"/>
      <c r="K60" s="10">
        <v>1</v>
      </c>
    </row>
    <row r="61" spans="1:11" ht="13" x14ac:dyDescent="0.35">
      <c r="A61" s="11" t="s">
        <v>93</v>
      </c>
      <c r="B61" s="11" t="s">
        <v>94</v>
      </c>
      <c r="C61" s="11"/>
      <c r="D61" s="11"/>
      <c r="E61" s="61" t="s">
        <v>56</v>
      </c>
      <c r="F61" s="57" t="s">
        <v>114</v>
      </c>
      <c r="G61" s="44"/>
      <c r="H61" s="63"/>
      <c r="I61" s="47"/>
      <c r="J61" s="48"/>
      <c r="K61" s="10">
        <v>1</v>
      </c>
    </row>
    <row r="62" spans="1:11" ht="14.5" x14ac:dyDescent="0.35">
      <c r="A62" s="11" t="s">
        <v>93</v>
      </c>
      <c r="B62" s="11" t="s">
        <v>94</v>
      </c>
      <c r="C62" s="11"/>
      <c r="D62" s="11" t="s">
        <v>29</v>
      </c>
      <c r="E62" s="61" t="s">
        <v>115</v>
      </c>
      <c r="F62" s="60" t="s">
        <v>116</v>
      </c>
      <c r="G62" s="44" t="s">
        <v>117</v>
      </c>
      <c r="H62" s="63">
        <v>112</v>
      </c>
      <c r="I62" s="47">
        <v>85</v>
      </c>
      <c r="J62" s="48">
        <f>H62*I62</f>
        <v>9520</v>
      </c>
      <c r="K62" s="10">
        <v>1</v>
      </c>
    </row>
    <row r="63" spans="1:11" ht="13" x14ac:dyDescent="0.35">
      <c r="A63" s="11" t="s">
        <v>93</v>
      </c>
      <c r="B63" s="11" t="s">
        <v>94</v>
      </c>
      <c r="C63" s="11"/>
      <c r="D63" s="11"/>
      <c r="E63" s="61"/>
      <c r="F63" s="57" t="s">
        <v>118</v>
      </c>
      <c r="G63" s="44"/>
      <c r="H63" s="63"/>
      <c r="I63" s="47"/>
      <c r="J63" s="48"/>
      <c r="K63" s="10">
        <v>1</v>
      </c>
    </row>
    <row r="64" spans="1:11" ht="14.5" x14ac:dyDescent="0.35">
      <c r="A64" s="11" t="s">
        <v>93</v>
      </c>
      <c r="B64" s="11" t="s">
        <v>94</v>
      </c>
      <c r="C64" s="11"/>
      <c r="D64" s="11" t="s">
        <v>32</v>
      </c>
      <c r="E64" s="61" t="s">
        <v>119</v>
      </c>
      <c r="F64" s="60" t="s">
        <v>120</v>
      </c>
      <c r="G64" s="44" t="s">
        <v>117</v>
      </c>
      <c r="H64" s="63">
        <f>H62*0.1</f>
        <v>11.200000000000001</v>
      </c>
      <c r="I64" s="47">
        <v>95</v>
      </c>
      <c r="J64" s="48">
        <f>H64*I64</f>
        <v>1064</v>
      </c>
      <c r="K64" s="10">
        <v>1</v>
      </c>
    </row>
    <row r="65" spans="1:11" ht="14.5" x14ac:dyDescent="0.35">
      <c r="A65" s="11" t="s">
        <v>93</v>
      </c>
      <c r="B65" s="11" t="s">
        <v>94</v>
      </c>
      <c r="C65" s="11"/>
      <c r="D65" s="11" t="s">
        <v>36</v>
      </c>
      <c r="E65" s="61" t="s">
        <v>121</v>
      </c>
      <c r="F65" s="60" t="s">
        <v>122</v>
      </c>
      <c r="G65" s="44" t="s">
        <v>117</v>
      </c>
      <c r="H65" s="63">
        <f>H62*0.05</f>
        <v>5.6000000000000005</v>
      </c>
      <c r="I65" s="47">
        <v>350</v>
      </c>
      <c r="J65" s="48">
        <f>H65*I65</f>
        <v>1960.0000000000002</v>
      </c>
      <c r="K65" s="10">
        <v>1</v>
      </c>
    </row>
    <row r="66" spans="1:11" ht="13" x14ac:dyDescent="0.35">
      <c r="A66" s="11" t="s">
        <v>93</v>
      </c>
      <c r="B66" s="11" t="s">
        <v>94</v>
      </c>
      <c r="C66" s="11"/>
      <c r="D66" s="11"/>
      <c r="E66" s="11" t="s">
        <v>59</v>
      </c>
      <c r="F66" s="57" t="s">
        <v>123</v>
      </c>
      <c r="G66" s="44"/>
      <c r="H66" s="58"/>
      <c r="I66" s="47"/>
      <c r="J66" s="48"/>
      <c r="K66" s="10">
        <v>1</v>
      </c>
    </row>
    <row r="67" spans="1:11" x14ac:dyDescent="0.35">
      <c r="A67" s="11" t="s">
        <v>93</v>
      </c>
      <c r="B67" s="11" t="s">
        <v>94</v>
      </c>
      <c r="C67" s="11"/>
      <c r="D67" s="11"/>
      <c r="E67" s="11" t="s">
        <v>124</v>
      </c>
      <c r="F67" s="60" t="s">
        <v>125</v>
      </c>
      <c r="G67" s="44"/>
      <c r="H67" s="58"/>
      <c r="I67" s="47"/>
      <c r="J67" s="48"/>
      <c r="K67" s="10">
        <v>1</v>
      </c>
    </row>
    <row r="68" spans="1:11" ht="25" x14ac:dyDescent="0.35">
      <c r="A68" s="11" t="s">
        <v>93</v>
      </c>
      <c r="B68" s="11" t="s">
        <v>94</v>
      </c>
      <c r="C68" s="11"/>
      <c r="D68" s="11" t="s">
        <v>39</v>
      </c>
      <c r="E68" s="11"/>
      <c r="F68" s="60" t="s">
        <v>126</v>
      </c>
      <c r="G68" s="44" t="s">
        <v>117</v>
      </c>
      <c r="H68" s="58">
        <v>41</v>
      </c>
      <c r="I68" s="47">
        <v>320</v>
      </c>
      <c r="J68" s="48">
        <f>I68*H68</f>
        <v>13120</v>
      </c>
      <c r="K68" s="10">
        <v>1</v>
      </c>
    </row>
    <row r="69" spans="1:11" ht="25" x14ac:dyDescent="0.35">
      <c r="A69" s="11" t="s">
        <v>93</v>
      </c>
      <c r="B69" s="11" t="s">
        <v>94</v>
      </c>
      <c r="C69" s="11"/>
      <c r="D69" s="11" t="s">
        <v>42</v>
      </c>
      <c r="E69" s="11"/>
      <c r="F69" s="60" t="s">
        <v>127</v>
      </c>
      <c r="G69" s="44" t="s">
        <v>117</v>
      </c>
      <c r="H69" s="58">
        <v>99</v>
      </c>
      <c r="I69" s="47">
        <v>320</v>
      </c>
      <c r="J69" s="48">
        <f>I69*H69</f>
        <v>31680</v>
      </c>
      <c r="K69" s="10">
        <v>1</v>
      </c>
    </row>
    <row r="70" spans="1:11" x14ac:dyDescent="0.35">
      <c r="A70" s="11" t="s">
        <v>93</v>
      </c>
      <c r="B70" s="11" t="s">
        <v>94</v>
      </c>
      <c r="C70" s="11"/>
      <c r="D70" s="11" t="s">
        <v>45</v>
      </c>
      <c r="E70" s="61" t="s">
        <v>128</v>
      </c>
      <c r="F70" s="60" t="s">
        <v>129</v>
      </c>
      <c r="G70" s="44"/>
      <c r="H70" s="65"/>
      <c r="I70" s="47"/>
      <c r="J70" s="48"/>
      <c r="K70" s="10">
        <v>1</v>
      </c>
    </row>
    <row r="71" spans="1:11" ht="14.5" x14ac:dyDescent="0.35">
      <c r="A71" s="11" t="s">
        <v>93</v>
      </c>
      <c r="B71" s="11" t="s">
        <v>94</v>
      </c>
      <c r="C71" s="11"/>
      <c r="D71" s="11" t="s">
        <v>48</v>
      </c>
      <c r="E71" s="61" t="s">
        <v>130</v>
      </c>
      <c r="F71" s="60" t="s">
        <v>131</v>
      </c>
      <c r="G71" s="44" t="s">
        <v>132</v>
      </c>
      <c r="H71" s="63">
        <f>H62*12</f>
        <v>1344</v>
      </c>
      <c r="I71" s="47">
        <v>8</v>
      </c>
      <c r="J71" s="48">
        <f>I71*H71</f>
        <v>10752</v>
      </c>
      <c r="K71" s="10">
        <v>1</v>
      </c>
    </row>
    <row r="72" spans="1:11" ht="13" x14ac:dyDescent="0.35">
      <c r="A72" s="11" t="s">
        <v>93</v>
      </c>
      <c r="B72" s="11" t="s">
        <v>94</v>
      </c>
      <c r="C72" s="11"/>
      <c r="D72" s="11"/>
      <c r="E72" s="11"/>
      <c r="F72" s="57" t="s">
        <v>133</v>
      </c>
      <c r="G72" s="44"/>
      <c r="H72" s="58"/>
      <c r="I72" s="47"/>
      <c r="J72" s="48"/>
      <c r="K72" s="10">
        <v>1</v>
      </c>
    </row>
    <row r="73" spans="1:11" x14ac:dyDescent="0.35">
      <c r="A73" s="11" t="s">
        <v>93</v>
      </c>
      <c r="B73" s="11" t="s">
        <v>94</v>
      </c>
      <c r="C73" s="11"/>
      <c r="D73" s="11"/>
      <c r="E73" s="11"/>
      <c r="F73" s="60" t="s">
        <v>134</v>
      </c>
      <c r="G73" s="44"/>
      <c r="H73" s="58"/>
      <c r="I73" s="47"/>
      <c r="J73" s="48"/>
      <c r="K73" s="10">
        <v>1</v>
      </c>
    </row>
    <row r="74" spans="1:11" ht="37.5" x14ac:dyDescent="0.35">
      <c r="A74" s="11" t="s">
        <v>93</v>
      </c>
      <c r="B74" s="11" t="s">
        <v>94</v>
      </c>
      <c r="C74" s="11"/>
      <c r="D74" s="11" t="s">
        <v>51</v>
      </c>
      <c r="E74" s="11"/>
      <c r="F74" s="60" t="s">
        <v>135</v>
      </c>
      <c r="G74" s="44" t="s">
        <v>110</v>
      </c>
      <c r="H74" s="58">
        <v>353</v>
      </c>
      <c r="I74" s="47">
        <v>35</v>
      </c>
      <c r="J74" s="48">
        <f>I74*H74</f>
        <v>12355</v>
      </c>
      <c r="K74" s="10">
        <v>1</v>
      </c>
    </row>
    <row r="75" spans="1:11" ht="13" x14ac:dyDescent="0.35">
      <c r="A75" s="11" t="s">
        <v>93</v>
      </c>
      <c r="B75" s="11" t="s">
        <v>136</v>
      </c>
      <c r="C75" s="11"/>
      <c r="D75" s="11"/>
      <c r="E75" s="11"/>
      <c r="F75" s="43" t="s">
        <v>95</v>
      </c>
      <c r="G75" s="44"/>
      <c r="H75" s="45"/>
      <c r="I75" s="47"/>
      <c r="J75" s="48"/>
      <c r="K75" s="10">
        <v>1</v>
      </c>
    </row>
    <row r="76" spans="1:11" ht="13" x14ac:dyDescent="0.35">
      <c r="A76" s="11" t="s">
        <v>93</v>
      </c>
      <c r="B76" s="11" t="s">
        <v>136</v>
      </c>
      <c r="C76" s="11"/>
      <c r="D76" s="11"/>
      <c r="E76" s="11"/>
      <c r="F76" s="43" t="str">
        <f>F48</f>
        <v>LEPHADIMISHA - MEDIA CENTRE</v>
      </c>
      <c r="G76" s="44"/>
      <c r="H76" s="45"/>
      <c r="I76" s="47"/>
      <c r="J76" s="48"/>
      <c r="K76" s="10">
        <v>1</v>
      </c>
    </row>
    <row r="77" spans="1:11" ht="13" x14ac:dyDescent="0.35">
      <c r="A77" s="11" t="s">
        <v>93</v>
      </c>
      <c r="B77" s="11" t="s">
        <v>136</v>
      </c>
      <c r="C77" s="11"/>
      <c r="D77" s="11"/>
      <c r="E77" s="11"/>
      <c r="F77" s="43" t="s">
        <v>137</v>
      </c>
      <c r="G77" s="44"/>
      <c r="H77" s="45"/>
      <c r="I77" s="47"/>
      <c r="J77" s="48"/>
      <c r="K77" s="10">
        <v>1</v>
      </c>
    </row>
    <row r="78" spans="1:11" ht="13" x14ac:dyDescent="0.35">
      <c r="A78" s="11" t="s">
        <v>93</v>
      </c>
      <c r="B78" s="11" t="s">
        <v>136</v>
      </c>
      <c r="C78" s="11"/>
      <c r="D78" s="11"/>
      <c r="E78" s="50" t="s">
        <v>138</v>
      </c>
      <c r="F78" s="43" t="s">
        <v>139</v>
      </c>
      <c r="G78" s="44"/>
      <c r="H78" s="45"/>
      <c r="I78" s="47"/>
      <c r="J78" s="48"/>
      <c r="K78" s="10">
        <v>1</v>
      </c>
    </row>
    <row r="79" spans="1:11" ht="13" x14ac:dyDescent="0.35">
      <c r="A79" s="11" t="s">
        <v>93</v>
      </c>
      <c r="B79" s="11" t="s">
        <v>136</v>
      </c>
      <c r="C79" s="11"/>
      <c r="D79" s="11"/>
      <c r="E79" s="11"/>
      <c r="F79" s="57" t="s">
        <v>100</v>
      </c>
      <c r="G79" s="44"/>
      <c r="H79" s="45"/>
      <c r="I79" s="47"/>
      <c r="J79" s="48"/>
      <c r="K79" s="10">
        <v>1</v>
      </c>
    </row>
    <row r="80" spans="1:11" x14ac:dyDescent="0.35">
      <c r="A80" s="11" t="s">
        <v>93</v>
      </c>
      <c r="B80" s="11" t="s">
        <v>136</v>
      </c>
      <c r="C80" s="11"/>
      <c r="D80" s="11"/>
      <c r="E80" s="11"/>
      <c r="F80" s="60" t="s">
        <v>101</v>
      </c>
      <c r="G80" s="44"/>
      <c r="H80" s="45"/>
      <c r="I80" s="47"/>
      <c r="J80" s="48"/>
      <c r="K80" s="10">
        <v>1</v>
      </c>
    </row>
    <row r="81" spans="1:11" ht="13" x14ac:dyDescent="0.35">
      <c r="A81" s="11" t="s">
        <v>93</v>
      </c>
      <c r="B81" s="11" t="s">
        <v>136</v>
      </c>
      <c r="C81" s="11"/>
      <c r="D81" s="11"/>
      <c r="E81" s="11"/>
      <c r="F81" s="57" t="s">
        <v>102</v>
      </c>
      <c r="G81" s="44"/>
      <c r="H81" s="45"/>
      <c r="I81" s="47"/>
      <c r="J81" s="48"/>
      <c r="K81" s="10">
        <v>1</v>
      </c>
    </row>
    <row r="82" spans="1:11" ht="13" x14ac:dyDescent="0.35">
      <c r="A82" s="11" t="s">
        <v>93</v>
      </c>
      <c r="B82" s="11" t="s">
        <v>136</v>
      </c>
      <c r="C82" s="11"/>
      <c r="D82" s="11"/>
      <c r="E82" s="11"/>
      <c r="F82" s="57" t="s">
        <v>140</v>
      </c>
      <c r="G82" s="44"/>
      <c r="H82" s="45"/>
      <c r="I82" s="47"/>
      <c r="J82" s="48"/>
      <c r="K82" s="10">
        <v>1</v>
      </c>
    </row>
    <row r="83" spans="1:11" ht="87.5" x14ac:dyDescent="0.35">
      <c r="A83" s="11" t="s">
        <v>93</v>
      </c>
      <c r="B83" s="11" t="s">
        <v>136</v>
      </c>
      <c r="C83" s="11"/>
      <c r="D83" s="11"/>
      <c r="E83" s="11"/>
      <c r="F83" s="60" t="s">
        <v>141</v>
      </c>
      <c r="G83" s="44"/>
      <c r="H83" s="45"/>
      <c r="I83" s="47"/>
      <c r="J83" s="48"/>
      <c r="K83" s="10">
        <v>1</v>
      </c>
    </row>
    <row r="84" spans="1:11" ht="13" x14ac:dyDescent="0.35">
      <c r="A84" s="11" t="s">
        <v>93</v>
      </c>
      <c r="B84" s="11" t="s">
        <v>136</v>
      </c>
      <c r="C84" s="11"/>
      <c r="D84" s="11"/>
      <c r="E84" s="11"/>
      <c r="F84" s="57" t="s">
        <v>142</v>
      </c>
      <c r="G84" s="44"/>
      <c r="H84" s="45"/>
      <c r="I84" s="47"/>
      <c r="J84" s="48"/>
      <c r="K84" s="10">
        <v>1</v>
      </c>
    </row>
    <row r="85" spans="1:11" ht="25" x14ac:dyDescent="0.35">
      <c r="A85" s="11" t="s">
        <v>93</v>
      </c>
      <c r="B85" s="11" t="s">
        <v>136</v>
      </c>
      <c r="C85" s="11"/>
      <c r="D85" s="11"/>
      <c r="E85" s="11"/>
      <c r="F85" s="60" t="s">
        <v>143</v>
      </c>
      <c r="G85" s="44"/>
      <c r="H85" s="45"/>
      <c r="I85" s="47"/>
      <c r="J85" s="48"/>
      <c r="K85" s="10">
        <v>1</v>
      </c>
    </row>
    <row r="86" spans="1:11" ht="75" x14ac:dyDescent="0.35">
      <c r="A86" s="11" t="s">
        <v>93</v>
      </c>
      <c r="B86" s="11" t="s">
        <v>136</v>
      </c>
      <c r="C86" s="11"/>
      <c r="D86" s="11"/>
      <c r="E86" s="11"/>
      <c r="F86" s="60" t="s">
        <v>144</v>
      </c>
      <c r="G86" s="44"/>
      <c r="H86" s="45"/>
      <c r="I86" s="47"/>
      <c r="J86" s="48"/>
      <c r="K86" s="10">
        <v>1</v>
      </c>
    </row>
    <row r="87" spans="1:11" x14ac:dyDescent="0.35">
      <c r="A87" s="11" t="s">
        <v>93</v>
      </c>
      <c r="B87" s="11" t="s">
        <v>136</v>
      </c>
      <c r="C87" s="11"/>
      <c r="D87" s="11"/>
      <c r="E87" s="11"/>
      <c r="F87" s="60" t="s">
        <v>145</v>
      </c>
      <c r="G87" s="44"/>
      <c r="H87" s="45"/>
      <c r="I87" s="47"/>
      <c r="J87" s="48"/>
      <c r="K87" s="10">
        <v>1</v>
      </c>
    </row>
    <row r="88" spans="1:11" ht="25" x14ac:dyDescent="0.35">
      <c r="A88" s="11" t="s">
        <v>93</v>
      </c>
      <c r="B88" s="11" t="s">
        <v>136</v>
      </c>
      <c r="C88" s="11"/>
      <c r="D88" s="11"/>
      <c r="E88" s="11"/>
      <c r="F88" s="60" t="s">
        <v>146</v>
      </c>
      <c r="G88" s="44"/>
      <c r="H88" s="45"/>
      <c r="I88" s="47"/>
      <c r="J88" s="48"/>
      <c r="K88" s="10">
        <v>1</v>
      </c>
    </row>
    <row r="89" spans="1:11" ht="13" x14ac:dyDescent="0.35">
      <c r="A89" s="11" t="s">
        <v>93</v>
      </c>
      <c r="B89" s="11" t="s">
        <v>136</v>
      </c>
      <c r="C89" s="11"/>
      <c r="D89" s="11"/>
      <c r="E89" s="11" t="s">
        <v>147</v>
      </c>
      <c r="F89" s="57" t="s">
        <v>148</v>
      </c>
      <c r="G89" s="44"/>
      <c r="H89" s="45"/>
      <c r="I89" s="47"/>
      <c r="J89" s="48"/>
      <c r="K89" s="10">
        <v>1</v>
      </c>
    </row>
    <row r="90" spans="1:11" x14ac:dyDescent="0.35">
      <c r="A90" s="11" t="s">
        <v>93</v>
      </c>
      <c r="B90" s="11" t="s">
        <v>136</v>
      </c>
      <c r="C90" s="11"/>
      <c r="D90" s="11"/>
      <c r="E90" s="11" t="s">
        <v>149</v>
      </c>
      <c r="F90" s="62" t="s">
        <v>150</v>
      </c>
      <c r="G90" s="44"/>
      <c r="H90" s="45"/>
      <c r="I90" s="47"/>
      <c r="J90" s="48"/>
      <c r="K90" s="10">
        <v>1</v>
      </c>
    </row>
    <row r="91" spans="1:11" ht="14.5" x14ac:dyDescent="0.35">
      <c r="A91" s="11" t="s">
        <v>93</v>
      </c>
      <c r="B91" s="11" t="s">
        <v>136</v>
      </c>
      <c r="C91" s="11"/>
      <c r="D91" s="11" t="s">
        <v>20</v>
      </c>
      <c r="E91" s="11"/>
      <c r="F91" s="67" t="s">
        <v>151</v>
      </c>
      <c r="G91" s="44" t="s">
        <v>110</v>
      </c>
      <c r="H91" s="45">
        <v>67</v>
      </c>
      <c r="I91" s="47">
        <v>385</v>
      </c>
      <c r="J91" s="48">
        <f>H91*I91</f>
        <v>25795</v>
      </c>
      <c r="K91" s="10">
        <v>1</v>
      </c>
    </row>
    <row r="92" spans="1:11" ht="13" x14ac:dyDescent="0.35">
      <c r="A92" s="11" t="s">
        <v>93</v>
      </c>
      <c r="B92" s="11" t="s">
        <v>136</v>
      </c>
      <c r="C92" s="11"/>
      <c r="D92" s="11"/>
      <c r="E92" s="11">
        <v>8.3000000000000007</v>
      </c>
      <c r="F92" s="57" t="s">
        <v>152</v>
      </c>
      <c r="G92" s="44"/>
      <c r="H92" s="45"/>
      <c r="I92" s="47"/>
      <c r="J92" s="48"/>
      <c r="K92" s="10">
        <v>1</v>
      </c>
    </row>
    <row r="93" spans="1:11" ht="13" x14ac:dyDescent="0.35">
      <c r="A93" s="11" t="s">
        <v>93</v>
      </c>
      <c r="B93" s="11" t="s">
        <v>136</v>
      </c>
      <c r="C93" s="11"/>
      <c r="D93" s="11"/>
      <c r="E93" s="11" t="s">
        <v>21</v>
      </c>
      <c r="F93" s="57" t="s">
        <v>153</v>
      </c>
      <c r="G93" s="44"/>
      <c r="H93" s="45"/>
      <c r="I93" s="47"/>
      <c r="J93" s="48"/>
      <c r="K93" s="10">
        <v>1</v>
      </c>
    </row>
    <row r="94" spans="1:11" ht="13" x14ac:dyDescent="0.35">
      <c r="A94" s="11" t="s">
        <v>93</v>
      </c>
      <c r="B94" s="11" t="s">
        <v>136</v>
      </c>
      <c r="C94" s="11"/>
      <c r="D94" s="11"/>
      <c r="E94" s="11" t="s">
        <v>21</v>
      </c>
      <c r="F94" s="57" t="s">
        <v>154</v>
      </c>
      <c r="G94" s="44"/>
      <c r="H94" s="45"/>
      <c r="I94" s="47"/>
      <c r="J94" s="48"/>
      <c r="K94" s="10">
        <v>1</v>
      </c>
    </row>
    <row r="95" spans="1:11" x14ac:dyDescent="0.35">
      <c r="A95" s="11" t="s">
        <v>93</v>
      </c>
      <c r="B95" s="11" t="s">
        <v>136</v>
      </c>
      <c r="C95" s="11"/>
      <c r="D95" s="11"/>
      <c r="E95" s="11"/>
      <c r="F95" s="60" t="s">
        <v>155</v>
      </c>
      <c r="G95" s="44"/>
      <c r="H95" s="45"/>
      <c r="I95" s="47"/>
      <c r="J95" s="48"/>
      <c r="K95" s="10">
        <v>1</v>
      </c>
    </row>
    <row r="96" spans="1:11" x14ac:dyDescent="0.35">
      <c r="A96" s="11" t="s">
        <v>93</v>
      </c>
      <c r="B96" s="11" t="s">
        <v>136</v>
      </c>
      <c r="C96" s="11"/>
      <c r="D96" s="11" t="s">
        <v>26</v>
      </c>
      <c r="E96" s="11"/>
      <c r="F96" s="60" t="s">
        <v>156</v>
      </c>
      <c r="G96" s="44" t="s">
        <v>157</v>
      </c>
      <c r="H96" s="68">
        <v>0.53900000000000003</v>
      </c>
      <c r="I96" s="47">
        <v>19500</v>
      </c>
      <c r="J96" s="48">
        <f>H96*I96</f>
        <v>10510.5</v>
      </c>
      <c r="K96" s="10">
        <v>1</v>
      </c>
    </row>
    <row r="97" spans="1:11" x14ac:dyDescent="0.35">
      <c r="A97" s="11" t="s">
        <v>93</v>
      </c>
      <c r="B97" s="11" t="s">
        <v>136</v>
      </c>
      <c r="C97" s="11"/>
      <c r="D97" s="11"/>
      <c r="E97" s="11"/>
      <c r="F97" s="60" t="s">
        <v>158</v>
      </c>
      <c r="G97" s="44"/>
      <c r="H97" s="45"/>
      <c r="I97" s="47"/>
      <c r="J97" s="48"/>
      <c r="K97" s="10">
        <v>1</v>
      </c>
    </row>
    <row r="98" spans="1:11" x14ac:dyDescent="0.35">
      <c r="A98" s="11" t="s">
        <v>93</v>
      </c>
      <c r="B98" s="11" t="s">
        <v>136</v>
      </c>
      <c r="C98" s="11"/>
      <c r="D98" s="11" t="s">
        <v>29</v>
      </c>
      <c r="E98" s="11"/>
      <c r="F98" s="60" t="s">
        <v>156</v>
      </c>
      <c r="G98" s="44" t="s">
        <v>157</v>
      </c>
      <c r="H98" s="68">
        <v>0.12</v>
      </c>
      <c r="I98" s="47">
        <v>19500</v>
      </c>
      <c r="J98" s="48">
        <f>H98*I98</f>
        <v>2340</v>
      </c>
      <c r="K98" s="10">
        <v>1</v>
      </c>
    </row>
    <row r="99" spans="1:11" ht="13" x14ac:dyDescent="0.35">
      <c r="A99" s="11" t="s">
        <v>93</v>
      </c>
      <c r="B99" s="11" t="s">
        <v>136</v>
      </c>
      <c r="C99" s="11"/>
      <c r="D99" s="11"/>
      <c r="E99" s="11" t="s">
        <v>159</v>
      </c>
      <c r="F99" s="57" t="s">
        <v>160</v>
      </c>
      <c r="G99" s="44"/>
      <c r="H99" s="45"/>
      <c r="I99" s="47"/>
      <c r="J99" s="48"/>
      <c r="K99" s="10">
        <v>1</v>
      </c>
    </row>
    <row r="100" spans="1:11" ht="14.5" x14ac:dyDescent="0.35">
      <c r="A100" s="11" t="s">
        <v>93</v>
      </c>
      <c r="B100" s="11" t="s">
        <v>136</v>
      </c>
      <c r="C100" s="11"/>
      <c r="D100" s="11" t="s">
        <v>32</v>
      </c>
      <c r="E100" s="11"/>
      <c r="F100" s="60" t="s">
        <v>161</v>
      </c>
      <c r="G100" s="44" t="s">
        <v>110</v>
      </c>
      <c r="H100" s="45">
        <v>141</v>
      </c>
      <c r="I100" s="47">
        <v>145</v>
      </c>
      <c r="J100" s="48">
        <f>H100*I100</f>
        <v>20445</v>
      </c>
      <c r="K100" s="10">
        <v>1</v>
      </c>
    </row>
    <row r="101" spans="1:11" ht="14.5" x14ac:dyDescent="0.35">
      <c r="A101" s="11" t="s">
        <v>93</v>
      </c>
      <c r="B101" s="11" t="s">
        <v>136</v>
      </c>
      <c r="C101" s="11"/>
      <c r="D101" s="11" t="s">
        <v>36</v>
      </c>
      <c r="E101" s="11"/>
      <c r="F101" s="60" t="s">
        <v>162</v>
      </c>
      <c r="G101" s="44" t="s">
        <v>110</v>
      </c>
      <c r="H101" s="45">
        <v>41</v>
      </c>
      <c r="I101" s="47">
        <v>145</v>
      </c>
      <c r="J101" s="48">
        <f>H101*I101</f>
        <v>5945</v>
      </c>
      <c r="K101" s="10">
        <v>1</v>
      </c>
    </row>
    <row r="102" spans="1:11" ht="14.5" x14ac:dyDescent="0.35">
      <c r="A102" s="11" t="s">
        <v>93</v>
      </c>
      <c r="B102" s="11" t="s">
        <v>136</v>
      </c>
      <c r="C102" s="11"/>
      <c r="D102" s="11" t="s">
        <v>39</v>
      </c>
      <c r="E102" s="11"/>
      <c r="F102" s="60" t="s">
        <v>163</v>
      </c>
      <c r="G102" s="44" t="s">
        <v>110</v>
      </c>
      <c r="H102" s="45">
        <v>67</v>
      </c>
      <c r="I102" s="47">
        <v>145</v>
      </c>
      <c r="J102" s="48">
        <f>H102*I102</f>
        <v>9715</v>
      </c>
      <c r="K102" s="10">
        <v>1</v>
      </c>
    </row>
    <row r="103" spans="1:11" ht="13" x14ac:dyDescent="0.35">
      <c r="A103" s="11" t="s">
        <v>93</v>
      </c>
      <c r="B103" s="11" t="s">
        <v>136</v>
      </c>
      <c r="C103" s="11"/>
      <c r="D103" s="11"/>
      <c r="E103" s="11" t="s">
        <v>164</v>
      </c>
      <c r="F103" s="57" t="s">
        <v>165</v>
      </c>
      <c r="G103" s="44"/>
      <c r="H103" s="45"/>
      <c r="I103" s="47"/>
      <c r="J103" s="48"/>
      <c r="K103" s="10">
        <v>1</v>
      </c>
    </row>
    <row r="104" spans="1:11" ht="13" x14ac:dyDescent="0.35">
      <c r="A104" s="11" t="s">
        <v>93</v>
      </c>
      <c r="B104" s="11" t="s">
        <v>136</v>
      </c>
      <c r="C104" s="11"/>
      <c r="D104" s="11"/>
      <c r="E104" s="11" t="s">
        <v>65</v>
      </c>
      <c r="F104" s="57" t="s">
        <v>166</v>
      </c>
      <c r="G104" s="44"/>
      <c r="H104" s="58"/>
      <c r="I104" s="70"/>
      <c r="J104" s="48"/>
      <c r="K104" s="10">
        <v>1</v>
      </c>
    </row>
    <row r="105" spans="1:11" ht="14.5" x14ac:dyDescent="0.35">
      <c r="A105" s="11" t="s">
        <v>93</v>
      </c>
      <c r="B105" s="11" t="s">
        <v>136</v>
      </c>
      <c r="C105" s="11"/>
      <c r="D105" s="11" t="s">
        <v>42</v>
      </c>
      <c r="E105" s="11"/>
      <c r="F105" s="60" t="s">
        <v>167</v>
      </c>
      <c r="G105" s="44" t="s">
        <v>117</v>
      </c>
      <c r="H105" s="58">
        <v>3</v>
      </c>
      <c r="I105" s="47">
        <v>2000</v>
      </c>
      <c r="J105" s="48">
        <f>H105*I105</f>
        <v>6000</v>
      </c>
      <c r="K105" s="10">
        <v>1</v>
      </c>
    </row>
    <row r="106" spans="1:11" ht="13" x14ac:dyDescent="0.35">
      <c r="A106" s="11" t="s">
        <v>93</v>
      </c>
      <c r="B106" s="11" t="s">
        <v>136</v>
      </c>
      <c r="C106" s="11"/>
      <c r="D106" s="11"/>
      <c r="E106" s="11"/>
      <c r="F106" s="57" t="s">
        <v>168</v>
      </c>
      <c r="G106" s="44"/>
      <c r="H106" s="45"/>
      <c r="I106" s="47"/>
      <c r="J106" s="48"/>
      <c r="K106" s="10">
        <v>1</v>
      </c>
    </row>
    <row r="107" spans="1:11" ht="14.5" x14ac:dyDescent="0.35">
      <c r="A107" s="11" t="s">
        <v>93</v>
      </c>
      <c r="B107" s="11" t="s">
        <v>136</v>
      </c>
      <c r="C107" s="11"/>
      <c r="D107" s="11" t="s">
        <v>45</v>
      </c>
      <c r="E107" s="11"/>
      <c r="F107" s="60" t="s">
        <v>169</v>
      </c>
      <c r="G107" s="44" t="s">
        <v>117</v>
      </c>
      <c r="H107" s="45">
        <v>14</v>
      </c>
      <c r="I107" s="47">
        <v>2200</v>
      </c>
      <c r="J107" s="48">
        <f>H107*I107</f>
        <v>30800</v>
      </c>
      <c r="K107" s="10">
        <v>1</v>
      </c>
    </row>
    <row r="108" spans="1:11" ht="14.5" x14ac:dyDescent="0.35">
      <c r="A108" s="11" t="s">
        <v>93</v>
      </c>
      <c r="B108" s="11" t="s">
        <v>136</v>
      </c>
      <c r="C108" s="11"/>
      <c r="D108" s="11" t="s">
        <v>48</v>
      </c>
      <c r="E108" s="11"/>
      <c r="F108" s="60" t="s">
        <v>170</v>
      </c>
      <c r="G108" s="44" t="s">
        <v>117</v>
      </c>
      <c r="H108" s="58">
        <v>6</v>
      </c>
      <c r="I108" s="47">
        <v>2200</v>
      </c>
      <c r="J108" s="48">
        <f>H108*I108</f>
        <v>13200</v>
      </c>
      <c r="K108" s="10">
        <v>1</v>
      </c>
    </row>
    <row r="109" spans="1:11" ht="14.5" x14ac:dyDescent="0.35">
      <c r="A109" s="11" t="s">
        <v>93</v>
      </c>
      <c r="B109" s="11" t="s">
        <v>136</v>
      </c>
      <c r="C109" s="11"/>
      <c r="D109" s="11" t="s">
        <v>51</v>
      </c>
      <c r="E109" s="11"/>
      <c r="F109" s="60" t="s">
        <v>171</v>
      </c>
      <c r="G109" s="44" t="s">
        <v>117</v>
      </c>
      <c r="H109" s="45">
        <v>13</v>
      </c>
      <c r="I109" s="47">
        <v>2200</v>
      </c>
      <c r="J109" s="48">
        <f>H109*I109</f>
        <v>28600</v>
      </c>
      <c r="K109" s="10">
        <v>1</v>
      </c>
    </row>
    <row r="110" spans="1:11" ht="14.5" x14ac:dyDescent="0.35">
      <c r="A110" s="11" t="s">
        <v>93</v>
      </c>
      <c r="B110" s="11" t="s">
        <v>136</v>
      </c>
      <c r="C110" s="11"/>
      <c r="D110" s="11" t="s">
        <v>53</v>
      </c>
      <c r="E110" s="11"/>
      <c r="F110" s="60" t="s">
        <v>172</v>
      </c>
      <c r="G110" s="44" t="s">
        <v>117</v>
      </c>
      <c r="H110" s="45">
        <v>10</v>
      </c>
      <c r="I110" s="47">
        <v>2200</v>
      </c>
      <c r="J110" s="48">
        <f>H110*I110</f>
        <v>22000</v>
      </c>
      <c r="K110" s="10">
        <v>1</v>
      </c>
    </row>
    <row r="111" spans="1:11" ht="13" x14ac:dyDescent="0.35">
      <c r="A111" s="11" t="s">
        <v>93</v>
      </c>
      <c r="B111" s="11" t="s">
        <v>136</v>
      </c>
      <c r="C111" s="11"/>
      <c r="D111" s="11"/>
      <c r="E111" s="11"/>
      <c r="F111" s="57" t="s">
        <v>173</v>
      </c>
      <c r="G111" s="44"/>
      <c r="H111" s="45"/>
      <c r="I111" s="47"/>
      <c r="J111" s="48"/>
      <c r="K111" s="10">
        <v>1</v>
      </c>
    </row>
    <row r="112" spans="1:11" ht="25" x14ac:dyDescent="0.35">
      <c r="A112" s="11" t="s">
        <v>93</v>
      </c>
      <c r="B112" s="11" t="s">
        <v>136</v>
      </c>
      <c r="C112" s="11"/>
      <c r="D112" s="11" t="s">
        <v>55</v>
      </c>
      <c r="E112" s="11"/>
      <c r="F112" s="60" t="s">
        <v>174</v>
      </c>
      <c r="G112" s="44" t="s">
        <v>175</v>
      </c>
      <c r="H112" s="45">
        <v>22</v>
      </c>
      <c r="I112" s="47">
        <v>650</v>
      </c>
      <c r="J112" s="48">
        <f>H112*I112</f>
        <v>14300</v>
      </c>
      <c r="K112" s="10">
        <v>1</v>
      </c>
    </row>
    <row r="113" spans="1:11" ht="13" x14ac:dyDescent="0.35">
      <c r="A113" s="11" t="s">
        <v>93</v>
      </c>
      <c r="B113" s="11" t="s">
        <v>136</v>
      </c>
      <c r="C113" s="11"/>
      <c r="D113" s="11"/>
      <c r="E113" s="11" t="s">
        <v>82</v>
      </c>
      <c r="F113" s="57" t="s">
        <v>176</v>
      </c>
      <c r="G113" s="44"/>
      <c r="H113" s="58"/>
      <c r="I113" s="70"/>
      <c r="J113" s="48"/>
      <c r="K113" s="10">
        <v>1</v>
      </c>
    </row>
    <row r="114" spans="1:11" ht="13" x14ac:dyDescent="0.35">
      <c r="A114" s="11" t="s">
        <v>93</v>
      </c>
      <c r="B114" s="11" t="s">
        <v>136</v>
      </c>
      <c r="C114" s="11"/>
      <c r="D114" s="11"/>
      <c r="E114" s="11" t="s">
        <v>177</v>
      </c>
      <c r="F114" s="57" t="s">
        <v>178</v>
      </c>
      <c r="G114" s="44"/>
      <c r="H114" s="58"/>
      <c r="I114" s="70"/>
      <c r="J114" s="48"/>
      <c r="K114" s="10">
        <v>1</v>
      </c>
    </row>
    <row r="115" spans="1:11" ht="14.5" x14ac:dyDescent="0.35">
      <c r="A115" s="11" t="s">
        <v>93</v>
      </c>
      <c r="B115" s="11" t="s">
        <v>136</v>
      </c>
      <c r="C115" s="11"/>
      <c r="D115" s="11" t="s">
        <v>58</v>
      </c>
      <c r="E115" s="11"/>
      <c r="F115" s="60" t="s">
        <v>179</v>
      </c>
      <c r="G115" s="44" t="s">
        <v>110</v>
      </c>
      <c r="H115" s="58">
        <v>141</v>
      </c>
      <c r="I115" s="47">
        <v>15</v>
      </c>
      <c r="J115" s="48">
        <f>H115*I115</f>
        <v>2115</v>
      </c>
      <c r="K115" s="10">
        <v>1</v>
      </c>
    </row>
    <row r="116" spans="1:11" ht="14.5" x14ac:dyDescent="0.35">
      <c r="A116" s="11" t="s">
        <v>93</v>
      </c>
      <c r="B116" s="11" t="s">
        <v>136</v>
      </c>
      <c r="C116" s="11"/>
      <c r="D116" s="11" t="s">
        <v>180</v>
      </c>
      <c r="E116" s="11"/>
      <c r="F116" s="60" t="s">
        <v>181</v>
      </c>
      <c r="G116" s="44" t="s">
        <v>110</v>
      </c>
      <c r="H116" s="58">
        <v>37</v>
      </c>
      <c r="I116" s="47">
        <v>15</v>
      </c>
      <c r="J116" s="48">
        <f>H116*I116</f>
        <v>555</v>
      </c>
      <c r="K116" s="10">
        <v>1</v>
      </c>
    </row>
    <row r="117" spans="1:11" ht="14.5" x14ac:dyDescent="0.35">
      <c r="A117" s="11" t="s">
        <v>93</v>
      </c>
      <c r="B117" s="11" t="s">
        <v>136</v>
      </c>
      <c r="C117" s="11"/>
      <c r="D117" s="11" t="s">
        <v>87</v>
      </c>
      <c r="E117" s="11"/>
      <c r="F117" s="60" t="s">
        <v>182</v>
      </c>
      <c r="G117" s="44" t="s">
        <v>110</v>
      </c>
      <c r="H117" s="58">
        <v>67</v>
      </c>
      <c r="I117" s="47">
        <v>15</v>
      </c>
      <c r="J117" s="48">
        <f>H117*I117</f>
        <v>1005</v>
      </c>
      <c r="K117" s="10">
        <v>1</v>
      </c>
    </row>
    <row r="118" spans="1:11" ht="13" x14ac:dyDescent="0.35">
      <c r="A118" s="11" t="s">
        <v>93</v>
      </c>
      <c r="B118" s="11" t="s">
        <v>136</v>
      </c>
      <c r="C118" s="11"/>
      <c r="D118" s="11"/>
      <c r="E118" s="11" t="s">
        <v>183</v>
      </c>
      <c r="F118" s="57" t="s">
        <v>184</v>
      </c>
      <c r="G118" s="44"/>
      <c r="H118" s="58"/>
      <c r="I118" s="47"/>
      <c r="J118" s="48"/>
      <c r="K118" s="10">
        <v>1</v>
      </c>
    </row>
    <row r="119" spans="1:11" ht="37.5" x14ac:dyDescent="0.35">
      <c r="A119" s="11" t="s">
        <v>93</v>
      </c>
      <c r="B119" s="11" t="s">
        <v>136</v>
      </c>
      <c r="C119" s="11"/>
      <c r="D119" s="11" t="s">
        <v>90</v>
      </c>
      <c r="E119" s="11"/>
      <c r="F119" s="60" t="s">
        <v>185</v>
      </c>
      <c r="G119" s="44" t="s">
        <v>186</v>
      </c>
      <c r="H119" s="58">
        <v>21</v>
      </c>
      <c r="I119" s="47">
        <v>95</v>
      </c>
      <c r="J119" s="48">
        <f>H119*I119</f>
        <v>1995</v>
      </c>
      <c r="K119" s="10">
        <v>1</v>
      </c>
    </row>
    <row r="120" spans="1:11" ht="25" x14ac:dyDescent="0.35">
      <c r="A120" s="11" t="s">
        <v>93</v>
      </c>
      <c r="B120" s="11" t="s">
        <v>136</v>
      </c>
      <c r="C120" s="11"/>
      <c r="D120" s="11" t="s">
        <v>187</v>
      </c>
      <c r="E120" s="11"/>
      <c r="F120" s="60" t="s">
        <v>188</v>
      </c>
      <c r="G120" s="44" t="s">
        <v>186</v>
      </c>
      <c r="H120" s="58">
        <v>22</v>
      </c>
      <c r="I120" s="47">
        <v>95</v>
      </c>
      <c r="J120" s="48">
        <f>H120*I120</f>
        <v>2090</v>
      </c>
      <c r="K120" s="10">
        <v>1</v>
      </c>
    </row>
    <row r="121" spans="1:11" ht="13" x14ac:dyDescent="0.35">
      <c r="A121" s="11" t="s">
        <v>93</v>
      </c>
      <c r="B121" s="11" t="s">
        <v>189</v>
      </c>
      <c r="C121" s="11"/>
      <c r="D121" s="11"/>
      <c r="E121" s="11"/>
      <c r="F121" s="43" t="s">
        <v>95</v>
      </c>
      <c r="G121" s="44"/>
      <c r="H121" s="45"/>
      <c r="I121" s="47"/>
      <c r="J121" s="48"/>
      <c r="K121" s="10">
        <v>1</v>
      </c>
    </row>
    <row r="122" spans="1:11" ht="13" x14ac:dyDescent="0.35">
      <c r="A122" s="11" t="s">
        <v>93</v>
      </c>
      <c r="B122" s="11" t="s">
        <v>189</v>
      </c>
      <c r="C122" s="11"/>
      <c r="D122" s="11"/>
      <c r="E122" s="11"/>
      <c r="F122" s="43" t="s">
        <v>96</v>
      </c>
      <c r="G122" s="44"/>
      <c r="H122" s="45"/>
      <c r="I122" s="47"/>
      <c r="J122" s="48"/>
      <c r="K122" s="10">
        <v>1</v>
      </c>
    </row>
    <row r="123" spans="1:11" ht="13" x14ac:dyDescent="0.35">
      <c r="A123" s="11" t="s">
        <v>93</v>
      </c>
      <c r="B123" s="11" t="s">
        <v>189</v>
      </c>
      <c r="C123" s="11"/>
      <c r="D123" s="11"/>
      <c r="E123" s="11"/>
      <c r="F123" s="43" t="s">
        <v>190</v>
      </c>
      <c r="G123" s="44"/>
      <c r="H123" s="45"/>
      <c r="I123" s="47"/>
      <c r="J123" s="48"/>
      <c r="K123" s="10">
        <v>1</v>
      </c>
    </row>
    <row r="124" spans="1:11" ht="13" x14ac:dyDescent="0.35">
      <c r="A124" s="11" t="s">
        <v>93</v>
      </c>
      <c r="B124" s="11" t="s">
        <v>189</v>
      </c>
      <c r="C124" s="11"/>
      <c r="D124" s="11"/>
      <c r="E124" s="11"/>
      <c r="F124" s="43" t="s">
        <v>191</v>
      </c>
      <c r="G124" s="44"/>
      <c r="H124" s="45"/>
      <c r="I124" s="47"/>
      <c r="J124" s="48"/>
      <c r="K124" s="10">
        <v>1</v>
      </c>
    </row>
    <row r="125" spans="1:11" ht="13" x14ac:dyDescent="0.35">
      <c r="A125" s="11" t="s">
        <v>93</v>
      </c>
      <c r="B125" s="11" t="s">
        <v>189</v>
      </c>
      <c r="C125" s="11"/>
      <c r="D125" s="11"/>
      <c r="E125" s="11"/>
      <c r="F125" s="57" t="s">
        <v>100</v>
      </c>
      <c r="G125" s="44"/>
      <c r="H125" s="45"/>
      <c r="I125" s="47"/>
      <c r="J125" s="48"/>
      <c r="K125" s="10">
        <v>1</v>
      </c>
    </row>
    <row r="126" spans="1:11" x14ac:dyDescent="0.35">
      <c r="A126" s="11" t="s">
        <v>93</v>
      </c>
      <c r="B126" s="11" t="s">
        <v>189</v>
      </c>
      <c r="C126" s="11"/>
      <c r="D126" s="11"/>
      <c r="E126" s="11"/>
      <c r="F126" s="60" t="s">
        <v>101</v>
      </c>
      <c r="G126" s="44"/>
      <c r="H126" s="45"/>
      <c r="I126" s="47"/>
      <c r="J126" s="48"/>
      <c r="K126" s="10">
        <v>1</v>
      </c>
    </row>
    <row r="127" spans="1:11" ht="13" x14ac:dyDescent="0.35">
      <c r="A127" s="11" t="s">
        <v>93</v>
      </c>
      <c r="B127" s="11" t="s">
        <v>189</v>
      </c>
      <c r="C127" s="11"/>
      <c r="D127" s="11"/>
      <c r="E127" s="11"/>
      <c r="F127" s="57" t="s">
        <v>102</v>
      </c>
      <c r="G127" s="44"/>
      <c r="H127" s="45"/>
      <c r="I127" s="47"/>
      <c r="J127" s="48"/>
      <c r="K127" s="10">
        <v>1</v>
      </c>
    </row>
    <row r="128" spans="1:11" ht="25" x14ac:dyDescent="0.35">
      <c r="A128" s="11" t="s">
        <v>93</v>
      </c>
      <c r="B128" s="11" t="s">
        <v>189</v>
      </c>
      <c r="C128" s="11"/>
      <c r="D128" s="11"/>
      <c r="E128" s="11"/>
      <c r="F128" s="60" t="s">
        <v>192</v>
      </c>
      <c r="G128" s="44"/>
      <c r="H128" s="45"/>
      <c r="I128" s="47"/>
      <c r="J128" s="48"/>
      <c r="K128" s="10">
        <v>1</v>
      </c>
    </row>
    <row r="129" spans="1:11" x14ac:dyDescent="0.35">
      <c r="A129" s="11" t="s">
        <v>93</v>
      </c>
      <c r="B129" s="11" t="s">
        <v>189</v>
      </c>
      <c r="C129" s="11"/>
      <c r="D129" s="11"/>
      <c r="E129" s="11"/>
      <c r="F129" s="62" t="s">
        <v>193</v>
      </c>
      <c r="G129" s="44"/>
      <c r="H129" s="58"/>
      <c r="I129" s="47"/>
      <c r="J129" s="48"/>
      <c r="K129" s="10">
        <v>1</v>
      </c>
    </row>
    <row r="130" spans="1:11" x14ac:dyDescent="0.35">
      <c r="A130" s="11" t="s">
        <v>93</v>
      </c>
      <c r="B130" s="11" t="s">
        <v>189</v>
      </c>
      <c r="C130" s="11"/>
      <c r="D130" s="11"/>
      <c r="E130" s="11"/>
      <c r="F130" s="60" t="s">
        <v>194</v>
      </c>
      <c r="G130" s="44"/>
      <c r="H130" s="58"/>
      <c r="I130" s="47"/>
      <c r="J130" s="48"/>
      <c r="K130" s="10">
        <v>1</v>
      </c>
    </row>
    <row r="131" spans="1:11" x14ac:dyDescent="0.35">
      <c r="A131" s="11" t="s">
        <v>93</v>
      </c>
      <c r="B131" s="11" t="s">
        <v>189</v>
      </c>
      <c r="C131" s="11"/>
      <c r="D131" s="11"/>
      <c r="E131" s="11"/>
      <c r="F131" s="62" t="s">
        <v>195</v>
      </c>
      <c r="G131" s="44"/>
      <c r="H131" s="58"/>
      <c r="I131" s="47"/>
      <c r="J131" s="48"/>
      <c r="K131" s="10">
        <v>1</v>
      </c>
    </row>
    <row r="132" spans="1:11" ht="37.5" x14ac:dyDescent="0.35">
      <c r="A132" s="11" t="s">
        <v>93</v>
      </c>
      <c r="B132" s="11" t="s">
        <v>189</v>
      </c>
      <c r="C132" s="11"/>
      <c r="D132" s="11"/>
      <c r="E132" s="11"/>
      <c r="F132" s="60" t="s">
        <v>196</v>
      </c>
      <c r="G132" s="44"/>
      <c r="H132" s="58"/>
      <c r="I132" s="47"/>
      <c r="J132" s="48"/>
      <c r="K132" s="10">
        <v>1</v>
      </c>
    </row>
    <row r="133" spans="1:11" x14ac:dyDescent="0.35">
      <c r="A133" s="11" t="s">
        <v>93</v>
      </c>
      <c r="B133" s="11" t="s">
        <v>189</v>
      </c>
      <c r="C133" s="11"/>
      <c r="D133" s="11"/>
      <c r="E133" s="11"/>
      <c r="F133" s="62" t="s">
        <v>197</v>
      </c>
      <c r="G133" s="44"/>
      <c r="H133" s="45"/>
      <c r="I133" s="47"/>
      <c r="J133" s="48"/>
      <c r="K133" s="10">
        <v>1</v>
      </c>
    </row>
    <row r="134" spans="1:11" ht="37.5" x14ac:dyDescent="0.35">
      <c r="A134" s="11" t="s">
        <v>93</v>
      </c>
      <c r="B134" s="11" t="s">
        <v>189</v>
      </c>
      <c r="C134" s="11"/>
      <c r="D134" s="11"/>
      <c r="E134" s="11"/>
      <c r="F134" s="60" t="s">
        <v>198</v>
      </c>
      <c r="G134" s="44"/>
      <c r="H134" s="45"/>
      <c r="I134" s="47"/>
      <c r="J134" s="48"/>
      <c r="K134" s="10">
        <v>1</v>
      </c>
    </row>
    <row r="135" spans="1:11" ht="13" x14ac:dyDescent="0.35">
      <c r="A135" s="11" t="s">
        <v>93</v>
      </c>
      <c r="B135" s="11" t="s">
        <v>189</v>
      </c>
      <c r="C135" s="11"/>
      <c r="D135" s="11"/>
      <c r="E135" s="11"/>
      <c r="F135" s="57" t="s">
        <v>199</v>
      </c>
      <c r="G135" s="44"/>
      <c r="H135" s="45"/>
      <c r="I135" s="47"/>
      <c r="J135" s="48"/>
      <c r="K135" s="10">
        <v>1</v>
      </c>
    </row>
    <row r="136" spans="1:11" ht="13" x14ac:dyDescent="0.35">
      <c r="A136" s="11" t="s">
        <v>93</v>
      </c>
      <c r="B136" s="11" t="s">
        <v>189</v>
      </c>
      <c r="C136" s="11"/>
      <c r="D136" s="11"/>
      <c r="E136" s="11"/>
      <c r="F136" s="57" t="s">
        <v>200</v>
      </c>
      <c r="G136" s="44"/>
      <c r="H136" s="45"/>
      <c r="I136" s="47"/>
      <c r="J136" s="48"/>
      <c r="K136" s="10">
        <v>1</v>
      </c>
    </row>
    <row r="137" spans="1:11" ht="13" x14ac:dyDescent="0.35">
      <c r="A137" s="11" t="s">
        <v>93</v>
      </c>
      <c r="B137" s="11" t="s">
        <v>189</v>
      </c>
      <c r="C137" s="11"/>
      <c r="D137" s="11"/>
      <c r="E137" s="11"/>
      <c r="F137" s="57" t="s">
        <v>201</v>
      </c>
      <c r="G137" s="44"/>
      <c r="H137" s="45"/>
      <c r="I137" s="47"/>
      <c r="J137" s="48"/>
      <c r="K137" s="10">
        <v>1</v>
      </c>
    </row>
    <row r="138" spans="1:11" ht="14.5" x14ac:dyDescent="0.35">
      <c r="A138" s="11" t="s">
        <v>93</v>
      </c>
      <c r="B138" s="11" t="s">
        <v>189</v>
      </c>
      <c r="C138" s="11"/>
      <c r="D138" s="11" t="s">
        <v>20</v>
      </c>
      <c r="E138" s="11"/>
      <c r="F138" s="60" t="s">
        <v>202</v>
      </c>
      <c r="G138" s="44" t="s">
        <v>117</v>
      </c>
      <c r="H138" s="45">
        <v>3</v>
      </c>
      <c r="I138" s="47">
        <v>295</v>
      </c>
      <c r="J138" s="48">
        <f>H138*I138</f>
        <v>885</v>
      </c>
      <c r="K138" s="10">
        <v>1</v>
      </c>
    </row>
    <row r="139" spans="1:11" ht="14.5" x14ac:dyDescent="0.35">
      <c r="A139" s="11" t="s">
        <v>93</v>
      </c>
      <c r="B139" s="11" t="s">
        <v>189</v>
      </c>
      <c r="C139" s="11"/>
      <c r="D139" s="11" t="s">
        <v>26</v>
      </c>
      <c r="E139" s="11"/>
      <c r="F139" s="60" t="s">
        <v>203</v>
      </c>
      <c r="G139" s="44" t="s">
        <v>110</v>
      </c>
      <c r="H139" s="45">
        <v>30</v>
      </c>
      <c r="I139" s="47">
        <v>295</v>
      </c>
      <c r="J139" s="48">
        <f>H139*I139</f>
        <v>8850</v>
      </c>
      <c r="K139" s="10">
        <v>1</v>
      </c>
    </row>
    <row r="140" spans="1:11" ht="14.5" x14ac:dyDescent="0.35">
      <c r="A140" s="11" t="s">
        <v>93</v>
      </c>
      <c r="B140" s="11" t="s">
        <v>189</v>
      </c>
      <c r="C140" s="11"/>
      <c r="D140" s="11" t="s">
        <v>29</v>
      </c>
      <c r="E140" s="11"/>
      <c r="F140" s="60" t="s">
        <v>204</v>
      </c>
      <c r="G140" s="44" t="s">
        <v>110</v>
      </c>
      <c r="H140" s="45">
        <v>6</v>
      </c>
      <c r="I140" s="47">
        <v>235</v>
      </c>
      <c r="J140" s="48">
        <f>H140*I140</f>
        <v>1410</v>
      </c>
      <c r="K140" s="10">
        <v>1</v>
      </c>
    </row>
    <row r="141" spans="1:11" ht="13" x14ac:dyDescent="0.35">
      <c r="A141" s="11" t="s">
        <v>93</v>
      </c>
      <c r="B141" s="11" t="s">
        <v>189</v>
      </c>
      <c r="C141" s="11"/>
      <c r="D141" s="11"/>
      <c r="E141" s="11"/>
      <c r="F141" s="57" t="s">
        <v>205</v>
      </c>
      <c r="G141" s="44"/>
      <c r="H141" s="45"/>
      <c r="I141" s="47"/>
      <c r="J141" s="48"/>
      <c r="K141" s="10">
        <v>1</v>
      </c>
    </row>
    <row r="142" spans="1:11" ht="13" x14ac:dyDescent="0.35">
      <c r="A142" s="11" t="s">
        <v>93</v>
      </c>
      <c r="B142" s="11" t="s">
        <v>189</v>
      </c>
      <c r="C142" s="11"/>
      <c r="D142" s="11"/>
      <c r="E142" s="11"/>
      <c r="F142" s="57" t="s">
        <v>201</v>
      </c>
      <c r="G142" s="44"/>
      <c r="H142" s="45"/>
      <c r="I142" s="47"/>
      <c r="J142" s="48"/>
      <c r="K142" s="10">
        <v>1</v>
      </c>
    </row>
    <row r="143" spans="1:11" ht="14.5" x14ac:dyDescent="0.35">
      <c r="A143" s="11" t="s">
        <v>93</v>
      </c>
      <c r="B143" s="11" t="s">
        <v>189</v>
      </c>
      <c r="C143" s="11"/>
      <c r="D143" s="11" t="s">
        <v>32</v>
      </c>
      <c r="E143" s="11"/>
      <c r="F143" s="60" t="s">
        <v>202</v>
      </c>
      <c r="G143" s="44" t="s">
        <v>117</v>
      </c>
      <c r="H143" s="45">
        <v>12</v>
      </c>
      <c r="I143" s="47">
        <v>295</v>
      </c>
      <c r="J143" s="48">
        <f>H143*I143</f>
        <v>3540</v>
      </c>
      <c r="K143" s="10">
        <v>1</v>
      </c>
    </row>
    <row r="144" spans="1:11" ht="14.5" x14ac:dyDescent="0.35">
      <c r="A144" s="11" t="s">
        <v>93</v>
      </c>
      <c r="B144" s="11" t="s">
        <v>189</v>
      </c>
      <c r="C144" s="11"/>
      <c r="D144" s="11" t="s">
        <v>36</v>
      </c>
      <c r="E144" s="11"/>
      <c r="F144" s="60" t="s">
        <v>203</v>
      </c>
      <c r="G144" s="44" t="s">
        <v>110</v>
      </c>
      <c r="H144" s="45">
        <v>180</v>
      </c>
      <c r="I144" s="47">
        <v>295</v>
      </c>
      <c r="J144" s="48">
        <f>H144*I144</f>
        <v>53100</v>
      </c>
      <c r="K144" s="10">
        <v>1</v>
      </c>
    </row>
    <row r="145" spans="1:11" ht="14.5" x14ac:dyDescent="0.35">
      <c r="A145" s="11" t="s">
        <v>93</v>
      </c>
      <c r="B145" s="11" t="s">
        <v>189</v>
      </c>
      <c r="C145" s="11"/>
      <c r="D145" s="11" t="s">
        <v>39</v>
      </c>
      <c r="E145" s="11"/>
      <c r="F145" s="60" t="s">
        <v>206</v>
      </c>
      <c r="G145" s="44" t="s">
        <v>110</v>
      </c>
      <c r="H145" s="45">
        <v>24</v>
      </c>
      <c r="I145" s="47">
        <v>295</v>
      </c>
      <c r="J145" s="48">
        <f>H145*I145</f>
        <v>7080</v>
      </c>
      <c r="K145" s="10">
        <v>1</v>
      </c>
    </row>
    <row r="146" spans="1:11" ht="14.5" x14ac:dyDescent="0.35">
      <c r="A146" s="11" t="s">
        <v>93</v>
      </c>
      <c r="B146" s="11" t="s">
        <v>189</v>
      </c>
      <c r="C146" s="11"/>
      <c r="D146" s="11" t="s">
        <v>42</v>
      </c>
      <c r="E146" s="11"/>
      <c r="F146" s="60" t="s">
        <v>204</v>
      </c>
      <c r="G146" s="44" t="s">
        <v>110</v>
      </c>
      <c r="H146" s="45">
        <v>10</v>
      </c>
      <c r="I146" s="47">
        <v>235</v>
      </c>
      <c r="J146" s="48">
        <f>H146*I146</f>
        <v>2350</v>
      </c>
      <c r="K146" s="10">
        <v>1</v>
      </c>
    </row>
    <row r="147" spans="1:11" ht="26" x14ac:dyDescent="0.35">
      <c r="A147" s="11" t="s">
        <v>93</v>
      </c>
      <c r="B147" s="11" t="s">
        <v>189</v>
      </c>
      <c r="C147" s="11"/>
      <c r="D147" s="11"/>
      <c r="E147" s="11"/>
      <c r="F147" s="57" t="s">
        <v>207</v>
      </c>
      <c r="G147" s="44"/>
      <c r="H147" s="45"/>
      <c r="I147" s="47"/>
      <c r="J147" s="48"/>
      <c r="K147" s="10">
        <v>1</v>
      </c>
    </row>
    <row r="148" spans="1:11" x14ac:dyDescent="0.35">
      <c r="A148" s="11" t="s">
        <v>93</v>
      </c>
      <c r="B148" s="11" t="s">
        <v>189</v>
      </c>
      <c r="C148" s="11"/>
      <c r="D148" s="11" t="s">
        <v>45</v>
      </c>
      <c r="E148" s="11"/>
      <c r="F148" s="60" t="s">
        <v>208</v>
      </c>
      <c r="G148" s="44" t="s">
        <v>186</v>
      </c>
      <c r="H148" s="45">
        <v>24</v>
      </c>
      <c r="I148" s="47">
        <v>295</v>
      </c>
      <c r="J148" s="48">
        <f>H148*I148</f>
        <v>7080</v>
      </c>
      <c r="K148" s="10">
        <v>1</v>
      </c>
    </row>
    <row r="149" spans="1:11" ht="26" x14ac:dyDescent="0.35">
      <c r="A149" s="11" t="s">
        <v>93</v>
      </c>
      <c r="B149" s="11" t="s">
        <v>189</v>
      </c>
      <c r="C149" s="11"/>
      <c r="D149" s="11"/>
      <c r="E149" s="11"/>
      <c r="F149" s="57" t="s">
        <v>209</v>
      </c>
      <c r="G149" s="44"/>
      <c r="H149" s="58"/>
      <c r="I149" s="47"/>
      <c r="J149" s="48"/>
      <c r="K149" s="10">
        <v>1</v>
      </c>
    </row>
    <row r="150" spans="1:11" ht="25" x14ac:dyDescent="0.35">
      <c r="A150" s="11" t="s">
        <v>93</v>
      </c>
      <c r="B150" s="11" t="s">
        <v>189</v>
      </c>
      <c r="C150" s="11"/>
      <c r="D150" s="11" t="s">
        <v>210</v>
      </c>
      <c r="E150" s="11"/>
      <c r="F150" s="60" t="s">
        <v>211</v>
      </c>
      <c r="G150" s="44" t="s">
        <v>186</v>
      </c>
      <c r="H150" s="58">
        <v>28</v>
      </c>
      <c r="I150" s="47">
        <v>95</v>
      </c>
      <c r="J150" s="48">
        <f>H150*I150</f>
        <v>2660</v>
      </c>
      <c r="K150" s="10">
        <v>1</v>
      </c>
    </row>
    <row r="151" spans="1:11" ht="13" x14ac:dyDescent="0.35">
      <c r="A151" s="11" t="s">
        <v>93</v>
      </c>
      <c r="B151" s="11" t="s">
        <v>189</v>
      </c>
      <c r="C151" s="11"/>
      <c r="D151" s="11"/>
      <c r="E151" s="11"/>
      <c r="F151" s="57" t="s">
        <v>212</v>
      </c>
      <c r="G151" s="44"/>
      <c r="H151" s="58"/>
      <c r="I151" s="47"/>
      <c r="J151" s="48"/>
      <c r="K151" s="10">
        <v>1</v>
      </c>
    </row>
    <row r="152" spans="1:11" x14ac:dyDescent="0.35">
      <c r="A152" s="11" t="s">
        <v>93</v>
      </c>
      <c r="B152" s="11" t="s">
        <v>189</v>
      </c>
      <c r="C152" s="11"/>
      <c r="D152" s="11" t="s">
        <v>48</v>
      </c>
      <c r="E152" s="11"/>
      <c r="F152" s="60" t="s">
        <v>213</v>
      </c>
      <c r="G152" s="44" t="s">
        <v>186</v>
      </c>
      <c r="H152" s="58">
        <v>33</v>
      </c>
      <c r="I152" s="47">
        <v>35</v>
      </c>
      <c r="J152" s="48">
        <f>H152*I152</f>
        <v>1155</v>
      </c>
      <c r="K152" s="10">
        <v>1</v>
      </c>
    </row>
    <row r="153" spans="1:11" ht="13" x14ac:dyDescent="0.35">
      <c r="A153" s="11" t="s">
        <v>93</v>
      </c>
      <c r="B153" s="11" t="s">
        <v>189</v>
      </c>
      <c r="C153" s="11"/>
      <c r="D153" s="11"/>
      <c r="E153" s="11"/>
      <c r="F153" s="57" t="s">
        <v>214</v>
      </c>
      <c r="G153" s="44"/>
      <c r="H153" s="45"/>
      <c r="I153" s="47"/>
      <c r="J153" s="48"/>
      <c r="K153" s="10">
        <v>1</v>
      </c>
    </row>
    <row r="154" spans="1:11" x14ac:dyDescent="0.35">
      <c r="A154" s="11" t="s">
        <v>93</v>
      </c>
      <c r="B154" s="11" t="s">
        <v>189</v>
      </c>
      <c r="C154" s="11"/>
      <c r="D154" s="11"/>
      <c r="E154" s="11"/>
      <c r="F154" s="62" t="s">
        <v>215</v>
      </c>
      <c r="G154" s="44"/>
      <c r="H154" s="45"/>
      <c r="I154" s="47"/>
      <c r="J154" s="48"/>
      <c r="K154" s="10">
        <v>1</v>
      </c>
    </row>
    <row r="155" spans="1:11" ht="13" x14ac:dyDescent="0.35">
      <c r="A155" s="11" t="s">
        <v>93</v>
      </c>
      <c r="B155" s="11" t="s">
        <v>189</v>
      </c>
      <c r="C155" s="11"/>
      <c r="D155" s="11"/>
      <c r="E155" s="11"/>
      <c r="F155" s="57" t="s">
        <v>216</v>
      </c>
      <c r="G155" s="44"/>
      <c r="H155" s="45"/>
      <c r="I155" s="47"/>
      <c r="J155" s="48"/>
      <c r="K155" s="10">
        <v>1</v>
      </c>
    </row>
    <row r="156" spans="1:11" ht="14.5" x14ac:dyDescent="0.35">
      <c r="A156" s="11" t="s">
        <v>93</v>
      </c>
      <c r="B156" s="11" t="s">
        <v>189</v>
      </c>
      <c r="C156" s="11"/>
      <c r="D156" s="11" t="s">
        <v>51</v>
      </c>
      <c r="E156" s="11"/>
      <c r="F156" s="60" t="s">
        <v>217</v>
      </c>
      <c r="G156" s="44" t="s">
        <v>110</v>
      </c>
      <c r="H156" s="45">
        <v>23</v>
      </c>
      <c r="I156" s="47">
        <v>550</v>
      </c>
      <c r="J156" s="48">
        <f>H156*I156</f>
        <v>12650</v>
      </c>
      <c r="K156" s="10">
        <v>1</v>
      </c>
    </row>
    <row r="157" spans="1:11" ht="14.5" x14ac:dyDescent="0.35">
      <c r="A157" s="11" t="s">
        <v>93</v>
      </c>
      <c r="B157" s="11" t="s">
        <v>189</v>
      </c>
      <c r="C157" s="11"/>
      <c r="D157" s="11" t="s">
        <v>53</v>
      </c>
      <c r="E157" s="11"/>
      <c r="F157" s="60" t="s">
        <v>218</v>
      </c>
      <c r="G157" s="44" t="s">
        <v>110</v>
      </c>
      <c r="H157" s="45">
        <v>151</v>
      </c>
      <c r="I157" s="47">
        <v>550</v>
      </c>
      <c r="J157" s="48">
        <f>H157*I157</f>
        <v>83050</v>
      </c>
      <c r="K157" s="10">
        <v>1</v>
      </c>
    </row>
    <row r="158" spans="1:11" x14ac:dyDescent="0.35">
      <c r="A158" s="11" t="s">
        <v>93</v>
      </c>
      <c r="B158" s="11" t="s">
        <v>189</v>
      </c>
      <c r="C158" s="11"/>
      <c r="D158" s="11" t="s">
        <v>55</v>
      </c>
      <c r="E158" s="11"/>
      <c r="F158" s="60" t="s">
        <v>219</v>
      </c>
      <c r="G158" s="44" t="s">
        <v>186</v>
      </c>
      <c r="H158" s="45">
        <v>58</v>
      </c>
      <c r="I158" s="47">
        <v>285</v>
      </c>
      <c r="J158" s="48">
        <f>H158*I158</f>
        <v>16530</v>
      </c>
      <c r="K158" s="10">
        <v>1</v>
      </c>
    </row>
    <row r="159" spans="1:11" ht="13" x14ac:dyDescent="0.35">
      <c r="A159" s="11" t="s">
        <v>93</v>
      </c>
      <c r="B159" s="11" t="s">
        <v>189</v>
      </c>
      <c r="C159" s="11"/>
      <c r="D159" s="11"/>
      <c r="E159" s="11"/>
      <c r="F159" s="57" t="s">
        <v>220</v>
      </c>
      <c r="G159" s="44"/>
      <c r="H159" s="45"/>
      <c r="I159" s="47"/>
      <c r="J159" s="48"/>
      <c r="K159" s="10">
        <v>1</v>
      </c>
    </row>
    <row r="160" spans="1:11" ht="13" x14ac:dyDescent="0.35">
      <c r="A160" s="11" t="s">
        <v>93</v>
      </c>
      <c r="B160" s="11" t="s">
        <v>189</v>
      </c>
      <c r="C160" s="11"/>
      <c r="D160" s="11"/>
      <c r="E160" s="11"/>
      <c r="F160" s="57" t="s">
        <v>221</v>
      </c>
      <c r="G160" s="44"/>
      <c r="H160" s="45"/>
      <c r="I160" s="47"/>
      <c r="J160" s="48"/>
      <c r="K160" s="10">
        <v>1</v>
      </c>
    </row>
    <row r="161" spans="1:11" x14ac:dyDescent="0.35">
      <c r="A161" s="11" t="s">
        <v>93</v>
      </c>
      <c r="B161" s="11" t="s">
        <v>189</v>
      </c>
      <c r="C161" s="11"/>
      <c r="D161" s="11" t="s">
        <v>58</v>
      </c>
      <c r="E161" s="11"/>
      <c r="F161" s="60" t="s">
        <v>222</v>
      </c>
      <c r="G161" s="44" t="s">
        <v>186</v>
      </c>
      <c r="H161" s="45">
        <v>45</v>
      </c>
      <c r="I161" s="47">
        <v>10</v>
      </c>
      <c r="J161" s="48">
        <f>H161*I161</f>
        <v>450</v>
      </c>
      <c r="K161" s="10">
        <v>1</v>
      </c>
    </row>
    <row r="162" spans="1:11" x14ac:dyDescent="0.35">
      <c r="A162" s="11" t="s">
        <v>93</v>
      </c>
      <c r="B162" s="11" t="s">
        <v>189</v>
      </c>
      <c r="C162" s="11"/>
      <c r="D162" s="11" t="s">
        <v>87</v>
      </c>
      <c r="E162" s="11"/>
      <c r="F162" s="60" t="s">
        <v>223</v>
      </c>
      <c r="G162" s="44" t="s">
        <v>186</v>
      </c>
      <c r="H162" s="45">
        <v>757</v>
      </c>
      <c r="I162" s="47">
        <v>15</v>
      </c>
      <c r="J162" s="48">
        <f>H162*I162</f>
        <v>11355</v>
      </c>
      <c r="K162" s="10">
        <v>1</v>
      </c>
    </row>
    <row r="163" spans="1:11" s="71" customFormat="1" ht="13" x14ac:dyDescent="0.35">
      <c r="A163" s="11" t="s">
        <v>93</v>
      </c>
      <c r="B163" s="11" t="s">
        <v>224</v>
      </c>
      <c r="C163" s="11"/>
      <c r="D163" s="11"/>
      <c r="E163" s="11"/>
      <c r="F163" s="43" t="s">
        <v>95</v>
      </c>
      <c r="G163" s="44"/>
      <c r="H163" s="45"/>
      <c r="I163" s="47"/>
      <c r="J163" s="48"/>
      <c r="K163" s="10">
        <v>1</v>
      </c>
    </row>
    <row r="164" spans="1:11" s="71" customFormat="1" ht="13" x14ac:dyDescent="0.35">
      <c r="A164" s="11" t="s">
        <v>93</v>
      </c>
      <c r="B164" s="11" t="s">
        <v>224</v>
      </c>
      <c r="C164" s="11"/>
      <c r="D164" s="11"/>
      <c r="E164" s="11"/>
      <c r="F164" s="43" t="s">
        <v>96</v>
      </c>
      <c r="G164" s="44"/>
      <c r="H164" s="45"/>
      <c r="I164" s="47"/>
      <c r="J164" s="48"/>
      <c r="K164" s="10">
        <v>1</v>
      </c>
    </row>
    <row r="165" spans="1:11" s="71" customFormat="1" ht="13" x14ac:dyDescent="0.35">
      <c r="A165" s="11" t="s">
        <v>93</v>
      </c>
      <c r="B165" s="11" t="s">
        <v>224</v>
      </c>
      <c r="C165" s="11"/>
      <c r="D165" s="11"/>
      <c r="E165" s="11"/>
      <c r="F165" s="43" t="s">
        <v>225</v>
      </c>
      <c r="G165" s="44"/>
      <c r="H165" s="45"/>
      <c r="I165" s="47"/>
      <c r="J165" s="48"/>
      <c r="K165" s="10">
        <v>1</v>
      </c>
    </row>
    <row r="166" spans="1:11" s="71" customFormat="1" ht="13" x14ac:dyDescent="0.35">
      <c r="A166" s="11" t="s">
        <v>93</v>
      </c>
      <c r="B166" s="11" t="s">
        <v>224</v>
      </c>
      <c r="C166" s="11"/>
      <c r="D166" s="11"/>
      <c r="E166" s="11"/>
      <c r="F166" s="43" t="s">
        <v>226</v>
      </c>
      <c r="G166" s="44"/>
      <c r="H166" s="45"/>
      <c r="I166" s="47"/>
      <c r="J166" s="48"/>
      <c r="K166" s="10">
        <v>1</v>
      </c>
    </row>
    <row r="167" spans="1:11" ht="13" x14ac:dyDescent="0.35">
      <c r="A167" s="11" t="s">
        <v>93</v>
      </c>
      <c r="B167" s="11" t="s">
        <v>224</v>
      </c>
      <c r="C167" s="11"/>
      <c r="D167" s="11"/>
      <c r="E167" s="11"/>
      <c r="F167" s="57" t="s">
        <v>100</v>
      </c>
      <c r="G167" s="44"/>
      <c r="H167" s="45"/>
      <c r="I167" s="47"/>
      <c r="J167" s="48"/>
      <c r="K167" s="10">
        <v>1</v>
      </c>
    </row>
    <row r="168" spans="1:11" x14ac:dyDescent="0.35">
      <c r="A168" s="11" t="s">
        <v>93</v>
      </c>
      <c r="B168" s="11" t="s">
        <v>224</v>
      </c>
      <c r="C168" s="11"/>
      <c r="D168" s="11"/>
      <c r="E168" s="11"/>
      <c r="F168" s="60" t="s">
        <v>101</v>
      </c>
      <c r="G168" s="44"/>
      <c r="H168" s="45"/>
      <c r="I168" s="47"/>
      <c r="J168" s="48"/>
      <c r="K168" s="10">
        <v>1</v>
      </c>
    </row>
    <row r="169" spans="1:11" s="71" customFormat="1" ht="13" x14ac:dyDescent="0.35">
      <c r="A169" s="11" t="s">
        <v>93</v>
      </c>
      <c r="B169" s="11" t="s">
        <v>224</v>
      </c>
      <c r="C169" s="11"/>
      <c r="D169" s="11"/>
      <c r="E169" s="11"/>
      <c r="F169" s="57" t="s">
        <v>102</v>
      </c>
      <c r="G169" s="44"/>
      <c r="H169" s="45"/>
      <c r="I169" s="47"/>
      <c r="J169" s="48"/>
      <c r="K169" s="10">
        <v>1</v>
      </c>
    </row>
    <row r="170" spans="1:11" ht="62.5" x14ac:dyDescent="0.35">
      <c r="A170" s="11" t="s">
        <v>93</v>
      </c>
      <c r="B170" s="11" t="s">
        <v>224</v>
      </c>
      <c r="C170" s="11"/>
      <c r="D170" s="11"/>
      <c r="E170" s="11"/>
      <c r="F170" s="60" t="s">
        <v>227</v>
      </c>
      <c r="G170" s="44"/>
      <c r="H170" s="45"/>
      <c r="I170" s="47"/>
      <c r="J170" s="48"/>
      <c r="K170" s="10">
        <v>1</v>
      </c>
    </row>
    <row r="171" spans="1:11" ht="25" x14ac:dyDescent="0.35">
      <c r="A171" s="11" t="s">
        <v>93</v>
      </c>
      <c r="B171" s="11" t="s">
        <v>224</v>
      </c>
      <c r="C171" s="11"/>
      <c r="D171" s="11"/>
      <c r="E171" s="11"/>
      <c r="F171" s="60" t="s">
        <v>228</v>
      </c>
      <c r="G171" s="44"/>
      <c r="H171" s="45"/>
      <c r="I171" s="47"/>
      <c r="J171" s="48"/>
      <c r="K171" s="10">
        <v>1</v>
      </c>
    </row>
    <row r="172" spans="1:11" ht="13" x14ac:dyDescent="0.35">
      <c r="A172" s="11" t="s">
        <v>93</v>
      </c>
      <c r="B172" s="11" t="s">
        <v>224</v>
      </c>
      <c r="C172" s="11"/>
      <c r="D172" s="11"/>
      <c r="E172" s="11"/>
      <c r="F172" s="57" t="s">
        <v>229</v>
      </c>
      <c r="G172" s="44"/>
      <c r="H172" s="45"/>
      <c r="I172" s="47"/>
      <c r="J172" s="48"/>
      <c r="K172" s="10">
        <v>1</v>
      </c>
    </row>
    <row r="173" spans="1:11" ht="26" x14ac:dyDescent="0.35">
      <c r="A173" s="11" t="s">
        <v>93</v>
      </c>
      <c r="B173" s="11" t="s">
        <v>224</v>
      </c>
      <c r="C173" s="11"/>
      <c r="D173" s="11"/>
      <c r="E173" s="11"/>
      <c r="F173" s="57" t="s">
        <v>230</v>
      </c>
      <c r="G173" s="44"/>
      <c r="H173" s="45"/>
      <c r="I173" s="47"/>
      <c r="J173" s="48"/>
      <c r="K173" s="10">
        <v>1</v>
      </c>
    </row>
    <row r="174" spans="1:11" ht="14.5" x14ac:dyDescent="0.35">
      <c r="A174" s="11" t="s">
        <v>93</v>
      </c>
      <c r="B174" s="11" t="s">
        <v>224</v>
      </c>
      <c r="C174" s="11"/>
      <c r="D174" s="11" t="s">
        <v>20</v>
      </c>
      <c r="E174" s="11"/>
      <c r="F174" s="60" t="s">
        <v>231</v>
      </c>
      <c r="G174" s="44" t="s">
        <v>110</v>
      </c>
      <c r="H174" s="45">
        <v>62</v>
      </c>
      <c r="I174" s="47">
        <v>65</v>
      </c>
      <c r="J174" s="48">
        <f>H174*I174</f>
        <v>4030</v>
      </c>
      <c r="K174" s="10">
        <v>1</v>
      </c>
    </row>
    <row r="175" spans="1:11" ht="39" x14ac:dyDescent="0.35">
      <c r="A175" s="11" t="s">
        <v>93</v>
      </c>
      <c r="B175" s="11" t="s">
        <v>224</v>
      </c>
      <c r="C175" s="11"/>
      <c r="D175" s="11"/>
      <c r="E175" s="11"/>
      <c r="F175" s="57" t="s">
        <v>232</v>
      </c>
      <c r="G175" s="44"/>
      <c r="H175" s="45"/>
      <c r="I175" s="47"/>
      <c r="J175" s="48"/>
      <c r="K175" s="10">
        <v>1</v>
      </c>
    </row>
    <row r="176" spans="1:11" ht="14.5" x14ac:dyDescent="0.35">
      <c r="A176" s="11" t="s">
        <v>93</v>
      </c>
      <c r="B176" s="11" t="s">
        <v>224</v>
      </c>
      <c r="C176" s="11"/>
      <c r="D176" s="11" t="s">
        <v>26</v>
      </c>
      <c r="E176" s="11"/>
      <c r="F176" s="60" t="s">
        <v>233</v>
      </c>
      <c r="G176" s="44" t="s">
        <v>110</v>
      </c>
      <c r="H176" s="45">
        <v>171</v>
      </c>
      <c r="I176" s="47">
        <v>65</v>
      </c>
      <c r="J176" s="48">
        <f>H176*I176</f>
        <v>11115</v>
      </c>
      <c r="K176" s="10">
        <v>1</v>
      </c>
    </row>
    <row r="177" spans="1:11" ht="14.5" x14ac:dyDescent="0.35">
      <c r="A177" s="11" t="s">
        <v>93</v>
      </c>
      <c r="B177" s="11" t="s">
        <v>224</v>
      </c>
      <c r="C177" s="11"/>
      <c r="D177" s="11" t="s">
        <v>29</v>
      </c>
      <c r="E177" s="11"/>
      <c r="F177" s="60" t="s">
        <v>234</v>
      </c>
      <c r="G177" s="44" t="s">
        <v>110</v>
      </c>
      <c r="H177" s="45">
        <v>67</v>
      </c>
      <c r="I177" s="47">
        <v>65</v>
      </c>
      <c r="J177" s="48">
        <f>H177*I177</f>
        <v>4355</v>
      </c>
      <c r="K177" s="10">
        <v>1</v>
      </c>
    </row>
    <row r="178" spans="1:11" ht="13" x14ac:dyDescent="0.35">
      <c r="A178" s="11" t="s">
        <v>93</v>
      </c>
      <c r="B178" s="11" t="s">
        <v>235</v>
      </c>
      <c r="C178" s="11"/>
      <c r="D178" s="11"/>
      <c r="E178" s="11"/>
      <c r="F178" s="43" t="s">
        <v>95</v>
      </c>
      <c r="G178" s="44"/>
      <c r="H178" s="58"/>
      <c r="I178" s="47"/>
      <c r="J178" s="48"/>
      <c r="K178" s="10">
        <v>1</v>
      </c>
    </row>
    <row r="179" spans="1:11" ht="13" x14ac:dyDescent="0.35">
      <c r="A179" s="11" t="s">
        <v>93</v>
      </c>
      <c r="B179" s="11" t="s">
        <v>235</v>
      </c>
      <c r="C179" s="11"/>
      <c r="D179" s="11"/>
      <c r="E179" s="11"/>
      <c r="F179" s="43" t="s">
        <v>96</v>
      </c>
      <c r="G179" s="44"/>
      <c r="H179" s="58"/>
      <c r="I179" s="47"/>
      <c r="J179" s="48"/>
      <c r="K179" s="10">
        <v>1</v>
      </c>
    </row>
    <row r="180" spans="1:11" ht="13" x14ac:dyDescent="0.35">
      <c r="A180" s="11" t="s">
        <v>93</v>
      </c>
      <c r="B180" s="11" t="s">
        <v>235</v>
      </c>
      <c r="C180" s="11"/>
      <c r="D180" s="11"/>
      <c r="E180" s="11"/>
      <c r="F180" s="43" t="s">
        <v>236</v>
      </c>
      <c r="G180" s="44"/>
      <c r="H180" s="58"/>
      <c r="I180" s="47"/>
      <c r="J180" s="48"/>
      <c r="K180" s="10">
        <v>1</v>
      </c>
    </row>
    <row r="181" spans="1:11" ht="13" x14ac:dyDescent="0.35">
      <c r="A181" s="11" t="s">
        <v>93</v>
      </c>
      <c r="B181" s="11" t="s">
        <v>235</v>
      </c>
      <c r="C181" s="11"/>
      <c r="D181" s="11"/>
      <c r="E181" s="11"/>
      <c r="F181" s="43" t="s">
        <v>237</v>
      </c>
      <c r="G181" s="44"/>
      <c r="H181" s="58"/>
      <c r="I181" s="47"/>
      <c r="J181" s="48"/>
      <c r="K181" s="10">
        <v>1</v>
      </c>
    </row>
    <row r="182" spans="1:11" ht="13" x14ac:dyDescent="0.35">
      <c r="A182" s="11" t="s">
        <v>93</v>
      </c>
      <c r="B182" s="11" t="s">
        <v>235</v>
      </c>
      <c r="C182" s="11"/>
      <c r="D182" s="50"/>
      <c r="E182" s="50"/>
      <c r="F182" s="57" t="s">
        <v>100</v>
      </c>
      <c r="G182" s="51"/>
      <c r="H182" s="72"/>
      <c r="I182" s="54"/>
      <c r="J182" s="55"/>
      <c r="K182" s="10">
        <v>1</v>
      </c>
    </row>
    <row r="183" spans="1:11" ht="13" x14ac:dyDescent="0.35">
      <c r="A183" s="11" t="s">
        <v>93</v>
      </c>
      <c r="B183" s="11" t="s">
        <v>235</v>
      </c>
      <c r="C183" s="11"/>
      <c r="D183" s="50"/>
      <c r="E183" s="50"/>
      <c r="F183" s="60" t="s">
        <v>101</v>
      </c>
      <c r="G183" s="51"/>
      <c r="H183" s="74"/>
      <c r="I183" s="54"/>
      <c r="J183" s="55"/>
      <c r="K183" s="10">
        <v>1</v>
      </c>
    </row>
    <row r="184" spans="1:11" ht="13" x14ac:dyDescent="0.35">
      <c r="A184" s="11" t="s">
        <v>93</v>
      </c>
      <c r="B184" s="11" t="s">
        <v>235</v>
      </c>
      <c r="C184" s="11"/>
      <c r="D184" s="11"/>
      <c r="E184" s="11"/>
      <c r="F184" s="57" t="s">
        <v>238</v>
      </c>
      <c r="G184" s="44"/>
      <c r="H184" s="58"/>
      <c r="I184" s="47"/>
      <c r="J184" s="48"/>
      <c r="K184" s="10">
        <v>1</v>
      </c>
    </row>
    <row r="185" spans="1:11" ht="52" x14ac:dyDescent="0.35">
      <c r="A185" s="11" t="s">
        <v>93</v>
      </c>
      <c r="B185" s="11" t="s">
        <v>235</v>
      </c>
      <c r="C185" s="11"/>
      <c r="D185" s="11" t="s">
        <v>20</v>
      </c>
      <c r="E185" s="11"/>
      <c r="F185" s="57" t="s">
        <v>239</v>
      </c>
      <c r="G185" s="44" t="s">
        <v>110</v>
      </c>
      <c r="H185" s="58">
        <v>171</v>
      </c>
      <c r="I185" s="47">
        <v>395</v>
      </c>
      <c r="J185" s="48">
        <f>H185*I185</f>
        <v>67545</v>
      </c>
      <c r="K185" s="10">
        <v>1</v>
      </c>
    </row>
    <row r="186" spans="1:11" s="84" customFormat="1" ht="25" x14ac:dyDescent="0.35">
      <c r="A186" s="11" t="s">
        <v>93</v>
      </c>
      <c r="B186" s="11" t="s">
        <v>235</v>
      </c>
      <c r="C186" s="11"/>
      <c r="D186" s="76"/>
      <c r="E186" s="77"/>
      <c r="F186" s="60" t="s">
        <v>240</v>
      </c>
      <c r="G186" s="78"/>
      <c r="H186" s="79"/>
      <c r="I186" s="81"/>
      <c r="J186" s="82"/>
      <c r="K186" s="10">
        <v>1</v>
      </c>
    </row>
    <row r="187" spans="1:11" ht="13" x14ac:dyDescent="0.35">
      <c r="A187" s="11" t="s">
        <v>93</v>
      </c>
      <c r="B187" s="11" t="s">
        <v>235</v>
      </c>
      <c r="C187" s="11"/>
      <c r="D187" s="11"/>
      <c r="E187" s="11"/>
      <c r="F187" s="57" t="s">
        <v>241</v>
      </c>
      <c r="G187" s="44"/>
      <c r="H187" s="58"/>
      <c r="I187" s="47"/>
      <c r="J187" s="48"/>
      <c r="K187" s="10">
        <v>1</v>
      </c>
    </row>
    <row r="188" spans="1:11" x14ac:dyDescent="0.35">
      <c r="A188" s="11" t="s">
        <v>93</v>
      </c>
      <c r="B188" s="11" t="s">
        <v>235</v>
      </c>
      <c r="C188" s="11"/>
      <c r="D188" s="11" t="s">
        <v>26</v>
      </c>
      <c r="E188" s="11"/>
      <c r="F188" s="60" t="s">
        <v>242</v>
      </c>
      <c r="G188" s="44" t="s">
        <v>186</v>
      </c>
      <c r="H188" s="85">
        <v>50</v>
      </c>
      <c r="I188" s="47">
        <v>245</v>
      </c>
      <c r="J188" s="48">
        <f>I188*H188</f>
        <v>12250</v>
      </c>
      <c r="K188" s="10">
        <v>1</v>
      </c>
    </row>
    <row r="189" spans="1:11" s="84" customFormat="1" ht="13" x14ac:dyDescent="0.35">
      <c r="A189" s="11" t="s">
        <v>93</v>
      </c>
      <c r="B189" s="11" t="s">
        <v>235</v>
      </c>
      <c r="C189" s="11"/>
      <c r="D189" s="76"/>
      <c r="E189" s="77"/>
      <c r="F189" s="87" t="s">
        <v>243</v>
      </c>
      <c r="G189" s="78"/>
      <c r="H189" s="79"/>
      <c r="I189" s="81"/>
      <c r="J189" s="82"/>
      <c r="K189" s="10">
        <v>1</v>
      </c>
    </row>
    <row r="190" spans="1:11" s="84" customFormat="1" x14ac:dyDescent="0.35">
      <c r="A190" s="11" t="s">
        <v>93</v>
      </c>
      <c r="B190" s="11" t="s">
        <v>235</v>
      </c>
      <c r="C190" s="11"/>
      <c r="D190" s="11" t="s">
        <v>29</v>
      </c>
      <c r="E190" s="77"/>
      <c r="F190" s="88" t="s">
        <v>244</v>
      </c>
      <c r="G190" s="78" t="s">
        <v>245</v>
      </c>
      <c r="H190" s="79">
        <v>171</v>
      </c>
      <c r="I190" s="81">
        <v>165</v>
      </c>
      <c r="J190" s="82">
        <f>H190*I190</f>
        <v>28215</v>
      </c>
      <c r="K190" s="10">
        <v>1</v>
      </c>
    </row>
    <row r="191" spans="1:11" ht="13" x14ac:dyDescent="0.35">
      <c r="A191" s="11" t="s">
        <v>93</v>
      </c>
      <c r="B191" s="11" t="s">
        <v>246</v>
      </c>
      <c r="C191" s="11"/>
      <c r="D191" s="11"/>
      <c r="E191" s="11"/>
      <c r="F191" s="43" t="s">
        <v>95</v>
      </c>
      <c r="G191" s="44"/>
      <c r="H191" s="45"/>
      <c r="I191" s="47"/>
      <c r="J191" s="48"/>
      <c r="K191" s="10">
        <v>1</v>
      </c>
    </row>
    <row r="192" spans="1:11" ht="13" x14ac:dyDescent="0.35">
      <c r="A192" s="11" t="s">
        <v>93</v>
      </c>
      <c r="B192" s="11" t="s">
        <v>246</v>
      </c>
      <c r="C192" s="11"/>
      <c r="D192" s="11"/>
      <c r="E192" s="11"/>
      <c r="F192" s="43" t="s">
        <v>96</v>
      </c>
      <c r="G192" s="44"/>
      <c r="H192" s="45"/>
      <c r="I192" s="47"/>
      <c r="J192" s="48"/>
      <c r="K192" s="10">
        <v>1</v>
      </c>
    </row>
    <row r="193" spans="1:11" ht="13" x14ac:dyDescent="0.35">
      <c r="A193" s="11" t="s">
        <v>93</v>
      </c>
      <c r="B193" s="11" t="s">
        <v>246</v>
      </c>
      <c r="C193" s="11"/>
      <c r="D193" s="11"/>
      <c r="E193" s="11"/>
      <c r="F193" s="43" t="s">
        <v>247</v>
      </c>
      <c r="G193" s="44"/>
      <c r="H193" s="45"/>
      <c r="I193" s="47"/>
      <c r="J193" s="48"/>
      <c r="K193" s="10">
        <v>1</v>
      </c>
    </row>
    <row r="194" spans="1:11" ht="13" x14ac:dyDescent="0.35">
      <c r="A194" s="11" t="s">
        <v>93</v>
      </c>
      <c r="B194" s="11" t="s">
        <v>246</v>
      </c>
      <c r="C194" s="11"/>
      <c r="D194" s="11"/>
      <c r="E194" s="11"/>
      <c r="F194" s="43" t="s">
        <v>248</v>
      </c>
      <c r="G194" s="44"/>
      <c r="H194" s="45"/>
      <c r="I194" s="47"/>
      <c r="J194" s="48"/>
      <c r="K194" s="10">
        <v>1</v>
      </c>
    </row>
    <row r="195" spans="1:11" ht="13" x14ac:dyDescent="0.35">
      <c r="A195" s="11" t="s">
        <v>93</v>
      </c>
      <c r="B195" s="11" t="s">
        <v>246</v>
      </c>
      <c r="C195" s="11"/>
      <c r="D195" s="11"/>
      <c r="E195" s="11"/>
      <c r="F195" s="57" t="s">
        <v>100</v>
      </c>
      <c r="G195" s="44"/>
      <c r="H195" s="45"/>
      <c r="I195" s="47"/>
      <c r="J195" s="48"/>
      <c r="K195" s="10">
        <v>1</v>
      </c>
    </row>
    <row r="196" spans="1:11" x14ac:dyDescent="0.35">
      <c r="A196" s="11" t="s">
        <v>93</v>
      </c>
      <c r="B196" s="11" t="s">
        <v>246</v>
      </c>
      <c r="C196" s="11"/>
      <c r="D196" s="11"/>
      <c r="E196" s="11"/>
      <c r="F196" s="60" t="s">
        <v>101</v>
      </c>
      <c r="G196" s="44"/>
      <c r="H196" s="45"/>
      <c r="I196" s="47"/>
      <c r="J196" s="48"/>
      <c r="K196" s="10">
        <v>1</v>
      </c>
    </row>
    <row r="197" spans="1:11" ht="13" x14ac:dyDescent="0.35">
      <c r="A197" s="11" t="s">
        <v>93</v>
      </c>
      <c r="B197" s="11" t="s">
        <v>246</v>
      </c>
      <c r="C197" s="11"/>
      <c r="D197" s="11"/>
      <c r="E197" s="11"/>
      <c r="F197" s="57" t="s">
        <v>102</v>
      </c>
      <c r="G197" s="44"/>
      <c r="H197" s="45"/>
      <c r="I197" s="47"/>
      <c r="J197" s="48"/>
      <c r="K197" s="10">
        <v>1</v>
      </c>
    </row>
    <row r="198" spans="1:11" x14ac:dyDescent="0.35">
      <c r="A198" s="11" t="s">
        <v>93</v>
      </c>
      <c r="B198" s="11" t="s">
        <v>246</v>
      </c>
      <c r="C198" s="11"/>
      <c r="D198" s="11"/>
      <c r="E198" s="11"/>
      <c r="F198" s="62" t="s">
        <v>249</v>
      </c>
      <c r="G198" s="44"/>
      <c r="H198" s="45"/>
      <c r="I198" s="47"/>
      <c r="J198" s="48"/>
      <c r="K198" s="10">
        <v>1</v>
      </c>
    </row>
    <row r="199" spans="1:11" ht="25" x14ac:dyDescent="0.35">
      <c r="A199" s="11" t="s">
        <v>93</v>
      </c>
      <c r="B199" s="11" t="s">
        <v>246</v>
      </c>
      <c r="C199" s="11"/>
      <c r="D199" s="11"/>
      <c r="E199" s="11"/>
      <c r="F199" s="60" t="s">
        <v>250</v>
      </c>
      <c r="G199" s="44"/>
      <c r="H199" s="45"/>
      <c r="I199" s="47"/>
      <c r="J199" s="48"/>
      <c r="K199" s="10">
        <v>1</v>
      </c>
    </row>
    <row r="200" spans="1:11" ht="37.5" x14ac:dyDescent="0.35">
      <c r="A200" s="11" t="s">
        <v>93</v>
      </c>
      <c r="B200" s="11" t="s">
        <v>246</v>
      </c>
      <c r="C200" s="11"/>
      <c r="D200" s="11"/>
      <c r="E200" s="11"/>
      <c r="F200" s="60" t="s">
        <v>251</v>
      </c>
      <c r="G200" s="44"/>
      <c r="H200" s="45"/>
      <c r="I200" s="47"/>
      <c r="J200" s="48"/>
      <c r="K200" s="10">
        <v>1</v>
      </c>
    </row>
    <row r="201" spans="1:11" x14ac:dyDescent="0.35">
      <c r="A201" s="11" t="s">
        <v>93</v>
      </c>
      <c r="B201" s="11" t="s">
        <v>246</v>
      </c>
      <c r="C201" s="11"/>
      <c r="D201" s="11"/>
      <c r="E201" s="11"/>
      <c r="F201" s="62" t="s">
        <v>252</v>
      </c>
      <c r="G201" s="44"/>
      <c r="H201" s="45"/>
      <c r="I201" s="47"/>
      <c r="J201" s="48"/>
      <c r="K201" s="10">
        <v>1</v>
      </c>
    </row>
    <row r="202" spans="1:11" ht="25" x14ac:dyDescent="0.35">
      <c r="A202" s="11" t="s">
        <v>93</v>
      </c>
      <c r="B202" s="11" t="s">
        <v>246</v>
      </c>
      <c r="C202" s="11"/>
      <c r="D202" s="11"/>
      <c r="E202" s="11"/>
      <c r="F202" s="60" t="s">
        <v>253</v>
      </c>
      <c r="G202" s="44"/>
      <c r="H202" s="45"/>
      <c r="I202" s="47"/>
      <c r="J202" s="48"/>
      <c r="K202" s="10">
        <v>1</v>
      </c>
    </row>
    <row r="203" spans="1:11" ht="25" x14ac:dyDescent="0.35">
      <c r="A203" s="11" t="s">
        <v>93</v>
      </c>
      <c r="B203" s="11" t="s">
        <v>246</v>
      </c>
      <c r="C203" s="11"/>
      <c r="D203" s="11"/>
      <c r="E203" s="11"/>
      <c r="F203" s="60" t="s">
        <v>254</v>
      </c>
      <c r="G203" s="44"/>
      <c r="H203" s="45"/>
      <c r="I203" s="47"/>
      <c r="J203" s="48"/>
      <c r="K203" s="10">
        <v>1</v>
      </c>
    </row>
    <row r="204" spans="1:11" x14ac:dyDescent="0.35">
      <c r="A204" s="11" t="s">
        <v>93</v>
      </c>
      <c r="B204" s="11" t="s">
        <v>246</v>
      </c>
      <c r="C204" s="11"/>
      <c r="D204" s="11"/>
      <c r="E204" s="11"/>
      <c r="F204" s="62" t="s">
        <v>255</v>
      </c>
      <c r="G204" s="44"/>
      <c r="H204" s="45"/>
      <c r="I204" s="47"/>
      <c r="J204" s="48"/>
      <c r="K204" s="10">
        <v>1</v>
      </c>
    </row>
    <row r="205" spans="1:11" ht="25" x14ac:dyDescent="0.35">
      <c r="A205" s="11" t="s">
        <v>93</v>
      </c>
      <c r="B205" s="11" t="s">
        <v>246</v>
      </c>
      <c r="C205" s="11"/>
      <c r="D205" s="11"/>
      <c r="E205" s="11"/>
      <c r="F205" s="60" t="s">
        <v>256</v>
      </c>
      <c r="G205" s="44"/>
      <c r="H205" s="45"/>
      <c r="I205" s="47"/>
      <c r="J205" s="48"/>
      <c r="K205" s="10">
        <v>1</v>
      </c>
    </row>
    <row r="206" spans="1:11" ht="37.5" x14ac:dyDescent="0.35">
      <c r="A206" s="11" t="s">
        <v>93</v>
      </c>
      <c r="B206" s="11" t="s">
        <v>246</v>
      </c>
      <c r="C206" s="11"/>
      <c r="D206" s="11"/>
      <c r="E206" s="11"/>
      <c r="F206" s="60" t="s">
        <v>257</v>
      </c>
      <c r="G206" s="44"/>
      <c r="H206" s="45"/>
      <c r="I206" s="47"/>
      <c r="J206" s="48"/>
      <c r="K206" s="10">
        <v>1</v>
      </c>
    </row>
    <row r="207" spans="1:11" ht="13" x14ac:dyDescent="0.35">
      <c r="A207" s="11" t="s">
        <v>93</v>
      </c>
      <c r="B207" s="11" t="s">
        <v>246</v>
      </c>
      <c r="C207" s="11"/>
      <c r="D207" s="11"/>
      <c r="E207" s="11"/>
      <c r="F207" s="57" t="s">
        <v>258</v>
      </c>
      <c r="G207" s="44"/>
      <c r="H207" s="45"/>
      <c r="I207" s="47"/>
      <c r="J207" s="48"/>
      <c r="K207" s="10">
        <v>1</v>
      </c>
    </row>
    <row r="208" spans="1:11" ht="26" x14ac:dyDescent="0.35">
      <c r="A208" s="11" t="s">
        <v>93</v>
      </c>
      <c r="B208" s="11" t="s">
        <v>246</v>
      </c>
      <c r="C208" s="11"/>
      <c r="D208" s="11"/>
      <c r="E208" s="11"/>
      <c r="F208" s="57" t="s">
        <v>259</v>
      </c>
      <c r="G208" s="44"/>
      <c r="H208" s="63"/>
      <c r="I208" s="47"/>
      <c r="J208" s="48"/>
      <c r="K208" s="10">
        <v>1</v>
      </c>
    </row>
    <row r="209" spans="1:11" x14ac:dyDescent="0.35">
      <c r="A209" s="11" t="s">
        <v>93</v>
      </c>
      <c r="B209" s="11" t="s">
        <v>246</v>
      </c>
      <c r="C209" s="11"/>
      <c r="D209" s="11" t="s">
        <v>20</v>
      </c>
      <c r="E209" s="11"/>
      <c r="F209" s="60" t="s">
        <v>260</v>
      </c>
      <c r="G209" s="44" t="s">
        <v>186</v>
      </c>
      <c r="H209" s="63">
        <v>60</v>
      </c>
      <c r="I209" s="47">
        <v>95</v>
      </c>
      <c r="J209" s="48">
        <f>H209*I209</f>
        <v>5700</v>
      </c>
      <c r="K209" s="10">
        <v>1</v>
      </c>
    </row>
    <row r="210" spans="1:11" ht="13" x14ac:dyDescent="0.35">
      <c r="A210" s="11" t="s">
        <v>93</v>
      </c>
      <c r="B210" s="11" t="s">
        <v>246</v>
      </c>
      <c r="C210" s="11"/>
      <c r="D210" s="11"/>
      <c r="E210" s="11"/>
      <c r="F210" s="57" t="s">
        <v>261</v>
      </c>
      <c r="G210" s="44"/>
      <c r="H210" s="45"/>
      <c r="I210" s="47"/>
      <c r="J210" s="48"/>
      <c r="K210" s="10">
        <v>1</v>
      </c>
    </row>
    <row r="211" spans="1:11" ht="13" x14ac:dyDescent="0.35">
      <c r="A211" s="11" t="s">
        <v>93</v>
      </c>
      <c r="B211" s="11" t="s">
        <v>246</v>
      </c>
      <c r="C211" s="11"/>
      <c r="D211" s="11"/>
      <c r="E211" s="11"/>
      <c r="F211" s="57" t="s">
        <v>262</v>
      </c>
      <c r="G211" s="44"/>
      <c r="H211" s="58"/>
      <c r="I211" s="47"/>
      <c r="J211" s="48"/>
      <c r="K211" s="10">
        <v>1</v>
      </c>
    </row>
    <row r="212" spans="1:11" ht="25" x14ac:dyDescent="0.35">
      <c r="A212" s="11" t="s">
        <v>93</v>
      </c>
      <c r="B212" s="11" t="s">
        <v>246</v>
      </c>
      <c r="C212" s="11"/>
      <c r="D212" s="11" t="s">
        <v>26</v>
      </c>
      <c r="E212" s="11"/>
      <c r="F212" s="60" t="s">
        <v>263</v>
      </c>
      <c r="G212" s="44" t="s">
        <v>175</v>
      </c>
      <c r="H212" s="58">
        <v>1</v>
      </c>
      <c r="I212" s="47">
        <v>2500</v>
      </c>
      <c r="J212" s="48">
        <f>H212*I212</f>
        <v>2500</v>
      </c>
      <c r="K212" s="10">
        <v>1</v>
      </c>
    </row>
    <row r="213" spans="1:11" ht="25" x14ac:dyDescent="0.35">
      <c r="A213" s="11" t="s">
        <v>93</v>
      </c>
      <c r="B213" s="11" t="s">
        <v>246</v>
      </c>
      <c r="C213" s="11"/>
      <c r="D213" s="11" t="s">
        <v>29</v>
      </c>
      <c r="E213" s="11"/>
      <c r="F213" s="60" t="s">
        <v>264</v>
      </c>
      <c r="G213" s="44" t="s">
        <v>175</v>
      </c>
      <c r="H213" s="58">
        <v>2</v>
      </c>
      <c r="I213" s="47">
        <v>2500</v>
      </c>
      <c r="J213" s="48">
        <f>H213*I213</f>
        <v>5000</v>
      </c>
      <c r="K213" s="10">
        <v>1</v>
      </c>
    </row>
    <row r="214" spans="1:11" ht="13" x14ac:dyDescent="0.35">
      <c r="A214" s="11" t="s">
        <v>93</v>
      </c>
      <c r="B214" s="11" t="s">
        <v>246</v>
      </c>
      <c r="C214" s="11"/>
      <c r="D214" s="11"/>
      <c r="E214" s="11"/>
      <c r="F214" s="57" t="s">
        <v>265</v>
      </c>
      <c r="G214" s="44"/>
      <c r="H214" s="58"/>
      <c r="I214" s="47"/>
      <c r="J214" s="48"/>
      <c r="K214" s="10">
        <v>1</v>
      </c>
    </row>
    <row r="215" spans="1:11" ht="13" x14ac:dyDescent="0.35">
      <c r="A215" s="11" t="s">
        <v>93</v>
      </c>
      <c r="B215" s="11" t="s">
        <v>246</v>
      </c>
      <c r="C215" s="11"/>
      <c r="D215" s="11"/>
      <c r="E215" s="11"/>
      <c r="F215" s="57" t="s">
        <v>266</v>
      </c>
      <c r="G215" s="44"/>
      <c r="H215" s="58"/>
      <c r="I215" s="47"/>
      <c r="J215" s="48"/>
      <c r="K215" s="10">
        <v>1</v>
      </c>
    </row>
    <row r="216" spans="1:11" ht="75" x14ac:dyDescent="0.35">
      <c r="A216" s="11" t="s">
        <v>93</v>
      </c>
      <c r="B216" s="11" t="s">
        <v>246</v>
      </c>
      <c r="C216" s="11"/>
      <c r="D216" s="11" t="s">
        <v>32</v>
      </c>
      <c r="E216" s="11"/>
      <c r="F216" s="60" t="s">
        <v>267</v>
      </c>
      <c r="G216" s="44" t="s">
        <v>186</v>
      </c>
      <c r="H216" s="58">
        <v>73</v>
      </c>
      <c r="I216" s="47">
        <v>85</v>
      </c>
      <c r="J216" s="48">
        <f>H216*I216</f>
        <v>6205</v>
      </c>
      <c r="K216" s="10">
        <v>1</v>
      </c>
    </row>
    <row r="217" spans="1:11" ht="13" x14ac:dyDescent="0.35">
      <c r="A217" s="11" t="s">
        <v>93</v>
      </c>
      <c r="B217" s="11" t="s">
        <v>246</v>
      </c>
      <c r="C217" s="11"/>
      <c r="D217" s="89"/>
      <c r="E217" s="89"/>
      <c r="F217" s="90" t="s">
        <v>268</v>
      </c>
      <c r="G217" s="91"/>
      <c r="H217" s="92"/>
      <c r="I217" s="94"/>
      <c r="J217" s="95"/>
      <c r="K217" s="10">
        <v>1</v>
      </c>
    </row>
    <row r="218" spans="1:11" ht="13" x14ac:dyDescent="0.3">
      <c r="A218" s="11" t="s">
        <v>93</v>
      </c>
      <c r="B218" s="11" t="s">
        <v>246</v>
      </c>
      <c r="C218" s="11"/>
      <c r="D218" s="89"/>
      <c r="E218" s="89"/>
      <c r="F218" s="97" t="s">
        <v>269</v>
      </c>
      <c r="G218" s="91"/>
      <c r="H218" s="92"/>
      <c r="I218" s="94"/>
      <c r="J218" s="95"/>
      <c r="K218" s="10">
        <v>1</v>
      </c>
    </row>
    <row r="219" spans="1:11" ht="37.5" x14ac:dyDescent="0.35">
      <c r="A219" s="11" t="s">
        <v>93</v>
      </c>
      <c r="B219" s="11" t="s">
        <v>246</v>
      </c>
      <c r="C219" s="11"/>
      <c r="D219" s="89" t="s">
        <v>36</v>
      </c>
      <c r="E219" s="89"/>
      <c r="F219" s="98" t="s">
        <v>270</v>
      </c>
      <c r="G219" s="91" t="s">
        <v>175</v>
      </c>
      <c r="H219" s="92">
        <v>9</v>
      </c>
      <c r="I219" s="94">
        <v>7500</v>
      </c>
      <c r="J219" s="95">
        <f>H219*I219</f>
        <v>67500</v>
      </c>
      <c r="K219" s="10">
        <v>1</v>
      </c>
    </row>
    <row r="220" spans="1:11" ht="37.5" x14ac:dyDescent="0.35">
      <c r="A220" s="11" t="s">
        <v>93</v>
      </c>
      <c r="B220" s="11" t="s">
        <v>246</v>
      </c>
      <c r="C220" s="11"/>
      <c r="D220" s="89" t="s">
        <v>39</v>
      </c>
      <c r="E220" s="89"/>
      <c r="F220" s="98" t="s">
        <v>271</v>
      </c>
      <c r="G220" s="91" t="s">
        <v>175</v>
      </c>
      <c r="H220" s="92">
        <v>6</v>
      </c>
      <c r="I220" s="94">
        <v>7500</v>
      </c>
      <c r="J220" s="95">
        <f>H220*I220</f>
        <v>45000</v>
      </c>
      <c r="K220" s="10">
        <v>1</v>
      </c>
    </row>
    <row r="221" spans="1:11" ht="37.5" x14ac:dyDescent="0.35">
      <c r="A221" s="11" t="s">
        <v>93</v>
      </c>
      <c r="B221" s="11" t="s">
        <v>246</v>
      </c>
      <c r="C221" s="11"/>
      <c r="D221" s="89" t="s">
        <v>42</v>
      </c>
      <c r="E221" s="89"/>
      <c r="F221" s="98" t="s">
        <v>272</v>
      </c>
      <c r="G221" s="91" t="s">
        <v>175</v>
      </c>
      <c r="H221" s="92">
        <v>6</v>
      </c>
      <c r="I221" s="94">
        <v>7500</v>
      </c>
      <c r="J221" s="95">
        <f>H221*I221</f>
        <v>45000</v>
      </c>
      <c r="K221" s="10">
        <v>1</v>
      </c>
    </row>
    <row r="222" spans="1:11" x14ac:dyDescent="0.35">
      <c r="A222" s="11" t="s">
        <v>93</v>
      </c>
      <c r="B222" s="11" t="s">
        <v>246</v>
      </c>
      <c r="C222" s="11"/>
      <c r="D222" s="89" t="s">
        <v>45</v>
      </c>
      <c r="E222" s="89"/>
      <c r="F222" s="98" t="s">
        <v>273</v>
      </c>
      <c r="G222" s="91" t="s">
        <v>175</v>
      </c>
      <c r="H222" s="92">
        <v>4</v>
      </c>
      <c r="I222" s="94">
        <v>5000</v>
      </c>
      <c r="J222" s="95">
        <f>H222*I222</f>
        <v>20000</v>
      </c>
      <c r="K222" s="10">
        <v>1</v>
      </c>
    </row>
    <row r="223" spans="1:11" ht="13" x14ac:dyDescent="0.3">
      <c r="A223" s="11" t="s">
        <v>93</v>
      </c>
      <c r="B223" s="11" t="s">
        <v>246</v>
      </c>
      <c r="C223" s="11"/>
      <c r="D223" s="89"/>
      <c r="E223" s="89"/>
      <c r="F223" s="97" t="s">
        <v>274</v>
      </c>
      <c r="G223" s="91"/>
      <c r="H223" s="92"/>
      <c r="I223" s="94"/>
      <c r="J223" s="95"/>
      <c r="K223" s="10">
        <v>1</v>
      </c>
    </row>
    <row r="224" spans="1:11" x14ac:dyDescent="0.35">
      <c r="A224" s="11" t="s">
        <v>93</v>
      </c>
      <c r="B224" s="11" t="s">
        <v>246</v>
      </c>
      <c r="C224" s="11"/>
      <c r="D224" s="89" t="s">
        <v>48</v>
      </c>
      <c r="E224" s="89"/>
      <c r="F224" s="98" t="s">
        <v>275</v>
      </c>
      <c r="G224" s="91" t="s">
        <v>175</v>
      </c>
      <c r="H224" s="92">
        <v>6</v>
      </c>
      <c r="I224" s="94">
        <v>3000</v>
      </c>
      <c r="J224" s="95">
        <f>H224*I224</f>
        <v>18000</v>
      </c>
      <c r="K224" s="10">
        <v>1</v>
      </c>
    </row>
    <row r="225" spans="1:11" x14ac:dyDescent="0.35">
      <c r="A225" s="11" t="s">
        <v>93</v>
      </c>
      <c r="B225" s="11" t="s">
        <v>246</v>
      </c>
      <c r="C225" s="11"/>
      <c r="D225" s="89" t="s">
        <v>51</v>
      </c>
      <c r="E225" s="89"/>
      <c r="F225" s="98" t="s">
        <v>276</v>
      </c>
      <c r="G225" s="91" t="s">
        <v>175</v>
      </c>
      <c r="H225" s="92">
        <v>36</v>
      </c>
      <c r="I225" s="94">
        <v>2000</v>
      </c>
      <c r="J225" s="95">
        <f>H225*I225</f>
        <v>72000</v>
      </c>
      <c r="K225" s="10">
        <v>1</v>
      </c>
    </row>
    <row r="226" spans="1:11" ht="13" x14ac:dyDescent="0.35">
      <c r="A226" s="11" t="s">
        <v>93</v>
      </c>
      <c r="B226" s="11" t="s">
        <v>277</v>
      </c>
      <c r="C226" s="11"/>
      <c r="D226" s="11"/>
      <c r="E226" s="11"/>
      <c r="F226" s="43" t="s">
        <v>95</v>
      </c>
      <c r="G226" s="44"/>
      <c r="H226" s="45"/>
      <c r="I226" s="47"/>
      <c r="J226" s="48"/>
      <c r="K226" s="10">
        <v>1</v>
      </c>
    </row>
    <row r="227" spans="1:11" ht="13" x14ac:dyDescent="0.35">
      <c r="A227" s="11" t="s">
        <v>93</v>
      </c>
      <c r="B227" s="11" t="s">
        <v>277</v>
      </c>
      <c r="C227" s="11"/>
      <c r="D227" s="11"/>
      <c r="E227" s="11"/>
      <c r="F227" s="43" t="s">
        <v>96</v>
      </c>
      <c r="G227" s="44"/>
      <c r="H227" s="45"/>
      <c r="I227" s="47"/>
      <c r="J227" s="48"/>
      <c r="K227" s="10">
        <v>1</v>
      </c>
    </row>
    <row r="228" spans="1:11" ht="13" x14ac:dyDescent="0.35">
      <c r="A228" s="11" t="s">
        <v>93</v>
      </c>
      <c r="B228" s="11" t="s">
        <v>277</v>
      </c>
      <c r="C228" s="11"/>
      <c r="D228" s="11"/>
      <c r="E228" s="11"/>
      <c r="F228" s="43" t="s">
        <v>278</v>
      </c>
      <c r="G228" s="44"/>
      <c r="H228" s="45"/>
      <c r="I228" s="47"/>
      <c r="J228" s="48"/>
      <c r="K228" s="10">
        <v>1</v>
      </c>
    </row>
    <row r="229" spans="1:11" ht="13" x14ac:dyDescent="0.35">
      <c r="A229" s="11" t="s">
        <v>93</v>
      </c>
      <c r="B229" s="11" t="s">
        <v>277</v>
      </c>
      <c r="C229" s="11"/>
      <c r="D229" s="11"/>
      <c r="E229" s="11"/>
      <c r="F229" s="43" t="s">
        <v>279</v>
      </c>
      <c r="G229" s="44"/>
      <c r="H229" s="45"/>
      <c r="I229" s="47"/>
      <c r="J229" s="48"/>
      <c r="K229" s="10">
        <v>1</v>
      </c>
    </row>
    <row r="230" spans="1:11" ht="13" x14ac:dyDescent="0.35">
      <c r="A230" s="11" t="s">
        <v>93</v>
      </c>
      <c r="B230" s="11" t="s">
        <v>277</v>
      </c>
      <c r="C230" s="11"/>
      <c r="D230" s="11"/>
      <c r="E230" s="11"/>
      <c r="F230" s="57" t="s">
        <v>100</v>
      </c>
      <c r="G230" s="44"/>
      <c r="H230" s="45"/>
      <c r="I230" s="47"/>
      <c r="J230" s="48"/>
      <c r="K230" s="10">
        <v>1</v>
      </c>
    </row>
    <row r="231" spans="1:11" x14ac:dyDescent="0.35">
      <c r="A231" s="11" t="s">
        <v>93</v>
      </c>
      <c r="B231" s="11" t="s">
        <v>277</v>
      </c>
      <c r="C231" s="11"/>
      <c r="D231" s="11"/>
      <c r="E231" s="11"/>
      <c r="F231" s="60" t="s">
        <v>101</v>
      </c>
      <c r="G231" s="44"/>
      <c r="H231" s="45"/>
      <c r="I231" s="47"/>
      <c r="J231" s="48"/>
      <c r="K231" s="10">
        <v>1</v>
      </c>
    </row>
    <row r="232" spans="1:11" ht="13" x14ac:dyDescent="0.35">
      <c r="A232" s="11" t="s">
        <v>93</v>
      </c>
      <c r="B232" s="11" t="s">
        <v>277</v>
      </c>
      <c r="C232" s="11"/>
      <c r="D232" s="11"/>
      <c r="E232" s="11"/>
      <c r="F232" s="57" t="s">
        <v>102</v>
      </c>
      <c r="G232" s="44"/>
      <c r="H232" s="45"/>
      <c r="I232" s="47"/>
      <c r="J232" s="48"/>
      <c r="K232" s="10">
        <v>1</v>
      </c>
    </row>
    <row r="233" spans="1:11" x14ac:dyDescent="0.35">
      <c r="A233" s="11" t="s">
        <v>93</v>
      </c>
      <c r="B233" s="11" t="s">
        <v>277</v>
      </c>
      <c r="C233" s="11"/>
      <c r="D233" s="11"/>
      <c r="E233" s="11"/>
      <c r="F233" s="62" t="s">
        <v>280</v>
      </c>
      <c r="G233" s="44"/>
      <c r="H233" s="45"/>
      <c r="I233" s="47"/>
      <c r="J233" s="48"/>
      <c r="K233" s="10">
        <v>1</v>
      </c>
    </row>
    <row r="234" spans="1:11" ht="25" x14ac:dyDescent="0.35">
      <c r="A234" s="11" t="s">
        <v>93</v>
      </c>
      <c r="B234" s="11" t="s">
        <v>277</v>
      </c>
      <c r="C234" s="11"/>
      <c r="D234" s="11"/>
      <c r="E234" s="11"/>
      <c r="F234" s="60" t="s">
        <v>281</v>
      </c>
      <c r="G234" s="44"/>
      <c r="H234" s="45"/>
      <c r="I234" s="47"/>
      <c r="J234" s="48"/>
      <c r="K234" s="10">
        <v>1</v>
      </c>
    </row>
    <row r="235" spans="1:11" ht="37.5" x14ac:dyDescent="0.35">
      <c r="A235" s="11" t="s">
        <v>93</v>
      </c>
      <c r="B235" s="11" t="s">
        <v>277</v>
      </c>
      <c r="C235" s="11"/>
      <c r="D235" s="11"/>
      <c r="E235" s="11"/>
      <c r="F235" s="60" t="s">
        <v>282</v>
      </c>
      <c r="G235" s="44"/>
      <c r="H235" s="45"/>
      <c r="I235" s="47"/>
      <c r="J235" s="48"/>
      <c r="K235" s="10">
        <v>1</v>
      </c>
    </row>
    <row r="236" spans="1:11" x14ac:dyDescent="0.35">
      <c r="A236" s="11" t="s">
        <v>93</v>
      </c>
      <c r="B236" s="11" t="s">
        <v>277</v>
      </c>
      <c r="C236" s="11"/>
      <c r="D236" s="11"/>
      <c r="E236" s="11"/>
      <c r="F236" s="62" t="s">
        <v>283</v>
      </c>
      <c r="G236" s="44"/>
      <c r="H236" s="45"/>
      <c r="I236" s="47"/>
      <c r="J236" s="48"/>
      <c r="K236" s="10">
        <v>1</v>
      </c>
    </row>
    <row r="237" spans="1:11" x14ac:dyDescent="0.35">
      <c r="A237" s="11" t="s">
        <v>93</v>
      </c>
      <c r="B237" s="11" t="s">
        <v>277</v>
      </c>
      <c r="C237" s="11"/>
      <c r="D237" s="11"/>
      <c r="E237" s="11"/>
      <c r="F237" s="60" t="s">
        <v>284</v>
      </c>
      <c r="G237" s="44"/>
      <c r="H237" s="45"/>
      <c r="I237" s="47"/>
      <c r="J237" s="48"/>
      <c r="K237" s="10">
        <v>1</v>
      </c>
    </row>
    <row r="238" spans="1:11" ht="62.5" x14ac:dyDescent="0.35">
      <c r="A238" s="11" t="s">
        <v>93</v>
      </c>
      <c r="B238" s="11" t="s">
        <v>277</v>
      </c>
      <c r="C238" s="11"/>
      <c r="D238" s="11"/>
      <c r="E238" s="11"/>
      <c r="F238" s="60" t="s">
        <v>285</v>
      </c>
      <c r="G238" s="44"/>
      <c r="H238" s="45"/>
      <c r="I238" s="47"/>
      <c r="J238" s="48"/>
      <c r="K238" s="10">
        <v>1</v>
      </c>
    </row>
    <row r="239" spans="1:11" x14ac:dyDescent="0.35">
      <c r="A239" s="11" t="s">
        <v>93</v>
      </c>
      <c r="B239" s="11" t="s">
        <v>277</v>
      </c>
      <c r="C239" s="11"/>
      <c r="D239" s="11"/>
      <c r="E239" s="11"/>
      <c r="F239" s="62" t="s">
        <v>286</v>
      </c>
      <c r="G239" s="44"/>
      <c r="H239" s="45"/>
      <c r="I239" s="47"/>
      <c r="J239" s="48"/>
      <c r="K239" s="10">
        <v>1</v>
      </c>
    </row>
    <row r="240" spans="1:11" ht="25" x14ac:dyDescent="0.35">
      <c r="A240" s="11" t="s">
        <v>93</v>
      </c>
      <c r="B240" s="11" t="s">
        <v>277</v>
      </c>
      <c r="C240" s="11"/>
      <c r="D240" s="11"/>
      <c r="E240" s="11"/>
      <c r="F240" s="60" t="s">
        <v>287</v>
      </c>
      <c r="G240" s="44"/>
      <c r="H240" s="45"/>
      <c r="I240" s="47"/>
      <c r="J240" s="48"/>
      <c r="K240" s="10">
        <v>1</v>
      </c>
    </row>
    <row r="241" spans="1:11" ht="13" x14ac:dyDescent="0.35">
      <c r="A241" s="11" t="s">
        <v>93</v>
      </c>
      <c r="B241" s="11" t="s">
        <v>277</v>
      </c>
      <c r="C241" s="11"/>
      <c r="D241" s="11"/>
      <c r="E241" s="11"/>
      <c r="F241" s="57" t="s">
        <v>288</v>
      </c>
      <c r="G241" s="44"/>
      <c r="H241" s="45"/>
      <c r="I241" s="47"/>
      <c r="J241" s="48"/>
      <c r="K241" s="10">
        <v>1</v>
      </c>
    </row>
    <row r="242" spans="1:11" ht="13" x14ac:dyDescent="0.35">
      <c r="A242" s="11" t="s">
        <v>93</v>
      </c>
      <c r="B242" s="11" t="s">
        <v>277</v>
      </c>
      <c r="C242" s="11"/>
      <c r="D242" s="11"/>
      <c r="E242" s="11"/>
      <c r="F242" s="57" t="s">
        <v>289</v>
      </c>
      <c r="G242" s="44"/>
      <c r="H242" s="45"/>
      <c r="I242" s="47"/>
      <c r="J242" s="48"/>
      <c r="K242" s="10">
        <v>1</v>
      </c>
    </row>
    <row r="243" spans="1:11" ht="14.5" x14ac:dyDescent="0.35">
      <c r="A243" s="11" t="s">
        <v>93</v>
      </c>
      <c r="B243" s="11" t="s">
        <v>277</v>
      </c>
      <c r="C243" s="11"/>
      <c r="D243" s="11" t="s">
        <v>20</v>
      </c>
      <c r="E243" s="11"/>
      <c r="F243" s="60" t="s">
        <v>290</v>
      </c>
      <c r="G243" s="44" t="s">
        <v>110</v>
      </c>
      <c r="H243" s="45">
        <v>121</v>
      </c>
      <c r="I243" s="47">
        <v>185</v>
      </c>
      <c r="J243" s="48">
        <f>H243*I243</f>
        <v>22385</v>
      </c>
      <c r="K243" s="10">
        <v>1</v>
      </c>
    </row>
    <row r="244" spans="1:11" x14ac:dyDescent="0.35">
      <c r="A244" s="11" t="s">
        <v>93</v>
      </c>
      <c r="B244" s="11" t="s">
        <v>277</v>
      </c>
      <c r="C244" s="11"/>
      <c r="D244" s="11" t="s">
        <v>26</v>
      </c>
      <c r="E244" s="11"/>
      <c r="F244" s="60" t="s">
        <v>291</v>
      </c>
      <c r="G244" s="44" t="s">
        <v>175</v>
      </c>
      <c r="H244" s="45">
        <v>2</v>
      </c>
      <c r="I244" s="47">
        <v>850</v>
      </c>
      <c r="J244" s="48">
        <f>H244*I244</f>
        <v>1700</v>
      </c>
      <c r="K244" s="10">
        <v>1</v>
      </c>
    </row>
    <row r="245" spans="1:11" s="107" customFormat="1" ht="13" x14ac:dyDescent="0.35">
      <c r="A245" s="11" t="s">
        <v>93</v>
      </c>
      <c r="B245" s="11" t="s">
        <v>277</v>
      </c>
      <c r="C245" s="11"/>
      <c r="D245" s="99"/>
      <c r="E245" s="99"/>
      <c r="F245" s="100" t="s">
        <v>292</v>
      </c>
      <c r="G245" s="101"/>
      <c r="H245" s="102"/>
      <c r="I245" s="104"/>
      <c r="J245" s="105"/>
      <c r="K245" s="10">
        <v>1</v>
      </c>
    </row>
    <row r="246" spans="1:11" x14ac:dyDescent="0.35">
      <c r="A246" s="11" t="s">
        <v>93</v>
      </c>
      <c r="B246" s="11" t="s">
        <v>277</v>
      </c>
      <c r="C246" s="11"/>
      <c r="D246" s="89" t="s">
        <v>29</v>
      </c>
      <c r="E246" s="89"/>
      <c r="F246" s="108" t="s">
        <v>293</v>
      </c>
      <c r="G246" s="91" t="s">
        <v>186</v>
      </c>
      <c r="H246" s="92">
        <v>72</v>
      </c>
      <c r="I246" s="94">
        <v>85</v>
      </c>
      <c r="J246" s="95">
        <f>H246*I246</f>
        <v>6120</v>
      </c>
      <c r="K246" s="10">
        <v>1</v>
      </c>
    </row>
    <row r="247" spans="1:11" ht="13" x14ac:dyDescent="0.35">
      <c r="A247" s="11" t="s">
        <v>93</v>
      </c>
      <c r="B247" s="11" t="s">
        <v>277</v>
      </c>
      <c r="C247" s="11"/>
      <c r="D247" s="11"/>
      <c r="E247" s="11"/>
      <c r="F247" s="57" t="s">
        <v>294</v>
      </c>
      <c r="G247" s="44"/>
      <c r="H247" s="45"/>
      <c r="I247" s="47"/>
      <c r="J247" s="48"/>
      <c r="K247" s="10">
        <v>1</v>
      </c>
    </row>
    <row r="248" spans="1:11" ht="26" x14ac:dyDescent="0.35">
      <c r="A248" s="11" t="s">
        <v>93</v>
      </c>
      <c r="B248" s="11" t="s">
        <v>277</v>
      </c>
      <c r="C248" s="11"/>
      <c r="D248" s="11"/>
      <c r="E248" s="11"/>
      <c r="F248" s="57" t="s">
        <v>295</v>
      </c>
      <c r="G248" s="44"/>
      <c r="H248" s="45"/>
      <c r="I248" s="47"/>
      <c r="J248" s="48"/>
      <c r="K248" s="10">
        <v>1</v>
      </c>
    </row>
    <row r="249" spans="1:11" ht="14.5" x14ac:dyDescent="0.35">
      <c r="A249" s="11" t="s">
        <v>93</v>
      </c>
      <c r="B249" s="11" t="s">
        <v>277</v>
      </c>
      <c r="C249" s="11"/>
      <c r="D249" s="11" t="s">
        <v>32</v>
      </c>
      <c r="E249" s="11"/>
      <c r="F249" s="60" t="s">
        <v>296</v>
      </c>
      <c r="G249" s="44" t="s">
        <v>110</v>
      </c>
      <c r="H249" s="45">
        <f>H243</f>
        <v>121</v>
      </c>
      <c r="I249" s="47">
        <v>185</v>
      </c>
      <c r="J249" s="48">
        <f>H249*I249</f>
        <v>22385</v>
      </c>
      <c r="K249" s="10">
        <v>1</v>
      </c>
    </row>
    <row r="250" spans="1:11" ht="13" x14ac:dyDescent="0.35">
      <c r="A250" s="11" t="s">
        <v>93</v>
      </c>
      <c r="B250" s="11" t="s">
        <v>297</v>
      </c>
      <c r="C250" s="11"/>
      <c r="D250" s="11"/>
      <c r="E250" s="11"/>
      <c r="F250" s="43" t="s">
        <v>95</v>
      </c>
      <c r="G250" s="44"/>
      <c r="H250" s="45"/>
      <c r="I250" s="47"/>
      <c r="J250" s="48"/>
      <c r="K250" s="10">
        <v>1</v>
      </c>
    </row>
    <row r="251" spans="1:11" ht="13" x14ac:dyDescent="0.35">
      <c r="A251" s="11" t="s">
        <v>93</v>
      </c>
      <c r="B251" s="11" t="s">
        <v>297</v>
      </c>
      <c r="C251" s="11"/>
      <c r="D251" s="11"/>
      <c r="E251" s="11"/>
      <c r="F251" s="43" t="s">
        <v>96</v>
      </c>
      <c r="G251" s="44"/>
      <c r="H251" s="45"/>
      <c r="I251" s="47"/>
      <c r="J251" s="48"/>
      <c r="K251" s="10">
        <v>1</v>
      </c>
    </row>
    <row r="252" spans="1:11" ht="13" x14ac:dyDescent="0.35">
      <c r="A252" s="11" t="s">
        <v>93</v>
      </c>
      <c r="B252" s="11" t="s">
        <v>297</v>
      </c>
      <c r="C252" s="11"/>
      <c r="D252" s="11"/>
      <c r="E252" s="11"/>
      <c r="F252" s="43" t="s">
        <v>298</v>
      </c>
      <c r="G252" s="44"/>
      <c r="H252" s="45"/>
      <c r="I252" s="47"/>
      <c r="J252" s="48"/>
      <c r="K252" s="10">
        <v>1</v>
      </c>
    </row>
    <row r="253" spans="1:11" ht="13" x14ac:dyDescent="0.35">
      <c r="A253" s="11" t="s">
        <v>93</v>
      </c>
      <c r="B253" s="11" t="s">
        <v>297</v>
      </c>
      <c r="C253" s="11"/>
      <c r="D253" s="11"/>
      <c r="E253" s="11"/>
      <c r="F253" s="43" t="s">
        <v>299</v>
      </c>
      <c r="G253" s="44"/>
      <c r="H253" s="45"/>
      <c r="I253" s="47"/>
      <c r="J253" s="48"/>
      <c r="K253" s="10">
        <v>1</v>
      </c>
    </row>
    <row r="254" spans="1:11" ht="13" x14ac:dyDescent="0.35">
      <c r="A254" s="11" t="s">
        <v>93</v>
      </c>
      <c r="B254" s="11" t="s">
        <v>297</v>
      </c>
      <c r="C254" s="11"/>
      <c r="D254" s="11"/>
      <c r="E254" s="11"/>
      <c r="F254" s="57" t="s">
        <v>100</v>
      </c>
      <c r="G254" s="44"/>
      <c r="H254" s="45"/>
      <c r="I254" s="47"/>
      <c r="J254" s="48"/>
      <c r="K254" s="10">
        <v>1</v>
      </c>
    </row>
    <row r="255" spans="1:11" x14ac:dyDescent="0.35">
      <c r="A255" s="11" t="s">
        <v>93</v>
      </c>
      <c r="B255" s="11" t="s">
        <v>297</v>
      </c>
      <c r="C255" s="11"/>
      <c r="D255" s="11"/>
      <c r="E255" s="11"/>
      <c r="F255" s="60" t="s">
        <v>101</v>
      </c>
      <c r="G255" s="44"/>
      <c r="H255" s="45"/>
      <c r="I255" s="47"/>
      <c r="J255" s="48"/>
      <c r="K255" s="10">
        <v>1</v>
      </c>
    </row>
    <row r="256" spans="1:11" ht="13" x14ac:dyDescent="0.35">
      <c r="A256" s="11" t="s">
        <v>93</v>
      </c>
      <c r="B256" s="11" t="s">
        <v>297</v>
      </c>
      <c r="C256" s="11"/>
      <c r="D256" s="11"/>
      <c r="E256" s="11"/>
      <c r="F256" s="57" t="s">
        <v>102</v>
      </c>
      <c r="G256" s="44"/>
      <c r="H256" s="45"/>
      <c r="I256" s="47"/>
      <c r="J256" s="48"/>
      <c r="K256" s="10">
        <v>1</v>
      </c>
    </row>
    <row r="257" spans="1:11" ht="50" x14ac:dyDescent="0.35">
      <c r="A257" s="11" t="s">
        <v>93</v>
      </c>
      <c r="B257" s="11" t="s">
        <v>297</v>
      </c>
      <c r="C257" s="11"/>
      <c r="D257" s="11"/>
      <c r="E257" s="11"/>
      <c r="F257" s="60" t="s">
        <v>300</v>
      </c>
      <c r="G257" s="44"/>
      <c r="H257" s="45"/>
      <c r="I257" s="47"/>
      <c r="J257" s="48"/>
      <c r="K257" s="10">
        <v>1</v>
      </c>
    </row>
    <row r="258" spans="1:11" ht="13" x14ac:dyDescent="0.35">
      <c r="A258" s="11" t="s">
        <v>93</v>
      </c>
      <c r="B258" s="11" t="s">
        <v>297</v>
      </c>
      <c r="C258" s="11"/>
      <c r="D258" s="11"/>
      <c r="E258" s="11"/>
      <c r="F258" s="57" t="s">
        <v>301</v>
      </c>
      <c r="G258" s="44"/>
      <c r="H258" s="45"/>
      <c r="I258" s="47"/>
      <c r="J258" s="48"/>
      <c r="K258" s="10">
        <v>1</v>
      </c>
    </row>
    <row r="259" spans="1:11" ht="26" x14ac:dyDescent="0.35">
      <c r="A259" s="11" t="s">
        <v>93</v>
      </c>
      <c r="B259" s="11" t="s">
        <v>297</v>
      </c>
      <c r="C259" s="11"/>
      <c r="D259" s="11"/>
      <c r="E259" s="11"/>
      <c r="F259" s="109" t="s">
        <v>302</v>
      </c>
      <c r="G259" s="44"/>
      <c r="H259" s="45"/>
      <c r="I259" s="47"/>
      <c r="J259" s="48"/>
      <c r="K259" s="10">
        <v>1</v>
      </c>
    </row>
    <row r="260" spans="1:11" ht="14.5" x14ac:dyDescent="0.35">
      <c r="A260" s="11" t="s">
        <v>93</v>
      </c>
      <c r="B260" s="11" t="s">
        <v>297</v>
      </c>
      <c r="C260" s="11"/>
      <c r="D260" s="11" t="s">
        <v>20</v>
      </c>
      <c r="E260" s="11"/>
      <c r="F260" s="67" t="s">
        <v>303</v>
      </c>
      <c r="G260" s="110" t="s">
        <v>110</v>
      </c>
      <c r="H260" s="45">
        <v>121</v>
      </c>
      <c r="I260" s="47">
        <v>400</v>
      </c>
      <c r="J260" s="48">
        <f>H260*I260</f>
        <v>48400</v>
      </c>
      <c r="K260" s="10">
        <v>1</v>
      </c>
    </row>
    <row r="261" spans="1:11" ht="13" x14ac:dyDescent="0.35">
      <c r="A261" s="11" t="s">
        <v>93</v>
      </c>
      <c r="B261" s="11" t="s">
        <v>297</v>
      </c>
      <c r="C261" s="11"/>
      <c r="D261" s="11"/>
      <c r="E261" s="11"/>
      <c r="F261" s="57" t="s">
        <v>304</v>
      </c>
      <c r="G261" s="110"/>
      <c r="H261" s="45"/>
      <c r="I261" s="47"/>
      <c r="J261" s="48"/>
      <c r="K261" s="10">
        <v>1</v>
      </c>
    </row>
    <row r="262" spans="1:11" ht="14.5" x14ac:dyDescent="0.25">
      <c r="A262" s="11" t="s">
        <v>93</v>
      </c>
      <c r="B262" s="11" t="s">
        <v>297</v>
      </c>
      <c r="C262" s="11"/>
      <c r="D262" s="11" t="s">
        <v>26</v>
      </c>
      <c r="E262" s="11"/>
      <c r="F262" s="111" t="s">
        <v>305</v>
      </c>
      <c r="G262" s="110" t="s">
        <v>110</v>
      </c>
      <c r="H262" s="45">
        <f>H260</f>
        <v>121</v>
      </c>
      <c r="I262" s="47">
        <v>35</v>
      </c>
      <c r="J262" s="48">
        <f>H262*I262</f>
        <v>4235</v>
      </c>
      <c r="K262" s="10">
        <v>1</v>
      </c>
    </row>
    <row r="263" spans="1:11" ht="13" x14ac:dyDescent="0.35">
      <c r="A263" s="11" t="s">
        <v>93</v>
      </c>
      <c r="B263" s="11" t="s">
        <v>306</v>
      </c>
      <c r="C263" s="11"/>
      <c r="D263" s="11"/>
      <c r="E263" s="11"/>
      <c r="F263" s="43" t="s">
        <v>95</v>
      </c>
      <c r="G263" s="44"/>
      <c r="H263" s="45"/>
      <c r="I263" s="47"/>
      <c r="J263" s="48"/>
      <c r="K263" s="10">
        <v>1</v>
      </c>
    </row>
    <row r="264" spans="1:11" ht="13" x14ac:dyDescent="0.35">
      <c r="A264" s="11" t="s">
        <v>93</v>
      </c>
      <c r="B264" s="11" t="s">
        <v>306</v>
      </c>
      <c r="C264" s="11"/>
      <c r="D264" s="11"/>
      <c r="E264" s="11"/>
      <c r="F264" s="43" t="s">
        <v>96</v>
      </c>
      <c r="G264" s="44"/>
      <c r="H264" s="45"/>
      <c r="I264" s="47"/>
      <c r="J264" s="48"/>
      <c r="K264" s="10">
        <v>1</v>
      </c>
    </row>
    <row r="265" spans="1:11" ht="13" x14ac:dyDescent="0.35">
      <c r="A265" s="11" t="s">
        <v>93</v>
      </c>
      <c r="B265" s="11" t="s">
        <v>306</v>
      </c>
      <c r="C265" s="11"/>
      <c r="D265" s="11"/>
      <c r="E265" s="11"/>
      <c r="F265" s="43" t="s">
        <v>307</v>
      </c>
      <c r="G265" s="44"/>
      <c r="H265" s="45"/>
      <c r="I265" s="47"/>
      <c r="J265" s="48"/>
      <c r="K265" s="10">
        <v>1</v>
      </c>
    </row>
    <row r="266" spans="1:11" ht="13" x14ac:dyDescent="0.35">
      <c r="A266" s="11" t="s">
        <v>93</v>
      </c>
      <c r="B266" s="11" t="s">
        <v>306</v>
      </c>
      <c r="C266" s="11"/>
      <c r="D266" s="89"/>
      <c r="E266" s="89"/>
      <c r="F266" s="100" t="s">
        <v>308</v>
      </c>
      <c r="G266" s="91"/>
      <c r="H266" s="92"/>
      <c r="I266" s="94"/>
      <c r="J266" s="95"/>
      <c r="K266" s="10">
        <v>1</v>
      </c>
    </row>
    <row r="267" spans="1:11" ht="13" x14ac:dyDescent="0.35">
      <c r="A267" s="11" t="s">
        <v>93</v>
      </c>
      <c r="B267" s="11" t="s">
        <v>306</v>
      </c>
      <c r="C267" s="11"/>
      <c r="D267" s="89"/>
      <c r="E267" s="89"/>
      <c r="F267" s="90" t="s">
        <v>100</v>
      </c>
      <c r="G267" s="91"/>
      <c r="H267" s="92"/>
      <c r="I267" s="94"/>
      <c r="J267" s="95"/>
      <c r="K267" s="10">
        <v>1</v>
      </c>
    </row>
    <row r="268" spans="1:11" x14ac:dyDescent="0.35">
      <c r="A268" s="11" t="s">
        <v>93</v>
      </c>
      <c r="B268" s="11" t="s">
        <v>306</v>
      </c>
      <c r="C268" s="11"/>
      <c r="D268" s="89"/>
      <c r="E268" s="89"/>
      <c r="F268" s="108" t="s">
        <v>101</v>
      </c>
      <c r="G268" s="91"/>
      <c r="H268" s="92"/>
      <c r="I268" s="94"/>
      <c r="J268" s="95"/>
      <c r="K268" s="10">
        <v>1</v>
      </c>
    </row>
    <row r="269" spans="1:11" ht="13" x14ac:dyDescent="0.35">
      <c r="A269" s="11" t="s">
        <v>93</v>
      </c>
      <c r="B269" s="11" t="s">
        <v>306</v>
      </c>
      <c r="C269" s="11"/>
      <c r="D269" s="89"/>
      <c r="E269" s="89"/>
      <c r="F269" s="100" t="s">
        <v>309</v>
      </c>
      <c r="G269" s="91"/>
      <c r="H269" s="92"/>
      <c r="I269" s="94"/>
      <c r="J269" s="95"/>
      <c r="K269" s="10">
        <v>1</v>
      </c>
    </row>
    <row r="270" spans="1:11" x14ac:dyDescent="0.35">
      <c r="A270" s="11" t="s">
        <v>93</v>
      </c>
      <c r="B270" s="11" t="s">
        <v>306</v>
      </c>
      <c r="C270" s="11"/>
      <c r="D270" s="89" t="s">
        <v>20</v>
      </c>
      <c r="E270" s="89"/>
      <c r="F270" s="108" t="s">
        <v>310</v>
      </c>
      <c r="G270" s="91" t="s">
        <v>175</v>
      </c>
      <c r="H270" s="92">
        <v>6</v>
      </c>
      <c r="I270" s="94">
        <v>200</v>
      </c>
      <c r="J270" s="95">
        <f>H270*I270</f>
        <v>1200</v>
      </c>
      <c r="K270" s="10">
        <v>1</v>
      </c>
    </row>
    <row r="271" spans="1:11" x14ac:dyDescent="0.35">
      <c r="A271" s="11" t="s">
        <v>93</v>
      </c>
      <c r="B271" s="11" t="s">
        <v>306</v>
      </c>
      <c r="C271" s="11"/>
      <c r="D271" s="89" t="s">
        <v>26</v>
      </c>
      <c r="E271" s="89"/>
      <c r="F271" s="108" t="s">
        <v>311</v>
      </c>
      <c r="G271" s="91" t="s">
        <v>175</v>
      </c>
      <c r="H271" s="92">
        <v>6</v>
      </c>
      <c r="I271" s="94">
        <v>200</v>
      </c>
      <c r="J271" s="95">
        <f>H271*I271</f>
        <v>1200</v>
      </c>
      <c r="K271" s="10">
        <v>1</v>
      </c>
    </row>
    <row r="272" spans="1:11" ht="13" x14ac:dyDescent="0.35">
      <c r="A272" s="11" t="s">
        <v>93</v>
      </c>
      <c r="B272" s="11" t="s">
        <v>306</v>
      </c>
      <c r="C272" s="11"/>
      <c r="D272" s="89"/>
      <c r="E272" s="89"/>
      <c r="F272" s="90" t="s">
        <v>312</v>
      </c>
      <c r="G272" s="91"/>
      <c r="H272" s="92"/>
      <c r="I272" s="94"/>
      <c r="J272" s="95"/>
      <c r="K272" s="10">
        <v>1</v>
      </c>
    </row>
    <row r="273" spans="1:11" x14ac:dyDescent="0.35">
      <c r="A273" s="11" t="s">
        <v>93</v>
      </c>
      <c r="B273" s="11" t="s">
        <v>306</v>
      </c>
      <c r="C273" s="11"/>
      <c r="D273" s="89" t="s">
        <v>29</v>
      </c>
      <c r="E273" s="89"/>
      <c r="F273" s="98" t="s">
        <v>313</v>
      </c>
      <c r="G273" s="112" t="s">
        <v>175</v>
      </c>
      <c r="H273" s="45">
        <v>3</v>
      </c>
      <c r="I273" s="94">
        <v>400</v>
      </c>
      <c r="J273" s="95">
        <f>H273*I273</f>
        <v>1200</v>
      </c>
      <c r="K273" s="10">
        <v>1</v>
      </c>
    </row>
    <row r="274" spans="1:11" x14ac:dyDescent="0.35">
      <c r="A274" s="11" t="s">
        <v>93</v>
      </c>
      <c r="B274" s="11" t="s">
        <v>306</v>
      </c>
      <c r="C274" s="11"/>
      <c r="D274" s="89" t="s">
        <v>32</v>
      </c>
      <c r="E274" s="89"/>
      <c r="F274" s="108" t="s">
        <v>314</v>
      </c>
      <c r="G274" s="112" t="s">
        <v>175</v>
      </c>
      <c r="H274" s="45">
        <v>3</v>
      </c>
      <c r="I274" s="94">
        <v>550</v>
      </c>
      <c r="J274" s="95">
        <f>H274*I274</f>
        <v>1650</v>
      </c>
      <c r="K274" s="10">
        <v>1</v>
      </c>
    </row>
    <row r="275" spans="1:11" x14ac:dyDescent="0.35">
      <c r="A275" s="11" t="s">
        <v>93</v>
      </c>
      <c r="B275" s="11" t="s">
        <v>306</v>
      </c>
      <c r="C275" s="11"/>
      <c r="D275" s="89" t="s">
        <v>36</v>
      </c>
      <c r="E275" s="89"/>
      <c r="F275" s="108" t="s">
        <v>315</v>
      </c>
      <c r="G275" s="112" t="s">
        <v>175</v>
      </c>
      <c r="H275" s="45">
        <v>3</v>
      </c>
      <c r="I275" s="94">
        <v>650</v>
      </c>
      <c r="J275" s="95">
        <f>H275*I275</f>
        <v>1950</v>
      </c>
      <c r="K275" s="10">
        <v>1</v>
      </c>
    </row>
    <row r="276" spans="1:11" ht="13" x14ac:dyDescent="0.35">
      <c r="A276" s="11" t="s">
        <v>93</v>
      </c>
      <c r="B276" s="11" t="s">
        <v>306</v>
      </c>
      <c r="C276" s="11"/>
      <c r="D276" s="89"/>
      <c r="E276" s="89"/>
      <c r="F276" s="90" t="s">
        <v>316</v>
      </c>
      <c r="G276" s="112"/>
      <c r="H276" s="45"/>
      <c r="I276" s="94"/>
      <c r="J276" s="95"/>
      <c r="K276" s="10">
        <v>1</v>
      </c>
    </row>
    <row r="277" spans="1:11" x14ac:dyDescent="0.35">
      <c r="A277" s="11" t="s">
        <v>93</v>
      </c>
      <c r="B277" s="11" t="s">
        <v>306</v>
      </c>
      <c r="C277" s="11"/>
      <c r="D277" s="89" t="s">
        <v>39</v>
      </c>
      <c r="E277" s="89"/>
      <c r="F277" s="108" t="s">
        <v>317</v>
      </c>
      <c r="G277" s="112" t="s">
        <v>175</v>
      </c>
      <c r="H277" s="45">
        <v>3</v>
      </c>
      <c r="I277" s="94">
        <v>650</v>
      </c>
      <c r="J277" s="95">
        <f>H277*I277</f>
        <v>1950</v>
      </c>
      <c r="K277" s="10">
        <v>1</v>
      </c>
    </row>
    <row r="278" spans="1:11" x14ac:dyDescent="0.35">
      <c r="A278" s="11" t="s">
        <v>93</v>
      </c>
      <c r="B278" s="11" t="s">
        <v>306</v>
      </c>
      <c r="C278" s="11"/>
      <c r="D278" s="89" t="s">
        <v>42</v>
      </c>
      <c r="E278" s="89"/>
      <c r="F278" s="108" t="s">
        <v>318</v>
      </c>
      <c r="G278" s="112" t="s">
        <v>175</v>
      </c>
      <c r="H278" s="45">
        <v>3</v>
      </c>
      <c r="I278" s="94">
        <v>650</v>
      </c>
      <c r="J278" s="95">
        <f>H278*I278</f>
        <v>1950</v>
      </c>
      <c r="K278" s="10">
        <v>1</v>
      </c>
    </row>
    <row r="279" spans="1:11" ht="13" x14ac:dyDescent="0.35">
      <c r="A279" s="11" t="s">
        <v>93</v>
      </c>
      <c r="B279" s="11" t="s">
        <v>306</v>
      </c>
      <c r="C279" s="11"/>
      <c r="D279" s="89"/>
      <c r="E279" s="89"/>
      <c r="F279" s="90" t="s">
        <v>319</v>
      </c>
      <c r="G279" s="112"/>
      <c r="H279" s="45"/>
      <c r="I279" s="94"/>
      <c r="J279" s="95"/>
      <c r="K279" s="10">
        <v>1</v>
      </c>
    </row>
    <row r="280" spans="1:11" x14ac:dyDescent="0.35">
      <c r="A280" s="11" t="s">
        <v>93</v>
      </c>
      <c r="B280" s="11" t="s">
        <v>306</v>
      </c>
      <c r="C280" s="11"/>
      <c r="D280" s="89" t="s">
        <v>45</v>
      </c>
      <c r="E280" s="89"/>
      <c r="F280" s="108" t="s">
        <v>320</v>
      </c>
      <c r="G280" s="112" t="s">
        <v>175</v>
      </c>
      <c r="H280" s="45">
        <v>3</v>
      </c>
      <c r="I280" s="94">
        <v>80</v>
      </c>
      <c r="J280" s="95">
        <f>H280*I280</f>
        <v>240</v>
      </c>
      <c r="K280" s="10">
        <v>1</v>
      </c>
    </row>
    <row r="281" spans="1:11" ht="13" x14ac:dyDescent="0.35">
      <c r="A281" s="11" t="s">
        <v>93</v>
      </c>
      <c r="B281" s="11" t="s">
        <v>306</v>
      </c>
      <c r="C281" s="11"/>
      <c r="D281" s="89"/>
      <c r="E281" s="89"/>
      <c r="F281" s="90" t="s">
        <v>321</v>
      </c>
      <c r="G281" s="112"/>
      <c r="H281" s="45"/>
      <c r="I281" s="94"/>
      <c r="J281" s="95"/>
      <c r="K281" s="10">
        <v>1</v>
      </c>
    </row>
    <row r="282" spans="1:11" ht="50" x14ac:dyDescent="0.35">
      <c r="A282" s="11" t="s">
        <v>93</v>
      </c>
      <c r="B282" s="11" t="s">
        <v>306</v>
      </c>
      <c r="C282" s="11"/>
      <c r="D282" s="89"/>
      <c r="E282" s="89"/>
      <c r="F282" s="108" t="s">
        <v>322</v>
      </c>
      <c r="G282" s="112"/>
      <c r="H282" s="45"/>
      <c r="I282" s="94"/>
      <c r="J282" s="95"/>
      <c r="K282" s="10">
        <v>1</v>
      </c>
    </row>
    <row r="283" spans="1:11" ht="37.5" x14ac:dyDescent="0.35">
      <c r="A283" s="11" t="s">
        <v>93</v>
      </c>
      <c r="B283" s="11" t="s">
        <v>306</v>
      </c>
      <c r="C283" s="11"/>
      <c r="D283" s="89" t="s">
        <v>48</v>
      </c>
      <c r="E283" s="89"/>
      <c r="F283" s="108" t="s">
        <v>323</v>
      </c>
      <c r="G283" s="112" t="s">
        <v>175</v>
      </c>
      <c r="H283" s="45">
        <v>10</v>
      </c>
      <c r="I283" s="94">
        <v>8500</v>
      </c>
      <c r="J283" s="95">
        <f>H283*I283</f>
        <v>85000</v>
      </c>
      <c r="K283" s="10">
        <v>1</v>
      </c>
    </row>
    <row r="284" spans="1:11" x14ac:dyDescent="0.35">
      <c r="A284" s="11" t="s">
        <v>93</v>
      </c>
      <c r="B284" s="11" t="s">
        <v>306</v>
      </c>
      <c r="C284" s="11"/>
      <c r="D284" s="89" t="s">
        <v>51</v>
      </c>
      <c r="E284" s="89"/>
      <c r="F284" s="108" t="s">
        <v>324</v>
      </c>
      <c r="G284" s="112" t="s">
        <v>175</v>
      </c>
      <c r="H284" s="45">
        <v>7</v>
      </c>
      <c r="I284" s="94">
        <v>5500</v>
      </c>
      <c r="J284" s="95">
        <f>H284*I284</f>
        <v>38500</v>
      </c>
      <c r="K284" s="10">
        <v>1</v>
      </c>
    </row>
    <row r="285" spans="1:11" ht="13" x14ac:dyDescent="0.35">
      <c r="A285" s="11" t="s">
        <v>93</v>
      </c>
      <c r="B285" s="11" t="s">
        <v>306</v>
      </c>
      <c r="C285" s="11"/>
      <c r="D285" s="89"/>
      <c r="E285" s="89"/>
      <c r="F285" s="90" t="s">
        <v>325</v>
      </c>
      <c r="G285" s="112"/>
      <c r="H285" s="45"/>
      <c r="I285" s="94"/>
      <c r="J285" s="95"/>
      <c r="K285" s="10">
        <v>1</v>
      </c>
    </row>
    <row r="286" spans="1:11" ht="37.5" x14ac:dyDescent="0.35">
      <c r="A286" s="11" t="s">
        <v>93</v>
      </c>
      <c r="B286" s="11" t="s">
        <v>306</v>
      </c>
      <c r="C286" s="11"/>
      <c r="D286" s="89" t="s">
        <v>53</v>
      </c>
      <c r="E286" s="89"/>
      <c r="F286" s="108" t="s">
        <v>326</v>
      </c>
      <c r="G286" s="112" t="s">
        <v>175</v>
      </c>
      <c r="H286" s="45">
        <v>1</v>
      </c>
      <c r="I286" s="94">
        <v>8000</v>
      </c>
      <c r="J286" s="95">
        <f>H286*I286</f>
        <v>8000</v>
      </c>
      <c r="K286" s="10">
        <v>1</v>
      </c>
    </row>
    <row r="287" spans="1:11" ht="13" x14ac:dyDescent="0.3">
      <c r="A287" s="11" t="s">
        <v>93</v>
      </c>
      <c r="B287" s="11" t="s">
        <v>306</v>
      </c>
      <c r="C287" s="11"/>
      <c r="D287" s="89"/>
      <c r="E287" s="89"/>
      <c r="F287" s="97" t="s">
        <v>327</v>
      </c>
      <c r="G287" s="112"/>
      <c r="H287" s="45"/>
      <c r="I287" s="94"/>
      <c r="J287" s="95"/>
      <c r="K287" s="10">
        <v>1</v>
      </c>
    </row>
    <row r="288" spans="1:11" ht="25" x14ac:dyDescent="0.25">
      <c r="A288" s="11" t="s">
        <v>93</v>
      </c>
      <c r="B288" s="11" t="s">
        <v>306</v>
      </c>
      <c r="C288" s="11"/>
      <c r="D288" s="89"/>
      <c r="E288" s="89"/>
      <c r="F288" s="113" t="s">
        <v>328</v>
      </c>
      <c r="G288" s="112"/>
      <c r="H288" s="45"/>
      <c r="I288" s="94"/>
      <c r="J288" s="95"/>
      <c r="K288" s="10">
        <v>1</v>
      </c>
    </row>
    <row r="289" spans="1:11" x14ac:dyDescent="0.25">
      <c r="A289" s="11" t="s">
        <v>93</v>
      </c>
      <c r="B289" s="11" t="s">
        <v>306</v>
      </c>
      <c r="C289" s="11"/>
      <c r="D289" s="89" t="s">
        <v>55</v>
      </c>
      <c r="E289" s="89"/>
      <c r="F289" s="113" t="s">
        <v>329</v>
      </c>
      <c r="G289" s="112" t="s">
        <v>175</v>
      </c>
      <c r="H289" s="45">
        <v>0</v>
      </c>
      <c r="I289" s="94">
        <v>10000</v>
      </c>
      <c r="J289" s="95">
        <f>H289*I289</f>
        <v>0</v>
      </c>
      <c r="K289" s="10">
        <v>1</v>
      </c>
    </row>
    <row r="290" spans="1:11" ht="13" x14ac:dyDescent="0.35">
      <c r="A290" s="11" t="s">
        <v>93</v>
      </c>
      <c r="B290" s="11" t="s">
        <v>330</v>
      </c>
      <c r="C290" s="11"/>
      <c r="D290" s="99"/>
      <c r="E290" s="114"/>
      <c r="F290" s="115" t="s">
        <v>95</v>
      </c>
      <c r="G290" s="44"/>
      <c r="H290" s="116"/>
      <c r="I290" s="47"/>
      <c r="J290" s="48"/>
      <c r="K290" s="10">
        <v>1</v>
      </c>
    </row>
    <row r="291" spans="1:11" ht="13" x14ac:dyDescent="0.35">
      <c r="A291" s="11" t="s">
        <v>93</v>
      </c>
      <c r="B291" s="11" t="s">
        <v>330</v>
      </c>
      <c r="C291" s="11"/>
      <c r="D291" s="99"/>
      <c r="E291" s="114"/>
      <c r="F291" s="43" t="s">
        <v>96</v>
      </c>
      <c r="G291" s="44"/>
      <c r="H291" s="116"/>
      <c r="I291" s="47"/>
      <c r="J291" s="48"/>
      <c r="K291" s="10">
        <v>1</v>
      </c>
    </row>
    <row r="292" spans="1:11" ht="13" x14ac:dyDescent="0.35">
      <c r="A292" s="11" t="s">
        <v>93</v>
      </c>
      <c r="B292" s="11" t="s">
        <v>330</v>
      </c>
      <c r="C292" s="11"/>
      <c r="D292" s="99"/>
      <c r="E292" s="114"/>
      <c r="F292" s="100" t="s">
        <v>331</v>
      </c>
      <c r="G292" s="44"/>
      <c r="H292" s="116"/>
      <c r="I292" s="47"/>
      <c r="J292" s="48"/>
      <c r="K292" s="10">
        <v>1</v>
      </c>
    </row>
    <row r="293" spans="1:11" ht="13" x14ac:dyDescent="0.35">
      <c r="A293" s="11" t="s">
        <v>93</v>
      </c>
      <c r="B293" s="11" t="s">
        <v>330</v>
      </c>
      <c r="C293" s="11"/>
      <c r="D293" s="99"/>
      <c r="E293" s="114"/>
      <c r="F293" s="43" t="s">
        <v>332</v>
      </c>
      <c r="G293" s="44"/>
      <c r="H293" s="116"/>
      <c r="I293" s="47"/>
      <c r="J293" s="48"/>
      <c r="K293" s="10">
        <v>1</v>
      </c>
    </row>
    <row r="294" spans="1:11" ht="13" x14ac:dyDescent="0.35">
      <c r="A294" s="11" t="s">
        <v>93</v>
      </c>
      <c r="B294" s="11" t="s">
        <v>330</v>
      </c>
      <c r="C294" s="11"/>
      <c r="D294" s="99"/>
      <c r="E294" s="114"/>
      <c r="F294" s="57" t="s">
        <v>100</v>
      </c>
      <c r="G294" s="44"/>
      <c r="H294" s="116"/>
      <c r="I294" s="47"/>
      <c r="J294" s="48"/>
      <c r="K294" s="10">
        <v>1</v>
      </c>
    </row>
    <row r="295" spans="1:11" ht="13" x14ac:dyDescent="0.35">
      <c r="A295" s="11" t="s">
        <v>93</v>
      </c>
      <c r="B295" s="11" t="s">
        <v>330</v>
      </c>
      <c r="C295" s="11"/>
      <c r="D295" s="99"/>
      <c r="E295" s="114"/>
      <c r="F295" s="60" t="s">
        <v>101</v>
      </c>
      <c r="G295" s="44"/>
      <c r="H295" s="116"/>
      <c r="I295" s="47"/>
      <c r="J295" s="48"/>
      <c r="K295" s="10">
        <v>1</v>
      </c>
    </row>
    <row r="296" spans="1:11" ht="13" x14ac:dyDescent="0.35">
      <c r="A296" s="11" t="s">
        <v>93</v>
      </c>
      <c r="B296" s="11" t="s">
        <v>330</v>
      </c>
      <c r="C296" s="11"/>
      <c r="D296" s="99"/>
      <c r="E296" s="114"/>
      <c r="F296" s="57" t="s">
        <v>333</v>
      </c>
      <c r="G296" s="44"/>
      <c r="H296" s="116"/>
      <c r="I296" s="47"/>
      <c r="J296" s="48"/>
      <c r="K296" s="10">
        <v>1</v>
      </c>
    </row>
    <row r="297" spans="1:11" ht="25" x14ac:dyDescent="0.35">
      <c r="A297" s="11" t="s">
        <v>93</v>
      </c>
      <c r="B297" s="11" t="s">
        <v>330</v>
      </c>
      <c r="C297" s="11"/>
      <c r="D297" s="99"/>
      <c r="E297" s="114"/>
      <c r="F297" s="60" t="s">
        <v>334</v>
      </c>
      <c r="G297" s="44"/>
      <c r="H297" s="117"/>
      <c r="I297" s="47"/>
      <c r="J297" s="48"/>
      <c r="K297" s="10">
        <v>1</v>
      </c>
    </row>
    <row r="298" spans="1:11" ht="13" x14ac:dyDescent="0.35">
      <c r="A298" s="11" t="s">
        <v>93</v>
      </c>
      <c r="B298" s="11" t="s">
        <v>330</v>
      </c>
      <c r="C298" s="11"/>
      <c r="D298" s="99"/>
      <c r="E298" s="114"/>
      <c r="F298" s="62" t="s">
        <v>335</v>
      </c>
      <c r="G298" s="44"/>
      <c r="H298" s="116"/>
      <c r="I298" s="47"/>
      <c r="J298" s="48"/>
      <c r="K298" s="10">
        <v>1</v>
      </c>
    </row>
    <row r="299" spans="1:11" ht="37.5" x14ac:dyDescent="0.35">
      <c r="A299" s="11" t="s">
        <v>93</v>
      </c>
      <c r="B299" s="11" t="s">
        <v>330</v>
      </c>
      <c r="C299" s="11"/>
      <c r="D299" s="99"/>
      <c r="E299" s="114"/>
      <c r="F299" s="62" t="s">
        <v>336</v>
      </c>
      <c r="G299" s="44"/>
      <c r="H299" s="116"/>
      <c r="I299" s="47"/>
      <c r="J299" s="48"/>
      <c r="K299" s="10">
        <v>1</v>
      </c>
    </row>
    <row r="300" spans="1:11" ht="13" x14ac:dyDescent="0.35">
      <c r="A300" s="11" t="s">
        <v>93</v>
      </c>
      <c r="B300" s="11" t="s">
        <v>330</v>
      </c>
      <c r="C300" s="11"/>
      <c r="D300" s="99"/>
      <c r="E300" s="114"/>
      <c r="F300" s="57" t="s">
        <v>337</v>
      </c>
      <c r="G300" s="44"/>
      <c r="H300" s="119"/>
      <c r="I300" s="121"/>
      <c r="J300" s="48"/>
      <c r="K300" s="10">
        <v>1</v>
      </c>
    </row>
    <row r="301" spans="1:11" ht="37.5" x14ac:dyDescent="0.35">
      <c r="A301" s="11" t="s">
        <v>93</v>
      </c>
      <c r="B301" s="11" t="s">
        <v>330</v>
      </c>
      <c r="C301" s="11"/>
      <c r="D301" s="89" t="s">
        <v>20</v>
      </c>
      <c r="E301" s="114"/>
      <c r="F301" s="60" t="s">
        <v>338</v>
      </c>
      <c r="G301" s="44" t="s">
        <v>110</v>
      </c>
      <c r="H301" s="122">
        <v>171</v>
      </c>
      <c r="I301" s="121">
        <v>665</v>
      </c>
      <c r="J301" s="48">
        <f>H301*I301</f>
        <v>113715</v>
      </c>
      <c r="K301" s="10">
        <v>1</v>
      </c>
    </row>
    <row r="302" spans="1:11" s="123" customFormat="1" ht="13" x14ac:dyDescent="0.35">
      <c r="A302" s="11" t="s">
        <v>93</v>
      </c>
      <c r="B302" s="11" t="s">
        <v>339</v>
      </c>
      <c r="C302" s="11"/>
      <c r="D302" s="89"/>
      <c r="E302" s="89"/>
      <c r="F302" s="115" t="s">
        <v>95</v>
      </c>
      <c r="G302" s="91"/>
      <c r="H302" s="92"/>
      <c r="I302" s="94"/>
      <c r="J302" s="105"/>
      <c r="K302" s="10">
        <v>1</v>
      </c>
    </row>
    <row r="303" spans="1:11" ht="13" x14ac:dyDescent="0.35">
      <c r="A303" s="11" t="s">
        <v>93</v>
      </c>
      <c r="B303" s="11" t="s">
        <v>339</v>
      </c>
      <c r="C303" s="11"/>
      <c r="D303" s="89"/>
      <c r="E303" s="89"/>
      <c r="F303" s="43" t="s">
        <v>96</v>
      </c>
      <c r="G303" s="91"/>
      <c r="H303" s="92"/>
      <c r="I303" s="94"/>
      <c r="J303" s="95"/>
      <c r="K303" s="10">
        <v>1</v>
      </c>
    </row>
    <row r="304" spans="1:11" ht="13" x14ac:dyDescent="0.35">
      <c r="A304" s="11" t="s">
        <v>93</v>
      </c>
      <c r="B304" s="11" t="s">
        <v>339</v>
      </c>
      <c r="C304" s="11"/>
      <c r="D304" s="89"/>
      <c r="E304" s="89"/>
      <c r="F304" s="100" t="s">
        <v>340</v>
      </c>
      <c r="G304" s="91"/>
      <c r="H304" s="92"/>
      <c r="I304" s="94"/>
      <c r="J304" s="95"/>
      <c r="K304" s="10">
        <v>1</v>
      </c>
    </row>
    <row r="305" spans="1:13" ht="13" x14ac:dyDescent="0.35">
      <c r="A305" s="11" t="s">
        <v>93</v>
      </c>
      <c r="B305" s="11" t="s">
        <v>339</v>
      </c>
      <c r="C305" s="11"/>
      <c r="D305" s="89"/>
      <c r="E305" s="89"/>
      <c r="F305" s="100" t="s">
        <v>341</v>
      </c>
      <c r="G305" s="91"/>
      <c r="H305" s="92"/>
      <c r="I305" s="94"/>
      <c r="J305" s="95"/>
      <c r="K305" s="10">
        <v>1</v>
      </c>
    </row>
    <row r="306" spans="1:13" ht="13" x14ac:dyDescent="0.35">
      <c r="A306" s="11" t="s">
        <v>93</v>
      </c>
      <c r="B306" s="11" t="s">
        <v>339</v>
      </c>
      <c r="C306" s="11"/>
      <c r="D306" s="89"/>
      <c r="E306" s="89"/>
      <c r="F306" s="90" t="s">
        <v>100</v>
      </c>
      <c r="G306" s="91"/>
      <c r="H306" s="92"/>
      <c r="I306" s="94"/>
      <c r="J306" s="95"/>
      <c r="K306" s="10">
        <v>1</v>
      </c>
    </row>
    <row r="307" spans="1:13" x14ac:dyDescent="0.35">
      <c r="A307" s="11" t="s">
        <v>93</v>
      </c>
      <c r="B307" s="11" t="s">
        <v>339</v>
      </c>
      <c r="C307" s="11"/>
      <c r="D307" s="89"/>
      <c r="E307" s="89"/>
      <c r="F307" s="108" t="s">
        <v>101</v>
      </c>
      <c r="G307" s="91"/>
      <c r="H307" s="92"/>
      <c r="I307" s="94"/>
      <c r="J307" s="95"/>
      <c r="K307" s="10">
        <v>1</v>
      </c>
    </row>
    <row r="308" spans="1:13" ht="13" x14ac:dyDescent="0.35">
      <c r="A308" s="11" t="s">
        <v>93</v>
      </c>
      <c r="B308" s="11" t="s">
        <v>339</v>
      </c>
      <c r="C308" s="11"/>
      <c r="D308" s="89"/>
      <c r="E308" s="89"/>
      <c r="F308" s="90" t="s">
        <v>102</v>
      </c>
      <c r="G308" s="91"/>
      <c r="H308" s="92"/>
      <c r="I308" s="94"/>
      <c r="J308" s="95"/>
      <c r="K308" s="10">
        <v>1</v>
      </c>
    </row>
    <row r="309" spans="1:13" x14ac:dyDescent="0.35">
      <c r="A309" s="11" t="s">
        <v>93</v>
      </c>
      <c r="B309" s="11" t="s">
        <v>339</v>
      </c>
      <c r="C309" s="11"/>
      <c r="D309" s="89"/>
      <c r="E309" s="124"/>
      <c r="F309" s="108" t="s">
        <v>342</v>
      </c>
      <c r="G309" s="91"/>
      <c r="H309" s="45"/>
      <c r="I309" s="125"/>
      <c r="J309" s="48"/>
      <c r="K309" s="10">
        <v>1</v>
      </c>
    </row>
    <row r="310" spans="1:13" ht="37.5" x14ac:dyDescent="0.35">
      <c r="A310" s="11" t="s">
        <v>93</v>
      </c>
      <c r="B310" s="11" t="s">
        <v>339</v>
      </c>
      <c r="C310" s="11"/>
      <c r="D310" s="89"/>
      <c r="E310" s="124"/>
      <c r="F310" s="108" t="s">
        <v>343</v>
      </c>
      <c r="G310" s="91"/>
      <c r="H310" s="45"/>
      <c r="I310" s="125"/>
      <c r="J310" s="48"/>
      <c r="K310" s="10">
        <v>1</v>
      </c>
    </row>
    <row r="311" spans="1:13" ht="25" x14ac:dyDescent="0.35">
      <c r="A311" s="11" t="s">
        <v>93</v>
      </c>
      <c r="B311" s="11" t="s">
        <v>339</v>
      </c>
      <c r="C311" s="11"/>
      <c r="D311" s="89"/>
      <c r="E311" s="124"/>
      <c r="F311" s="108" t="s">
        <v>344</v>
      </c>
      <c r="G311" s="91"/>
      <c r="H311" s="45"/>
      <c r="I311" s="125"/>
      <c r="J311" s="48"/>
      <c r="K311" s="10">
        <v>1</v>
      </c>
    </row>
    <row r="312" spans="1:13" ht="13" x14ac:dyDescent="0.35">
      <c r="A312" s="11" t="s">
        <v>93</v>
      </c>
      <c r="B312" s="11" t="s">
        <v>339</v>
      </c>
      <c r="C312" s="11"/>
      <c r="D312" s="89"/>
      <c r="E312" s="89"/>
      <c r="F312" s="126" t="s">
        <v>345</v>
      </c>
      <c r="G312" s="91"/>
      <c r="H312" s="92"/>
      <c r="I312" s="94"/>
      <c r="J312" s="95"/>
      <c r="K312" s="10">
        <v>1</v>
      </c>
    </row>
    <row r="313" spans="1:13" ht="13" x14ac:dyDescent="0.35">
      <c r="A313" s="11" t="s">
        <v>93</v>
      </c>
      <c r="B313" s="11" t="s">
        <v>339</v>
      </c>
      <c r="C313" s="11"/>
      <c r="D313" s="89"/>
      <c r="E313" s="89"/>
      <c r="F313" s="90" t="s">
        <v>346</v>
      </c>
      <c r="G313" s="91"/>
      <c r="H313" s="58"/>
      <c r="I313" s="94"/>
      <c r="J313" s="95"/>
      <c r="K313" s="10">
        <v>1</v>
      </c>
    </row>
    <row r="314" spans="1:13" ht="13" x14ac:dyDescent="0.35">
      <c r="A314" s="11" t="s">
        <v>93</v>
      </c>
      <c r="B314" s="11" t="s">
        <v>339</v>
      </c>
      <c r="C314" s="11"/>
      <c r="D314" s="89"/>
      <c r="E314" s="89"/>
      <c r="F314" s="90" t="s">
        <v>347</v>
      </c>
      <c r="G314" s="91"/>
      <c r="H314" s="117"/>
      <c r="I314" s="94"/>
      <c r="J314" s="95"/>
      <c r="K314" s="10">
        <v>1</v>
      </c>
    </row>
    <row r="315" spans="1:13" x14ac:dyDescent="0.35">
      <c r="A315" s="11" t="s">
        <v>93</v>
      </c>
      <c r="B315" s="11" t="s">
        <v>339</v>
      </c>
      <c r="C315" s="11"/>
      <c r="D315" s="89" t="s">
        <v>20</v>
      </c>
      <c r="E315" s="89"/>
      <c r="F315" s="108" t="s">
        <v>348</v>
      </c>
      <c r="G315" s="91" t="s">
        <v>175</v>
      </c>
      <c r="H315" s="117">
        <v>3</v>
      </c>
      <c r="I315" s="127">
        <v>1550</v>
      </c>
      <c r="J315" s="95">
        <f>I315*H315</f>
        <v>4650</v>
      </c>
      <c r="K315" s="10">
        <v>1</v>
      </c>
    </row>
    <row r="316" spans="1:13" ht="13" x14ac:dyDescent="0.35">
      <c r="A316" s="11" t="s">
        <v>93</v>
      </c>
      <c r="B316" s="11" t="s">
        <v>339</v>
      </c>
      <c r="C316" s="11"/>
      <c r="D316" s="89"/>
      <c r="E316" s="89"/>
      <c r="F316" s="126" t="s">
        <v>349</v>
      </c>
      <c r="G316" s="91"/>
      <c r="H316" s="128"/>
      <c r="I316" s="127"/>
      <c r="J316" s="95"/>
      <c r="K316" s="10">
        <v>1</v>
      </c>
    </row>
    <row r="317" spans="1:13" ht="13" x14ac:dyDescent="0.35">
      <c r="A317" s="11" t="s">
        <v>93</v>
      </c>
      <c r="B317" s="11" t="s">
        <v>339</v>
      </c>
      <c r="C317" s="11"/>
      <c r="D317" s="89"/>
      <c r="E317" s="89"/>
      <c r="F317" s="126" t="s">
        <v>350</v>
      </c>
      <c r="G317" s="91"/>
      <c r="H317" s="128"/>
      <c r="I317" s="127"/>
      <c r="J317" s="95"/>
      <c r="K317" s="10">
        <v>1</v>
      </c>
    </row>
    <row r="318" spans="1:13" ht="25" x14ac:dyDescent="0.35">
      <c r="A318" s="11" t="s">
        <v>93</v>
      </c>
      <c r="B318" s="11" t="s">
        <v>339</v>
      </c>
      <c r="C318" s="11"/>
      <c r="D318" s="89" t="s">
        <v>26</v>
      </c>
      <c r="E318" s="89"/>
      <c r="F318" s="108" t="s">
        <v>351</v>
      </c>
      <c r="G318" s="91" t="s">
        <v>175</v>
      </c>
      <c r="H318" s="128">
        <v>15</v>
      </c>
      <c r="I318" s="125">
        <v>3000</v>
      </c>
      <c r="J318" s="48">
        <f>I318*H318</f>
        <v>45000</v>
      </c>
      <c r="K318" s="10">
        <v>1</v>
      </c>
      <c r="L318" s="130"/>
      <c r="M318" s="131"/>
    </row>
    <row r="319" spans="1:13" ht="25" x14ac:dyDescent="0.35">
      <c r="A319" s="11" t="s">
        <v>93</v>
      </c>
      <c r="B319" s="11" t="s">
        <v>339</v>
      </c>
      <c r="C319" s="11"/>
      <c r="D319" s="89" t="s">
        <v>29</v>
      </c>
      <c r="E319" s="89"/>
      <c r="F319" s="108" t="s">
        <v>352</v>
      </c>
      <c r="G319" s="91" t="s">
        <v>175</v>
      </c>
      <c r="H319" s="128">
        <v>4</v>
      </c>
      <c r="I319" s="125">
        <v>2000</v>
      </c>
      <c r="J319" s="48">
        <f>I319*H319</f>
        <v>8000</v>
      </c>
      <c r="K319" s="10">
        <v>1</v>
      </c>
      <c r="L319" s="130"/>
      <c r="M319" s="131"/>
    </row>
    <row r="320" spans="1:13" ht="13" x14ac:dyDescent="0.3">
      <c r="A320" s="11" t="s">
        <v>93</v>
      </c>
      <c r="B320" s="11" t="s">
        <v>339</v>
      </c>
      <c r="C320" s="11"/>
      <c r="D320" s="89"/>
      <c r="E320" s="89"/>
      <c r="F320" s="97" t="s">
        <v>353</v>
      </c>
      <c r="G320" s="112"/>
      <c r="H320" s="45"/>
      <c r="I320" s="94"/>
      <c r="J320" s="95"/>
      <c r="K320" s="10">
        <v>1</v>
      </c>
    </row>
    <row r="321" spans="1:13" ht="50" x14ac:dyDescent="0.35">
      <c r="A321" s="11" t="s">
        <v>93</v>
      </c>
      <c r="B321" s="11" t="s">
        <v>339</v>
      </c>
      <c r="C321" s="11"/>
      <c r="D321" s="89" t="s">
        <v>32</v>
      </c>
      <c r="E321" s="89"/>
      <c r="F321" s="132" t="s">
        <v>354</v>
      </c>
      <c r="G321" s="112" t="s">
        <v>175</v>
      </c>
      <c r="H321" s="45">
        <v>0</v>
      </c>
      <c r="I321" s="94">
        <v>12500</v>
      </c>
      <c r="J321" s="95">
        <f>H321*I321</f>
        <v>0</v>
      </c>
      <c r="K321" s="10">
        <v>1</v>
      </c>
    </row>
    <row r="322" spans="1:13" ht="13" x14ac:dyDescent="0.35">
      <c r="A322" s="11" t="s">
        <v>93</v>
      </c>
      <c r="B322" s="11" t="s">
        <v>339</v>
      </c>
      <c r="C322" s="11"/>
      <c r="D322" s="89"/>
      <c r="E322" s="89"/>
      <c r="F322" s="126" t="s">
        <v>355</v>
      </c>
      <c r="G322" s="91"/>
      <c r="H322" s="128"/>
      <c r="I322" s="127"/>
      <c r="J322" s="95"/>
      <c r="K322" s="10">
        <v>1</v>
      </c>
    </row>
    <row r="323" spans="1:13" ht="26" x14ac:dyDescent="0.35">
      <c r="A323" s="11" t="s">
        <v>93</v>
      </c>
      <c r="B323" s="11" t="s">
        <v>339</v>
      </c>
      <c r="C323" s="11"/>
      <c r="D323" s="89"/>
      <c r="E323" s="89"/>
      <c r="F323" s="126" t="s">
        <v>356</v>
      </c>
      <c r="G323" s="91"/>
      <c r="H323" s="128"/>
      <c r="I323" s="127"/>
      <c r="J323" s="95"/>
      <c r="K323" s="10">
        <v>1</v>
      </c>
    </row>
    <row r="324" spans="1:13" ht="25" x14ac:dyDescent="0.35">
      <c r="A324" s="11" t="s">
        <v>93</v>
      </c>
      <c r="B324" s="11" t="s">
        <v>339</v>
      </c>
      <c r="C324" s="11"/>
      <c r="D324" s="89" t="s">
        <v>36</v>
      </c>
      <c r="E324" s="89"/>
      <c r="F324" s="108" t="s">
        <v>357</v>
      </c>
      <c r="G324" s="91" t="s">
        <v>175</v>
      </c>
      <c r="H324" s="128">
        <v>1</v>
      </c>
      <c r="I324" s="125">
        <v>7500</v>
      </c>
      <c r="J324" s="48">
        <f>H324*I324</f>
        <v>7500</v>
      </c>
      <c r="K324" s="10">
        <v>1</v>
      </c>
      <c r="M324" s="131"/>
    </row>
    <row r="325" spans="1:13" ht="13" x14ac:dyDescent="0.35">
      <c r="A325" s="11" t="s">
        <v>93</v>
      </c>
      <c r="B325" s="11" t="s">
        <v>358</v>
      </c>
      <c r="C325" s="11"/>
      <c r="D325" s="11"/>
      <c r="E325" s="11"/>
      <c r="F325" s="43" t="s">
        <v>95</v>
      </c>
      <c r="G325" s="44"/>
      <c r="H325" s="117"/>
      <c r="I325" s="70"/>
      <c r="J325" s="48"/>
      <c r="K325" s="10">
        <v>1</v>
      </c>
    </row>
    <row r="326" spans="1:13" ht="13" x14ac:dyDescent="0.35">
      <c r="A326" s="11" t="s">
        <v>93</v>
      </c>
      <c r="B326" s="11" t="s">
        <v>358</v>
      </c>
      <c r="C326" s="11"/>
      <c r="D326" s="11"/>
      <c r="E326" s="11"/>
      <c r="F326" s="43" t="s">
        <v>96</v>
      </c>
      <c r="G326" s="44"/>
      <c r="H326" s="117"/>
      <c r="I326" s="70"/>
      <c r="J326" s="48"/>
      <c r="K326" s="10">
        <v>1</v>
      </c>
    </row>
    <row r="327" spans="1:13" ht="13" x14ac:dyDescent="0.35">
      <c r="A327" s="11" t="s">
        <v>93</v>
      </c>
      <c r="B327" s="11" t="s">
        <v>358</v>
      </c>
      <c r="C327" s="11"/>
      <c r="D327" s="11"/>
      <c r="E327" s="11"/>
      <c r="F327" s="43" t="s">
        <v>359</v>
      </c>
      <c r="G327" s="44"/>
      <c r="H327" s="117"/>
      <c r="I327" s="70"/>
      <c r="J327" s="48"/>
      <c r="K327" s="10">
        <v>1</v>
      </c>
    </row>
    <row r="328" spans="1:13" ht="13" x14ac:dyDescent="0.35">
      <c r="A328" s="11" t="s">
        <v>93</v>
      </c>
      <c r="B328" s="11" t="s">
        <v>358</v>
      </c>
      <c r="C328" s="11"/>
      <c r="D328" s="11"/>
      <c r="E328" s="11"/>
      <c r="F328" s="43" t="s">
        <v>360</v>
      </c>
      <c r="G328" s="44"/>
      <c r="H328" s="117"/>
      <c r="I328" s="70"/>
      <c r="J328" s="48"/>
      <c r="K328" s="10">
        <v>1</v>
      </c>
    </row>
    <row r="329" spans="1:13" ht="13" x14ac:dyDescent="0.35">
      <c r="A329" s="11" t="s">
        <v>93</v>
      </c>
      <c r="B329" s="11" t="s">
        <v>358</v>
      </c>
      <c r="C329" s="11"/>
      <c r="D329" s="50"/>
      <c r="E329" s="50"/>
      <c r="F329" s="57" t="s">
        <v>100</v>
      </c>
      <c r="G329" s="51"/>
      <c r="H329" s="72"/>
      <c r="I329" s="133"/>
      <c r="J329" s="55"/>
      <c r="K329" s="10">
        <v>1</v>
      </c>
    </row>
    <row r="330" spans="1:13" ht="13" x14ac:dyDescent="0.35">
      <c r="A330" s="11" t="s">
        <v>93</v>
      </c>
      <c r="B330" s="11" t="s">
        <v>358</v>
      </c>
      <c r="C330" s="11"/>
      <c r="D330" s="50"/>
      <c r="E330" s="50"/>
      <c r="F330" s="60" t="s">
        <v>101</v>
      </c>
      <c r="G330" s="51"/>
      <c r="H330" s="72"/>
      <c r="I330" s="133"/>
      <c r="J330" s="55"/>
      <c r="K330" s="10">
        <v>1</v>
      </c>
    </row>
    <row r="331" spans="1:13" ht="13" x14ac:dyDescent="0.35">
      <c r="A331" s="11" t="s">
        <v>93</v>
      </c>
      <c r="B331" s="11" t="s">
        <v>358</v>
      </c>
      <c r="C331" s="11"/>
      <c r="D331" s="11"/>
      <c r="E331" s="134"/>
      <c r="F331" s="57" t="s">
        <v>361</v>
      </c>
      <c r="G331" s="44"/>
      <c r="H331" s="117"/>
      <c r="I331" s="70"/>
      <c r="J331" s="48"/>
      <c r="K331" s="10">
        <v>1</v>
      </c>
    </row>
    <row r="332" spans="1:13" ht="13" x14ac:dyDescent="0.35">
      <c r="A332" s="11" t="s">
        <v>93</v>
      </c>
      <c r="B332" s="11" t="s">
        <v>358</v>
      </c>
      <c r="C332" s="11"/>
      <c r="D332" s="11"/>
      <c r="E332" s="134"/>
      <c r="F332" s="57" t="s">
        <v>362</v>
      </c>
      <c r="G332" s="44"/>
      <c r="H332" s="117"/>
      <c r="I332" s="70"/>
      <c r="J332" s="48"/>
      <c r="K332" s="10">
        <v>1</v>
      </c>
    </row>
    <row r="333" spans="1:13" ht="14.5" x14ac:dyDescent="0.35">
      <c r="A333" s="11" t="s">
        <v>93</v>
      </c>
      <c r="B333" s="11" t="s">
        <v>358</v>
      </c>
      <c r="C333" s="11"/>
      <c r="D333" s="11" t="s">
        <v>20</v>
      </c>
      <c r="E333" s="134"/>
      <c r="F333" s="60" t="s">
        <v>363</v>
      </c>
      <c r="G333" s="44" t="s">
        <v>110</v>
      </c>
      <c r="H333" s="135">
        <v>171</v>
      </c>
      <c r="I333" s="70">
        <v>135</v>
      </c>
      <c r="J333" s="48">
        <f>H333*I333</f>
        <v>23085</v>
      </c>
      <c r="K333" s="10">
        <v>1</v>
      </c>
    </row>
    <row r="334" spans="1:13" ht="13" x14ac:dyDescent="0.35">
      <c r="A334" s="11" t="s">
        <v>93</v>
      </c>
      <c r="B334" s="11" t="s">
        <v>358</v>
      </c>
      <c r="C334" s="11"/>
      <c r="D334" s="11"/>
      <c r="E334" s="11"/>
      <c r="F334" s="57" t="s">
        <v>364</v>
      </c>
      <c r="G334" s="44"/>
      <c r="H334" s="117"/>
      <c r="I334" s="70"/>
      <c r="J334" s="48"/>
      <c r="K334" s="10">
        <v>1</v>
      </c>
    </row>
    <row r="335" spans="1:13" ht="26" x14ac:dyDescent="0.35">
      <c r="A335" s="11" t="s">
        <v>93</v>
      </c>
      <c r="B335" s="11" t="s">
        <v>358</v>
      </c>
      <c r="C335" s="11"/>
      <c r="D335" s="11"/>
      <c r="E335" s="11"/>
      <c r="F335" s="57" t="s">
        <v>365</v>
      </c>
      <c r="G335" s="44"/>
      <c r="H335" s="117"/>
      <c r="I335" s="70"/>
      <c r="J335" s="48"/>
      <c r="K335" s="10">
        <v>1</v>
      </c>
    </row>
    <row r="336" spans="1:13" ht="14.5" x14ac:dyDescent="0.35">
      <c r="A336" s="11" t="s">
        <v>93</v>
      </c>
      <c r="B336" s="11" t="s">
        <v>358</v>
      </c>
      <c r="C336" s="11"/>
      <c r="D336" s="11" t="s">
        <v>26</v>
      </c>
      <c r="E336" s="11"/>
      <c r="F336" s="60" t="s">
        <v>366</v>
      </c>
      <c r="G336" s="44" t="s">
        <v>110</v>
      </c>
      <c r="H336" s="135">
        <f>235-16</f>
        <v>219</v>
      </c>
      <c r="I336" s="70">
        <v>75</v>
      </c>
      <c r="J336" s="48">
        <f>H336*I336</f>
        <v>16425</v>
      </c>
      <c r="K336" s="10">
        <v>1</v>
      </c>
      <c r="L336" s="137"/>
      <c r="M336" s="138"/>
    </row>
    <row r="337" spans="1:13" ht="14.5" x14ac:dyDescent="0.35">
      <c r="A337" s="11" t="s">
        <v>93</v>
      </c>
      <c r="B337" s="11" t="s">
        <v>358</v>
      </c>
      <c r="C337" s="11"/>
      <c r="D337" s="11" t="s">
        <v>29</v>
      </c>
      <c r="E337" s="134"/>
      <c r="F337" s="139" t="s">
        <v>367</v>
      </c>
      <c r="G337" s="44" t="s">
        <v>110</v>
      </c>
      <c r="H337" s="58">
        <f>H336*0.15</f>
        <v>32.85</v>
      </c>
      <c r="I337" s="70">
        <v>75</v>
      </c>
      <c r="J337" s="48">
        <f>H337*I337</f>
        <v>2463.75</v>
      </c>
      <c r="K337" s="10">
        <v>1</v>
      </c>
      <c r="L337" s="137"/>
      <c r="M337" s="138"/>
    </row>
    <row r="338" spans="1:13" ht="13" x14ac:dyDescent="0.35">
      <c r="A338" s="11" t="s">
        <v>93</v>
      </c>
      <c r="B338" s="11" t="s">
        <v>358</v>
      </c>
      <c r="C338" s="11"/>
      <c r="D338" s="11"/>
      <c r="E338" s="11"/>
      <c r="F338" s="57" t="s">
        <v>368</v>
      </c>
      <c r="G338" s="44"/>
      <c r="H338" s="135"/>
      <c r="I338" s="70"/>
      <c r="J338" s="48"/>
      <c r="K338" s="10">
        <v>1</v>
      </c>
      <c r="L338" s="137"/>
      <c r="M338" s="138"/>
    </row>
    <row r="339" spans="1:13" ht="14.5" x14ac:dyDescent="0.35">
      <c r="A339" s="11" t="s">
        <v>93</v>
      </c>
      <c r="B339" s="11" t="s">
        <v>358</v>
      </c>
      <c r="C339" s="11"/>
      <c r="D339" s="11" t="s">
        <v>32</v>
      </c>
      <c r="E339" s="11"/>
      <c r="F339" s="60" t="s">
        <v>363</v>
      </c>
      <c r="G339" s="44" t="s">
        <v>110</v>
      </c>
      <c r="H339" s="135">
        <v>37</v>
      </c>
      <c r="I339" s="70">
        <v>145</v>
      </c>
      <c r="J339" s="48">
        <f>H339*I339</f>
        <v>5365</v>
      </c>
      <c r="K339" s="10">
        <v>1</v>
      </c>
      <c r="L339" s="137"/>
      <c r="M339" s="138"/>
    </row>
    <row r="340" spans="1:13" ht="13" x14ac:dyDescent="0.35">
      <c r="A340" s="11" t="s">
        <v>93</v>
      </c>
      <c r="B340" s="11" t="s">
        <v>369</v>
      </c>
      <c r="C340" s="11"/>
      <c r="D340" s="11"/>
      <c r="E340" s="11"/>
      <c r="F340" s="43" t="s">
        <v>95</v>
      </c>
      <c r="G340" s="44"/>
      <c r="H340" s="58"/>
      <c r="I340" s="47"/>
      <c r="J340" s="48"/>
      <c r="K340" s="10">
        <v>1</v>
      </c>
    </row>
    <row r="341" spans="1:13" ht="13" x14ac:dyDescent="0.35">
      <c r="A341" s="11" t="s">
        <v>93</v>
      </c>
      <c r="B341" s="11" t="s">
        <v>369</v>
      </c>
      <c r="C341" s="11"/>
      <c r="D341" s="11"/>
      <c r="E341" s="11"/>
      <c r="F341" s="43" t="s">
        <v>96</v>
      </c>
      <c r="G341" s="44"/>
      <c r="H341" s="58"/>
      <c r="I341" s="47"/>
      <c r="J341" s="48"/>
      <c r="K341" s="10">
        <v>1</v>
      </c>
    </row>
    <row r="342" spans="1:13" ht="13" x14ac:dyDescent="0.35">
      <c r="A342" s="11" t="s">
        <v>93</v>
      </c>
      <c r="B342" s="11" t="s">
        <v>369</v>
      </c>
      <c r="C342" s="11"/>
      <c r="D342" s="11"/>
      <c r="E342" s="11"/>
      <c r="F342" s="43" t="s">
        <v>370</v>
      </c>
      <c r="G342" s="44"/>
      <c r="H342" s="58"/>
      <c r="I342" s="47"/>
      <c r="J342" s="48"/>
      <c r="K342" s="10">
        <v>1</v>
      </c>
    </row>
    <row r="343" spans="1:13" ht="13" x14ac:dyDescent="0.35">
      <c r="A343" s="11" t="s">
        <v>93</v>
      </c>
      <c r="B343" s="11" t="s">
        <v>369</v>
      </c>
      <c r="C343" s="11"/>
      <c r="D343" s="11"/>
      <c r="E343" s="11"/>
      <c r="F343" s="43" t="s">
        <v>371</v>
      </c>
      <c r="G343" s="44"/>
      <c r="H343" s="45"/>
      <c r="I343" s="140"/>
      <c r="J343" s="48"/>
      <c r="K343" s="10">
        <v>1</v>
      </c>
    </row>
    <row r="344" spans="1:13" ht="13" x14ac:dyDescent="0.35">
      <c r="A344" s="11" t="s">
        <v>93</v>
      </c>
      <c r="B344" s="11" t="s">
        <v>369</v>
      </c>
      <c r="C344" s="11"/>
      <c r="D344" s="11"/>
      <c r="E344" s="11"/>
      <c r="F344" s="57" t="s">
        <v>100</v>
      </c>
      <c r="G344" s="44"/>
      <c r="H344" s="45"/>
      <c r="I344" s="140"/>
      <c r="J344" s="48"/>
      <c r="K344" s="10">
        <v>1</v>
      </c>
    </row>
    <row r="345" spans="1:13" x14ac:dyDescent="0.35">
      <c r="A345" s="11" t="s">
        <v>93</v>
      </c>
      <c r="B345" s="11" t="s">
        <v>369</v>
      </c>
      <c r="C345" s="11"/>
      <c r="D345" s="11"/>
      <c r="E345" s="11"/>
      <c r="F345" s="60" t="s">
        <v>101</v>
      </c>
      <c r="G345" s="44"/>
      <c r="H345" s="45"/>
      <c r="I345" s="140"/>
      <c r="J345" s="48"/>
      <c r="K345" s="10">
        <v>1</v>
      </c>
    </row>
    <row r="346" spans="1:13" ht="13" x14ac:dyDescent="0.35">
      <c r="A346" s="11" t="s">
        <v>93</v>
      </c>
      <c r="B346" s="11" t="s">
        <v>369</v>
      </c>
      <c r="C346" s="11"/>
      <c r="D346" s="11"/>
      <c r="E346" s="11"/>
      <c r="F346" s="57" t="s">
        <v>333</v>
      </c>
      <c r="G346" s="44"/>
      <c r="H346" s="45"/>
      <c r="I346" s="140"/>
      <c r="J346" s="48"/>
      <c r="K346" s="10">
        <v>1</v>
      </c>
    </row>
    <row r="347" spans="1:13" x14ac:dyDescent="0.35">
      <c r="A347" s="11" t="s">
        <v>93</v>
      </c>
      <c r="B347" s="11" t="s">
        <v>369</v>
      </c>
      <c r="C347" s="11"/>
      <c r="D347" s="11"/>
      <c r="E347" s="11"/>
      <c r="F347" s="62" t="s">
        <v>372</v>
      </c>
      <c r="G347" s="44"/>
      <c r="H347" s="45"/>
      <c r="I347" s="140"/>
      <c r="J347" s="48"/>
      <c r="K347" s="10">
        <v>1</v>
      </c>
    </row>
    <row r="348" spans="1:13" ht="25" x14ac:dyDescent="0.35">
      <c r="A348" s="11" t="s">
        <v>93</v>
      </c>
      <c r="B348" s="11" t="s">
        <v>369</v>
      </c>
      <c r="C348" s="11"/>
      <c r="D348" s="11"/>
      <c r="E348" s="11"/>
      <c r="F348" s="60" t="s">
        <v>373</v>
      </c>
      <c r="G348" s="44"/>
      <c r="H348" s="45"/>
      <c r="I348" s="140"/>
      <c r="J348" s="48"/>
      <c r="K348" s="10">
        <v>1</v>
      </c>
    </row>
    <row r="349" spans="1:13" x14ac:dyDescent="0.35">
      <c r="A349" s="11" t="s">
        <v>93</v>
      </c>
      <c r="B349" s="11" t="s">
        <v>369</v>
      </c>
      <c r="C349" s="11"/>
      <c r="D349" s="11"/>
      <c r="E349" s="11"/>
      <c r="F349" s="62" t="s">
        <v>374</v>
      </c>
      <c r="G349" s="44"/>
      <c r="H349" s="45"/>
      <c r="I349" s="140"/>
      <c r="J349" s="48"/>
      <c r="K349" s="10">
        <v>1</v>
      </c>
    </row>
    <row r="350" spans="1:13" ht="75" x14ac:dyDescent="0.35">
      <c r="A350" s="11" t="s">
        <v>93</v>
      </c>
      <c r="B350" s="11" t="s">
        <v>369</v>
      </c>
      <c r="C350" s="11"/>
      <c r="D350" s="11"/>
      <c r="E350" s="11"/>
      <c r="F350" s="60" t="s">
        <v>375</v>
      </c>
      <c r="G350" s="44"/>
      <c r="H350" s="45"/>
      <c r="I350" s="140"/>
      <c r="J350" s="48"/>
      <c r="K350" s="10">
        <v>1</v>
      </c>
    </row>
    <row r="351" spans="1:13" x14ac:dyDescent="0.35">
      <c r="A351" s="11" t="s">
        <v>93</v>
      </c>
      <c r="B351" s="11" t="s">
        <v>369</v>
      </c>
      <c r="C351" s="11"/>
      <c r="D351" s="11"/>
      <c r="E351" s="11"/>
      <c r="F351" s="62" t="s">
        <v>376</v>
      </c>
      <c r="G351" s="44"/>
      <c r="H351" s="45"/>
      <c r="I351" s="140"/>
      <c r="J351" s="48"/>
      <c r="K351" s="10">
        <v>1</v>
      </c>
    </row>
    <row r="352" spans="1:13" ht="25" x14ac:dyDescent="0.35">
      <c r="A352" s="11" t="s">
        <v>93</v>
      </c>
      <c r="B352" s="11" t="s">
        <v>369</v>
      </c>
      <c r="C352" s="11"/>
      <c r="D352" s="11"/>
      <c r="E352" s="11"/>
      <c r="F352" s="60" t="s">
        <v>377</v>
      </c>
      <c r="G352" s="44"/>
      <c r="H352" s="45"/>
      <c r="I352" s="140"/>
      <c r="J352" s="48"/>
      <c r="K352" s="10">
        <v>1</v>
      </c>
    </row>
    <row r="353" spans="1:11" x14ac:dyDescent="0.35">
      <c r="A353" s="11" t="s">
        <v>93</v>
      </c>
      <c r="B353" s="11" t="s">
        <v>369</v>
      </c>
      <c r="C353" s="11"/>
      <c r="D353" s="11"/>
      <c r="E353" s="11"/>
      <c r="F353" s="62" t="s">
        <v>378</v>
      </c>
      <c r="G353" s="44"/>
      <c r="H353" s="45"/>
      <c r="I353" s="140"/>
      <c r="J353" s="48"/>
      <c r="K353" s="10">
        <v>1</v>
      </c>
    </row>
    <row r="354" spans="1:11" ht="37.5" x14ac:dyDescent="0.35">
      <c r="A354" s="11" t="s">
        <v>93</v>
      </c>
      <c r="B354" s="11" t="s">
        <v>369</v>
      </c>
      <c r="C354" s="11"/>
      <c r="D354" s="11"/>
      <c r="E354" s="11"/>
      <c r="F354" s="60" t="s">
        <v>379</v>
      </c>
      <c r="G354" s="44"/>
      <c r="H354" s="45"/>
      <c r="I354" s="140"/>
      <c r="J354" s="48"/>
      <c r="K354" s="10">
        <v>1</v>
      </c>
    </row>
    <row r="355" spans="1:11" x14ac:dyDescent="0.35">
      <c r="A355" s="11" t="s">
        <v>93</v>
      </c>
      <c r="B355" s="11" t="s">
        <v>369</v>
      </c>
      <c r="C355" s="11"/>
      <c r="D355" s="11"/>
      <c r="E355" s="11"/>
      <c r="F355" s="62" t="s">
        <v>380</v>
      </c>
      <c r="G355" s="44"/>
      <c r="H355" s="45"/>
      <c r="I355" s="140"/>
      <c r="J355" s="48"/>
      <c r="K355" s="10">
        <v>1</v>
      </c>
    </row>
    <row r="356" spans="1:11" ht="62.5" x14ac:dyDescent="0.35">
      <c r="A356" s="11" t="s">
        <v>93</v>
      </c>
      <c r="B356" s="11" t="s">
        <v>369</v>
      </c>
      <c r="C356" s="11"/>
      <c r="D356" s="11"/>
      <c r="E356" s="11"/>
      <c r="F356" s="60" t="s">
        <v>381</v>
      </c>
      <c r="G356" s="44"/>
      <c r="H356" s="45"/>
      <c r="I356" s="140"/>
      <c r="J356" s="48"/>
      <c r="K356" s="10">
        <v>1</v>
      </c>
    </row>
    <row r="357" spans="1:11" x14ac:dyDescent="0.35">
      <c r="A357" s="11" t="s">
        <v>93</v>
      </c>
      <c r="B357" s="11" t="s">
        <v>369</v>
      </c>
      <c r="C357" s="11"/>
      <c r="D357" s="11"/>
      <c r="E357" s="11"/>
      <c r="F357" s="62" t="s">
        <v>382</v>
      </c>
      <c r="G357" s="44"/>
      <c r="H357" s="45"/>
      <c r="I357" s="140"/>
      <c r="J357" s="48"/>
      <c r="K357" s="10">
        <v>1</v>
      </c>
    </row>
    <row r="358" spans="1:11" ht="75" x14ac:dyDescent="0.35">
      <c r="A358" s="11" t="s">
        <v>93</v>
      </c>
      <c r="B358" s="11" t="s">
        <v>369</v>
      </c>
      <c r="C358" s="11"/>
      <c r="D358" s="11"/>
      <c r="E358" s="11"/>
      <c r="F358" s="60" t="s">
        <v>383</v>
      </c>
      <c r="G358" s="44"/>
      <c r="H358" s="45"/>
      <c r="I358" s="140"/>
      <c r="J358" s="48"/>
      <c r="K358" s="10">
        <v>1</v>
      </c>
    </row>
    <row r="359" spans="1:11" x14ac:dyDescent="0.35">
      <c r="A359" s="11" t="s">
        <v>93</v>
      </c>
      <c r="B359" s="11" t="s">
        <v>369</v>
      </c>
      <c r="C359" s="11"/>
      <c r="D359" s="11"/>
      <c r="E359" s="11"/>
      <c r="F359" s="62" t="s">
        <v>384</v>
      </c>
      <c r="G359" s="44"/>
      <c r="H359" s="45"/>
      <c r="I359" s="140"/>
      <c r="J359" s="48"/>
      <c r="K359" s="10">
        <v>1</v>
      </c>
    </row>
    <row r="360" spans="1:11" ht="50" x14ac:dyDescent="0.35">
      <c r="A360" s="11" t="s">
        <v>93</v>
      </c>
      <c r="B360" s="11" t="s">
        <v>369</v>
      </c>
      <c r="C360" s="11"/>
      <c r="D360" s="11"/>
      <c r="E360" s="11"/>
      <c r="F360" s="60" t="s">
        <v>385</v>
      </c>
      <c r="G360" s="44"/>
      <c r="H360" s="45"/>
      <c r="I360" s="140"/>
      <c r="J360" s="48"/>
      <c r="K360" s="10">
        <v>1</v>
      </c>
    </row>
    <row r="361" spans="1:11" x14ac:dyDescent="0.35">
      <c r="A361" s="11" t="s">
        <v>93</v>
      </c>
      <c r="B361" s="11" t="s">
        <v>369</v>
      </c>
      <c r="C361" s="11"/>
      <c r="D361" s="11"/>
      <c r="E361" s="11"/>
      <c r="F361" s="62" t="s">
        <v>386</v>
      </c>
      <c r="G361" s="44"/>
      <c r="H361" s="45"/>
      <c r="I361" s="140"/>
      <c r="J361" s="48"/>
      <c r="K361" s="10">
        <v>1</v>
      </c>
    </row>
    <row r="362" spans="1:11" ht="37.5" x14ac:dyDescent="0.35">
      <c r="A362" s="11" t="s">
        <v>93</v>
      </c>
      <c r="B362" s="11" t="s">
        <v>369</v>
      </c>
      <c r="C362" s="11"/>
      <c r="D362" s="11"/>
      <c r="E362" s="11"/>
      <c r="F362" s="60" t="s">
        <v>387</v>
      </c>
      <c r="G362" s="44"/>
      <c r="H362" s="45"/>
      <c r="I362" s="140"/>
      <c r="J362" s="48"/>
      <c r="K362" s="10">
        <v>1</v>
      </c>
    </row>
    <row r="363" spans="1:11" x14ac:dyDescent="0.35">
      <c r="A363" s="11" t="s">
        <v>93</v>
      </c>
      <c r="B363" s="11" t="s">
        <v>369</v>
      </c>
      <c r="C363" s="11"/>
      <c r="D363" s="11"/>
      <c r="E363" s="11"/>
      <c r="F363" s="62" t="s">
        <v>388</v>
      </c>
      <c r="G363" s="44"/>
      <c r="H363" s="45"/>
      <c r="I363" s="140"/>
      <c r="J363" s="48"/>
      <c r="K363" s="10">
        <v>1</v>
      </c>
    </row>
    <row r="364" spans="1:11" ht="37.5" x14ac:dyDescent="0.35">
      <c r="A364" s="11" t="s">
        <v>93</v>
      </c>
      <c r="B364" s="11" t="s">
        <v>369</v>
      </c>
      <c r="C364" s="11"/>
      <c r="D364" s="11"/>
      <c r="E364" s="11"/>
      <c r="F364" s="60" t="s">
        <v>389</v>
      </c>
      <c r="G364" s="44"/>
      <c r="H364" s="45"/>
      <c r="I364" s="140"/>
      <c r="J364" s="48"/>
      <c r="K364" s="10">
        <v>1</v>
      </c>
    </row>
    <row r="365" spans="1:11" x14ac:dyDescent="0.35">
      <c r="A365" s="11" t="s">
        <v>93</v>
      </c>
      <c r="B365" s="11" t="s">
        <v>369</v>
      </c>
      <c r="C365" s="11"/>
      <c r="D365" s="11"/>
      <c r="E365" s="11"/>
      <c r="F365" s="62" t="s">
        <v>390</v>
      </c>
      <c r="G365" s="44"/>
      <c r="H365" s="45"/>
      <c r="I365" s="140"/>
      <c r="J365" s="48"/>
      <c r="K365" s="10">
        <v>1</v>
      </c>
    </row>
    <row r="366" spans="1:11" x14ac:dyDescent="0.35">
      <c r="A366" s="11" t="s">
        <v>93</v>
      </c>
      <c r="B366" s="11" t="s">
        <v>369</v>
      </c>
      <c r="C366" s="11"/>
      <c r="D366" s="11"/>
      <c r="E366" s="11"/>
      <c r="F366" s="60" t="s">
        <v>391</v>
      </c>
      <c r="G366" s="44"/>
      <c r="H366" s="45"/>
      <c r="I366" s="140"/>
      <c r="J366" s="48"/>
      <c r="K366" s="10">
        <v>1</v>
      </c>
    </row>
    <row r="367" spans="1:11" x14ac:dyDescent="0.35">
      <c r="A367" s="11" t="s">
        <v>93</v>
      </c>
      <c r="B367" s="11" t="s">
        <v>369</v>
      </c>
      <c r="C367" s="11"/>
      <c r="D367" s="11"/>
      <c r="E367" s="11"/>
      <c r="F367" s="62" t="s">
        <v>392</v>
      </c>
      <c r="G367" s="44"/>
      <c r="H367" s="45"/>
      <c r="I367" s="140"/>
      <c r="J367" s="48"/>
      <c r="K367" s="10">
        <v>1</v>
      </c>
    </row>
    <row r="368" spans="1:11" ht="50" x14ac:dyDescent="0.35">
      <c r="A368" s="11" t="s">
        <v>93</v>
      </c>
      <c r="B368" s="11" t="s">
        <v>369</v>
      </c>
      <c r="C368" s="11"/>
      <c r="D368" s="11"/>
      <c r="E368" s="11"/>
      <c r="F368" s="60" t="s">
        <v>393</v>
      </c>
      <c r="G368" s="44"/>
      <c r="H368" s="45"/>
      <c r="I368" s="140"/>
      <c r="J368" s="48"/>
      <c r="K368" s="10">
        <v>1</v>
      </c>
    </row>
    <row r="369" spans="1:11" ht="25" x14ac:dyDescent="0.35">
      <c r="A369" s="11" t="s">
        <v>93</v>
      </c>
      <c r="B369" s="11" t="s">
        <v>369</v>
      </c>
      <c r="C369" s="11"/>
      <c r="D369" s="11"/>
      <c r="E369" s="11"/>
      <c r="F369" s="60" t="s">
        <v>394</v>
      </c>
      <c r="G369" s="44"/>
      <c r="H369" s="45"/>
      <c r="I369" s="140"/>
      <c r="J369" s="48"/>
      <c r="K369" s="10">
        <v>1</v>
      </c>
    </row>
    <row r="370" spans="1:11" x14ac:dyDescent="0.35">
      <c r="A370" s="11" t="s">
        <v>93</v>
      </c>
      <c r="B370" s="11" t="s">
        <v>369</v>
      </c>
      <c r="C370" s="11"/>
      <c r="D370" s="11"/>
      <c r="E370" s="11"/>
      <c r="F370" s="62" t="s">
        <v>395</v>
      </c>
      <c r="G370" s="44"/>
      <c r="H370" s="45"/>
      <c r="I370" s="140"/>
      <c r="J370" s="48"/>
      <c r="K370" s="10">
        <v>1</v>
      </c>
    </row>
    <row r="371" spans="1:11" ht="25" x14ac:dyDescent="0.35">
      <c r="A371" s="11" t="s">
        <v>93</v>
      </c>
      <c r="B371" s="11" t="s">
        <v>369</v>
      </c>
      <c r="C371" s="11"/>
      <c r="D371" s="11"/>
      <c r="E371" s="11"/>
      <c r="F371" s="60" t="s">
        <v>396</v>
      </c>
      <c r="G371" s="44"/>
      <c r="H371" s="45"/>
      <c r="I371" s="140"/>
      <c r="J371" s="48"/>
      <c r="K371" s="10">
        <v>1</v>
      </c>
    </row>
    <row r="372" spans="1:11" ht="25" x14ac:dyDescent="0.35">
      <c r="A372" s="11" t="s">
        <v>93</v>
      </c>
      <c r="B372" s="11" t="s">
        <v>369</v>
      </c>
      <c r="C372" s="11"/>
      <c r="D372" s="11"/>
      <c r="E372" s="11"/>
      <c r="F372" s="60" t="s">
        <v>397</v>
      </c>
      <c r="G372" s="44"/>
      <c r="H372" s="45"/>
      <c r="I372" s="140"/>
      <c r="J372" s="48"/>
      <c r="K372" s="10">
        <v>1</v>
      </c>
    </row>
    <row r="373" spans="1:11" x14ac:dyDescent="0.35">
      <c r="A373" s="11" t="s">
        <v>93</v>
      </c>
      <c r="B373" s="11" t="s">
        <v>369</v>
      </c>
      <c r="C373" s="11"/>
      <c r="D373" s="11"/>
      <c r="E373" s="11"/>
      <c r="F373" s="62" t="s">
        <v>398</v>
      </c>
      <c r="G373" s="44"/>
      <c r="H373" s="45"/>
      <c r="I373" s="140"/>
      <c r="J373" s="48"/>
      <c r="K373" s="10">
        <v>1</v>
      </c>
    </row>
    <row r="374" spans="1:11" ht="50" x14ac:dyDescent="0.35">
      <c r="A374" s="11" t="s">
        <v>93</v>
      </c>
      <c r="B374" s="11" t="s">
        <v>369</v>
      </c>
      <c r="C374" s="11"/>
      <c r="D374" s="11"/>
      <c r="E374" s="11"/>
      <c r="F374" s="60" t="s">
        <v>399</v>
      </c>
      <c r="G374" s="44"/>
      <c r="H374" s="45"/>
      <c r="I374" s="140"/>
      <c r="J374" s="48"/>
      <c r="K374" s="10">
        <v>1</v>
      </c>
    </row>
    <row r="375" spans="1:11" ht="50" x14ac:dyDescent="0.35">
      <c r="A375" s="11" t="s">
        <v>93</v>
      </c>
      <c r="B375" s="11" t="s">
        <v>369</v>
      </c>
      <c r="C375" s="11"/>
      <c r="D375" s="11"/>
      <c r="E375" s="11"/>
      <c r="F375" s="60" t="s">
        <v>400</v>
      </c>
      <c r="G375" s="44"/>
      <c r="H375" s="45"/>
      <c r="I375" s="140"/>
      <c r="J375" s="48"/>
      <c r="K375" s="10">
        <v>1</v>
      </c>
    </row>
    <row r="376" spans="1:11" ht="37.5" x14ac:dyDescent="0.35">
      <c r="A376" s="11" t="s">
        <v>93</v>
      </c>
      <c r="B376" s="11" t="s">
        <v>369</v>
      </c>
      <c r="C376" s="11"/>
      <c r="D376" s="11"/>
      <c r="E376" s="11"/>
      <c r="F376" s="60" t="s">
        <v>401</v>
      </c>
      <c r="G376" s="44"/>
      <c r="H376" s="45"/>
      <c r="I376" s="140"/>
      <c r="J376" s="48"/>
      <c r="K376" s="10">
        <v>1</v>
      </c>
    </row>
    <row r="377" spans="1:11" ht="25" x14ac:dyDescent="0.35">
      <c r="A377" s="11" t="s">
        <v>93</v>
      </c>
      <c r="B377" s="11" t="s">
        <v>369</v>
      </c>
      <c r="C377" s="11"/>
      <c r="D377" s="11"/>
      <c r="E377" s="11"/>
      <c r="F377" s="60" t="s">
        <v>402</v>
      </c>
      <c r="G377" s="44"/>
      <c r="H377" s="45"/>
      <c r="I377" s="140"/>
      <c r="J377" s="48"/>
      <c r="K377" s="10">
        <v>1</v>
      </c>
    </row>
    <row r="378" spans="1:11" x14ac:dyDescent="0.35">
      <c r="A378" s="11" t="s">
        <v>93</v>
      </c>
      <c r="B378" s="11" t="s">
        <v>369</v>
      </c>
      <c r="C378" s="11"/>
      <c r="D378" s="11"/>
      <c r="E378" s="11"/>
      <c r="F378" s="62" t="s">
        <v>403</v>
      </c>
      <c r="G378" s="44"/>
      <c r="H378" s="45"/>
      <c r="I378" s="140"/>
      <c r="J378" s="48"/>
      <c r="K378" s="10">
        <v>1</v>
      </c>
    </row>
    <row r="379" spans="1:11" ht="62.5" x14ac:dyDescent="0.35">
      <c r="A379" s="11" t="s">
        <v>93</v>
      </c>
      <c r="B379" s="11" t="s">
        <v>369</v>
      </c>
      <c r="C379" s="11"/>
      <c r="D379" s="11"/>
      <c r="E379" s="11"/>
      <c r="F379" s="60" t="s">
        <v>404</v>
      </c>
      <c r="G379" s="44"/>
      <c r="H379" s="45"/>
      <c r="I379" s="140"/>
      <c r="J379" s="48"/>
      <c r="K379" s="10">
        <v>1</v>
      </c>
    </row>
    <row r="380" spans="1:11" ht="13" x14ac:dyDescent="0.35">
      <c r="A380" s="11" t="s">
        <v>93</v>
      </c>
      <c r="B380" s="11" t="s">
        <v>369</v>
      </c>
      <c r="C380" s="11"/>
      <c r="D380" s="11"/>
      <c r="E380" s="11"/>
      <c r="F380" s="43" t="s">
        <v>405</v>
      </c>
      <c r="G380" s="44"/>
      <c r="H380" s="58"/>
      <c r="I380" s="47"/>
      <c r="J380" s="48"/>
      <c r="K380" s="10">
        <v>1</v>
      </c>
    </row>
    <row r="381" spans="1:11" ht="13" x14ac:dyDescent="0.35">
      <c r="A381" s="11" t="s">
        <v>93</v>
      </c>
      <c r="B381" s="11" t="s">
        <v>369</v>
      </c>
      <c r="C381" s="11"/>
      <c r="D381" s="11"/>
      <c r="E381" s="11"/>
      <c r="F381" s="57" t="s">
        <v>406</v>
      </c>
      <c r="G381" s="44"/>
      <c r="H381" s="58"/>
      <c r="I381" s="47"/>
      <c r="J381" s="48"/>
      <c r="K381" s="10">
        <v>1</v>
      </c>
    </row>
    <row r="382" spans="1:11" ht="25" x14ac:dyDescent="0.35">
      <c r="A382" s="11" t="s">
        <v>93</v>
      </c>
      <c r="B382" s="11" t="s">
        <v>369</v>
      </c>
      <c r="C382" s="11"/>
      <c r="D382" s="11" t="s">
        <v>20</v>
      </c>
      <c r="E382" s="11"/>
      <c r="F382" s="60" t="s">
        <v>407</v>
      </c>
      <c r="G382" s="44" t="s">
        <v>186</v>
      </c>
      <c r="H382" s="58">
        <v>60</v>
      </c>
      <c r="I382" s="47">
        <v>165</v>
      </c>
      <c r="J382" s="48">
        <f>H382*I382</f>
        <v>9900</v>
      </c>
      <c r="K382" s="10">
        <v>1</v>
      </c>
    </row>
    <row r="383" spans="1:11" x14ac:dyDescent="0.35">
      <c r="A383" s="11" t="s">
        <v>93</v>
      </c>
      <c r="B383" s="11" t="s">
        <v>369</v>
      </c>
      <c r="C383" s="11"/>
      <c r="D383" s="11" t="s">
        <v>26</v>
      </c>
      <c r="E383" s="11"/>
      <c r="F383" s="60" t="s">
        <v>408</v>
      </c>
      <c r="G383" s="44" t="s">
        <v>175</v>
      </c>
      <c r="H383" s="85">
        <v>6</v>
      </c>
      <c r="I383" s="47">
        <v>300</v>
      </c>
      <c r="J383" s="48">
        <f>I383*H383</f>
        <v>1800</v>
      </c>
      <c r="K383" s="10">
        <v>1</v>
      </c>
    </row>
    <row r="384" spans="1:11" ht="25" x14ac:dyDescent="0.35">
      <c r="A384" s="11" t="s">
        <v>93</v>
      </c>
      <c r="B384" s="11" t="s">
        <v>369</v>
      </c>
      <c r="C384" s="11"/>
      <c r="D384" s="11" t="s">
        <v>29</v>
      </c>
      <c r="E384" s="61"/>
      <c r="F384" s="60" t="s">
        <v>409</v>
      </c>
      <c r="G384" s="44" t="s">
        <v>175</v>
      </c>
      <c r="H384" s="63">
        <v>6</v>
      </c>
      <c r="I384" s="47">
        <v>300</v>
      </c>
      <c r="J384" s="48">
        <f>H384*I384</f>
        <v>1800</v>
      </c>
      <c r="K384" s="10">
        <v>1</v>
      </c>
    </row>
    <row r="385" spans="1:11" ht="25" x14ac:dyDescent="0.35">
      <c r="A385" s="11" t="s">
        <v>93</v>
      </c>
      <c r="B385" s="11" t="s">
        <v>369</v>
      </c>
      <c r="C385" s="11"/>
      <c r="D385" s="11" t="s">
        <v>32</v>
      </c>
      <c r="E385" s="11"/>
      <c r="F385" s="60" t="s">
        <v>410</v>
      </c>
      <c r="G385" s="44" t="s">
        <v>186</v>
      </c>
      <c r="H385" s="58">
        <f>2.7*8</f>
        <v>21.6</v>
      </c>
      <c r="I385" s="47">
        <v>165</v>
      </c>
      <c r="J385" s="48">
        <f>H385*I385</f>
        <v>3564.0000000000005</v>
      </c>
      <c r="K385" s="10">
        <v>1</v>
      </c>
    </row>
    <row r="386" spans="1:11" x14ac:dyDescent="0.35">
      <c r="A386" s="11" t="s">
        <v>93</v>
      </c>
      <c r="B386" s="11" t="s">
        <v>369</v>
      </c>
      <c r="C386" s="11"/>
      <c r="D386" s="11" t="s">
        <v>36</v>
      </c>
      <c r="E386" s="11"/>
      <c r="F386" s="60" t="s">
        <v>411</v>
      </c>
      <c r="G386" s="44" t="s">
        <v>175</v>
      </c>
      <c r="H386" s="85">
        <v>6</v>
      </c>
      <c r="I386" s="47">
        <v>350</v>
      </c>
      <c r="J386" s="48">
        <f>I386*H386</f>
        <v>2100</v>
      </c>
      <c r="K386" s="10">
        <v>1</v>
      </c>
    </row>
    <row r="387" spans="1:11" ht="13" x14ac:dyDescent="0.35">
      <c r="A387" s="11" t="s">
        <v>93</v>
      </c>
      <c r="B387" s="11" t="s">
        <v>412</v>
      </c>
      <c r="C387" s="11"/>
      <c r="D387" s="11"/>
      <c r="E387" s="11"/>
      <c r="F387" s="43" t="s">
        <v>95</v>
      </c>
      <c r="G387" s="44"/>
      <c r="H387" s="45"/>
      <c r="I387" s="47"/>
      <c r="J387" s="48"/>
      <c r="K387" s="10">
        <v>1</v>
      </c>
    </row>
    <row r="388" spans="1:11" ht="13" x14ac:dyDescent="0.35">
      <c r="A388" s="11" t="s">
        <v>93</v>
      </c>
      <c r="B388" s="11" t="s">
        <v>412</v>
      </c>
      <c r="C388" s="11"/>
      <c r="D388" s="11"/>
      <c r="E388" s="11"/>
      <c r="F388" s="43" t="s">
        <v>96</v>
      </c>
      <c r="G388" s="44"/>
      <c r="H388" s="45"/>
      <c r="I388" s="47"/>
      <c r="J388" s="48"/>
      <c r="K388" s="10">
        <v>1</v>
      </c>
    </row>
    <row r="389" spans="1:11" ht="13" x14ac:dyDescent="0.35">
      <c r="A389" s="11" t="s">
        <v>93</v>
      </c>
      <c r="B389" s="11" t="s">
        <v>412</v>
      </c>
      <c r="C389" s="11"/>
      <c r="D389" s="11"/>
      <c r="E389" s="11"/>
      <c r="F389" s="43" t="s">
        <v>413</v>
      </c>
      <c r="G389" s="44"/>
      <c r="H389" s="45"/>
      <c r="I389" s="47"/>
      <c r="J389" s="48"/>
      <c r="K389" s="10">
        <v>1</v>
      </c>
    </row>
    <row r="390" spans="1:11" ht="13" x14ac:dyDescent="0.35">
      <c r="A390" s="11" t="s">
        <v>93</v>
      </c>
      <c r="B390" s="11" t="s">
        <v>412</v>
      </c>
      <c r="C390" s="11"/>
      <c r="D390" s="11"/>
      <c r="E390" s="11"/>
      <c r="F390" s="43" t="s">
        <v>414</v>
      </c>
      <c r="G390" s="44"/>
      <c r="H390" s="45"/>
      <c r="I390" s="47"/>
      <c r="J390" s="48"/>
      <c r="K390" s="10">
        <v>1</v>
      </c>
    </row>
    <row r="391" spans="1:11" ht="13" x14ac:dyDescent="0.35">
      <c r="A391" s="11" t="s">
        <v>93</v>
      </c>
      <c r="B391" s="11" t="s">
        <v>412</v>
      </c>
      <c r="C391" s="11"/>
      <c r="D391" s="11"/>
      <c r="E391" s="11"/>
      <c r="F391" s="57" t="s">
        <v>100</v>
      </c>
      <c r="G391" s="44"/>
      <c r="H391" s="45"/>
      <c r="I391" s="47"/>
      <c r="J391" s="48"/>
      <c r="K391" s="10">
        <v>1</v>
      </c>
    </row>
    <row r="392" spans="1:11" x14ac:dyDescent="0.35">
      <c r="A392" s="11" t="s">
        <v>93</v>
      </c>
      <c r="B392" s="11" t="s">
        <v>412</v>
      </c>
      <c r="C392" s="11"/>
      <c r="D392" s="11"/>
      <c r="E392" s="11"/>
      <c r="F392" s="60" t="s">
        <v>101</v>
      </c>
      <c r="G392" s="44"/>
      <c r="H392" s="45"/>
      <c r="I392" s="47"/>
      <c r="J392" s="48"/>
      <c r="K392" s="10">
        <v>1</v>
      </c>
    </row>
    <row r="393" spans="1:11" ht="13" x14ac:dyDescent="0.35">
      <c r="A393" s="11" t="s">
        <v>93</v>
      </c>
      <c r="B393" s="11" t="s">
        <v>412</v>
      </c>
      <c r="C393" s="11"/>
      <c r="D393" s="11"/>
      <c r="E393" s="11"/>
      <c r="F393" s="141" t="s">
        <v>415</v>
      </c>
      <c r="G393" s="44"/>
      <c r="H393" s="45"/>
      <c r="I393" s="47"/>
      <c r="J393" s="48"/>
      <c r="K393" s="10">
        <v>1</v>
      </c>
    </row>
    <row r="394" spans="1:11" ht="13" x14ac:dyDescent="0.35">
      <c r="A394" s="11" t="s">
        <v>93</v>
      </c>
      <c r="B394" s="11" t="s">
        <v>412</v>
      </c>
      <c r="C394" s="11"/>
      <c r="D394" s="11"/>
      <c r="E394" s="11"/>
      <c r="F394" s="141" t="s">
        <v>416</v>
      </c>
      <c r="G394" s="44"/>
      <c r="H394" s="45"/>
      <c r="I394" s="47"/>
      <c r="J394" s="48"/>
      <c r="K394" s="10">
        <v>1</v>
      </c>
    </row>
    <row r="395" spans="1:11" ht="14.5" x14ac:dyDescent="0.35">
      <c r="A395" s="11" t="s">
        <v>93</v>
      </c>
      <c r="B395" s="11" t="s">
        <v>412</v>
      </c>
      <c r="C395" s="11"/>
      <c r="D395" s="11" t="s">
        <v>20</v>
      </c>
      <c r="E395" s="11"/>
      <c r="F395" s="142" t="s">
        <v>417</v>
      </c>
      <c r="G395" s="44" t="s">
        <v>110</v>
      </c>
      <c r="H395" s="45">
        <v>13</v>
      </c>
      <c r="I395" s="47">
        <v>450</v>
      </c>
      <c r="J395" s="48">
        <f>H395*I395</f>
        <v>5850</v>
      </c>
      <c r="K395" s="10">
        <v>1</v>
      </c>
    </row>
    <row r="396" spans="1:11" ht="13" x14ac:dyDescent="0.35">
      <c r="A396" s="11" t="s">
        <v>93</v>
      </c>
      <c r="B396" s="11" t="s">
        <v>418</v>
      </c>
      <c r="C396" s="11"/>
      <c r="D396" s="11"/>
      <c r="E396" s="11"/>
      <c r="F396" s="43" t="s">
        <v>95</v>
      </c>
      <c r="G396" s="44"/>
      <c r="H396" s="45"/>
      <c r="I396" s="47"/>
      <c r="J396" s="48"/>
      <c r="K396" s="10">
        <v>1</v>
      </c>
    </row>
    <row r="397" spans="1:11" ht="13" x14ac:dyDescent="0.35">
      <c r="A397" s="11" t="s">
        <v>93</v>
      </c>
      <c r="B397" s="11" t="s">
        <v>418</v>
      </c>
      <c r="C397" s="11"/>
      <c r="D397" s="11"/>
      <c r="E397" s="11"/>
      <c r="F397" s="43" t="s">
        <v>96</v>
      </c>
      <c r="G397" s="44"/>
      <c r="H397" s="45"/>
      <c r="I397" s="47"/>
      <c r="J397" s="48"/>
      <c r="K397" s="10">
        <v>1</v>
      </c>
    </row>
    <row r="398" spans="1:11" ht="13" x14ac:dyDescent="0.35">
      <c r="A398" s="11" t="s">
        <v>93</v>
      </c>
      <c r="B398" s="11" t="s">
        <v>418</v>
      </c>
      <c r="C398" s="11"/>
      <c r="D398" s="11"/>
      <c r="E398" s="11"/>
      <c r="F398" s="43" t="s">
        <v>419</v>
      </c>
      <c r="G398" s="44"/>
      <c r="H398" s="45"/>
      <c r="I398" s="47"/>
      <c r="J398" s="48"/>
      <c r="K398" s="10">
        <v>1</v>
      </c>
    </row>
    <row r="399" spans="1:11" ht="13" x14ac:dyDescent="0.35">
      <c r="A399" s="11" t="s">
        <v>93</v>
      </c>
      <c r="B399" s="11" t="s">
        <v>418</v>
      </c>
      <c r="C399" s="11"/>
      <c r="D399" s="11"/>
      <c r="E399" s="11"/>
      <c r="F399" s="43" t="s">
        <v>420</v>
      </c>
      <c r="G399" s="44"/>
      <c r="H399" s="45"/>
      <c r="I399" s="47"/>
      <c r="J399" s="48"/>
      <c r="K399" s="10">
        <v>1</v>
      </c>
    </row>
    <row r="400" spans="1:11" ht="13" x14ac:dyDescent="0.35">
      <c r="A400" s="11" t="s">
        <v>93</v>
      </c>
      <c r="B400" s="11" t="s">
        <v>418</v>
      </c>
      <c r="C400" s="11"/>
      <c r="D400" s="11"/>
      <c r="E400" s="11"/>
      <c r="F400" s="57" t="s">
        <v>100</v>
      </c>
      <c r="G400" s="44"/>
      <c r="H400" s="45"/>
      <c r="I400" s="47"/>
      <c r="J400" s="48"/>
      <c r="K400" s="10">
        <v>1</v>
      </c>
    </row>
    <row r="401" spans="1:11" x14ac:dyDescent="0.35">
      <c r="A401" s="11" t="s">
        <v>93</v>
      </c>
      <c r="B401" s="11" t="s">
        <v>418</v>
      </c>
      <c r="C401" s="11"/>
      <c r="D401" s="11"/>
      <c r="E401" s="11"/>
      <c r="F401" s="60" t="s">
        <v>101</v>
      </c>
      <c r="G401" s="44"/>
      <c r="H401" s="45"/>
      <c r="I401" s="47"/>
      <c r="J401" s="48"/>
      <c r="K401" s="10">
        <v>1</v>
      </c>
    </row>
    <row r="402" spans="1:11" ht="13" x14ac:dyDescent="0.35">
      <c r="A402" s="11" t="s">
        <v>93</v>
      </c>
      <c r="B402" s="11" t="s">
        <v>418</v>
      </c>
      <c r="C402" s="11"/>
      <c r="D402" s="11"/>
      <c r="E402" s="11"/>
      <c r="F402" s="57" t="s">
        <v>333</v>
      </c>
      <c r="G402" s="44"/>
      <c r="H402" s="45"/>
      <c r="I402" s="47"/>
      <c r="J402" s="48"/>
      <c r="K402" s="10">
        <v>1</v>
      </c>
    </row>
    <row r="403" spans="1:11" ht="38.5" customHeight="1" x14ac:dyDescent="0.35">
      <c r="A403" s="11" t="s">
        <v>93</v>
      </c>
      <c r="B403" s="11" t="s">
        <v>418</v>
      </c>
      <c r="C403" s="11"/>
      <c r="D403" s="11"/>
      <c r="E403" s="11"/>
      <c r="F403" s="60" t="s">
        <v>421</v>
      </c>
      <c r="G403" s="44"/>
      <c r="H403" s="117"/>
      <c r="I403" s="47"/>
      <c r="J403" s="48"/>
      <c r="K403" s="10">
        <v>1</v>
      </c>
    </row>
    <row r="404" spans="1:11" x14ac:dyDescent="0.35">
      <c r="A404" s="11" t="s">
        <v>93</v>
      </c>
      <c r="B404" s="11" t="s">
        <v>418</v>
      </c>
      <c r="C404" s="11"/>
      <c r="D404" s="11"/>
      <c r="E404" s="11"/>
      <c r="F404" s="62" t="s">
        <v>422</v>
      </c>
      <c r="G404" s="44"/>
      <c r="H404" s="45"/>
      <c r="I404" s="47"/>
      <c r="J404" s="48"/>
      <c r="K404" s="10">
        <v>1</v>
      </c>
    </row>
    <row r="405" spans="1:11" x14ac:dyDescent="0.35">
      <c r="A405" s="11" t="s">
        <v>93</v>
      </c>
      <c r="B405" s="11" t="s">
        <v>418</v>
      </c>
      <c r="C405" s="11"/>
      <c r="D405" s="11"/>
      <c r="E405" s="11"/>
      <c r="F405" s="62" t="s">
        <v>423</v>
      </c>
      <c r="G405" s="44"/>
      <c r="H405" s="45"/>
      <c r="I405" s="47"/>
      <c r="J405" s="48"/>
      <c r="K405" s="10">
        <v>1</v>
      </c>
    </row>
    <row r="406" spans="1:11" ht="50" x14ac:dyDescent="0.35">
      <c r="A406" s="11" t="s">
        <v>93</v>
      </c>
      <c r="B406" s="11" t="s">
        <v>418</v>
      </c>
      <c r="C406" s="11"/>
      <c r="D406" s="11"/>
      <c r="E406" s="11"/>
      <c r="F406" s="60" t="s">
        <v>424</v>
      </c>
      <c r="G406" s="44"/>
      <c r="H406" s="45"/>
      <c r="I406" s="47"/>
      <c r="J406" s="48"/>
      <c r="K406" s="10">
        <v>1</v>
      </c>
    </row>
    <row r="407" spans="1:11" x14ac:dyDescent="0.35">
      <c r="A407" s="11" t="s">
        <v>93</v>
      </c>
      <c r="B407" s="11" t="s">
        <v>418</v>
      </c>
      <c r="C407" s="11"/>
      <c r="D407" s="11"/>
      <c r="E407" s="11"/>
      <c r="F407" s="62" t="s">
        <v>425</v>
      </c>
      <c r="G407" s="44"/>
      <c r="H407" s="45"/>
      <c r="I407" s="47"/>
      <c r="J407" s="48"/>
      <c r="K407" s="10">
        <v>1</v>
      </c>
    </row>
    <row r="408" spans="1:11" ht="25" x14ac:dyDescent="0.35">
      <c r="A408" s="11" t="s">
        <v>93</v>
      </c>
      <c r="B408" s="11" t="s">
        <v>418</v>
      </c>
      <c r="C408" s="11"/>
      <c r="D408" s="11"/>
      <c r="E408" s="11"/>
      <c r="F408" s="143" t="s">
        <v>426</v>
      </c>
      <c r="G408" s="44"/>
      <c r="H408" s="45"/>
      <c r="I408" s="47"/>
      <c r="J408" s="48"/>
      <c r="K408" s="10">
        <v>1</v>
      </c>
    </row>
    <row r="409" spans="1:11" ht="25" x14ac:dyDescent="0.35">
      <c r="A409" s="11" t="s">
        <v>93</v>
      </c>
      <c r="B409" s="11" t="s">
        <v>418</v>
      </c>
      <c r="C409" s="11"/>
      <c r="D409" s="11"/>
      <c r="E409" s="11"/>
      <c r="F409" s="143" t="s">
        <v>427</v>
      </c>
      <c r="G409" s="44"/>
      <c r="H409" s="45"/>
      <c r="I409" s="47"/>
      <c r="J409" s="48"/>
      <c r="K409" s="10">
        <v>1</v>
      </c>
    </row>
    <row r="410" spans="1:11" x14ac:dyDescent="0.35">
      <c r="A410" s="11" t="s">
        <v>93</v>
      </c>
      <c r="B410" s="11" t="s">
        <v>418</v>
      </c>
      <c r="C410" s="11"/>
      <c r="D410" s="11"/>
      <c r="E410" s="11"/>
      <c r="F410" s="62" t="s">
        <v>428</v>
      </c>
      <c r="G410" s="44"/>
      <c r="H410" s="45"/>
      <c r="I410" s="47"/>
      <c r="J410" s="48"/>
      <c r="K410" s="10">
        <v>1</v>
      </c>
    </row>
    <row r="411" spans="1:11" ht="37.5" x14ac:dyDescent="0.35">
      <c r="A411" s="11" t="s">
        <v>93</v>
      </c>
      <c r="B411" s="11" t="s">
        <v>418</v>
      </c>
      <c r="C411" s="11"/>
      <c r="D411" s="11"/>
      <c r="E411" s="11"/>
      <c r="F411" s="143" t="s">
        <v>429</v>
      </c>
      <c r="G411" s="44"/>
      <c r="H411" s="45"/>
      <c r="I411" s="47"/>
      <c r="J411" s="48"/>
      <c r="K411" s="10">
        <v>1</v>
      </c>
    </row>
    <row r="412" spans="1:11" ht="13" x14ac:dyDescent="0.35">
      <c r="A412" s="11" t="s">
        <v>93</v>
      </c>
      <c r="B412" s="11" t="s">
        <v>418</v>
      </c>
      <c r="C412" s="11"/>
      <c r="D412" s="11"/>
      <c r="E412" s="11"/>
      <c r="F412" s="57" t="s">
        <v>430</v>
      </c>
      <c r="G412" s="44"/>
      <c r="H412" s="45"/>
      <c r="I412" s="47"/>
      <c r="J412" s="48"/>
      <c r="K412" s="10">
        <v>1</v>
      </c>
    </row>
    <row r="413" spans="1:11" ht="13" x14ac:dyDescent="0.35">
      <c r="A413" s="11" t="s">
        <v>93</v>
      </c>
      <c r="B413" s="11" t="s">
        <v>418</v>
      </c>
      <c r="C413" s="11"/>
      <c r="D413" s="11"/>
      <c r="E413" s="11"/>
      <c r="F413" s="57" t="s">
        <v>431</v>
      </c>
      <c r="G413" s="44"/>
      <c r="H413" s="45"/>
      <c r="I413" s="47"/>
      <c r="J413" s="48"/>
      <c r="K413" s="10">
        <v>1</v>
      </c>
    </row>
    <row r="414" spans="1:11" ht="26" x14ac:dyDescent="0.35">
      <c r="A414" s="11" t="s">
        <v>93</v>
      </c>
      <c r="B414" s="11" t="s">
        <v>418</v>
      </c>
      <c r="C414" s="11"/>
      <c r="D414" s="11"/>
      <c r="E414" s="11"/>
      <c r="F414" s="57" t="s">
        <v>432</v>
      </c>
      <c r="G414" s="44"/>
      <c r="H414" s="45"/>
      <c r="I414" s="47"/>
      <c r="J414" s="48"/>
      <c r="K414" s="10">
        <v>1</v>
      </c>
    </row>
    <row r="415" spans="1:11" ht="14.5" x14ac:dyDescent="0.35">
      <c r="A415" s="11" t="s">
        <v>93</v>
      </c>
      <c r="B415" s="11" t="s">
        <v>418</v>
      </c>
      <c r="C415" s="11"/>
      <c r="D415" s="11" t="s">
        <v>20</v>
      </c>
      <c r="E415" s="11"/>
      <c r="F415" s="60" t="s">
        <v>433</v>
      </c>
      <c r="G415" s="44" t="s">
        <v>110</v>
      </c>
      <c r="H415" s="45">
        <f>H336</f>
        <v>219</v>
      </c>
      <c r="I415" s="47">
        <v>85</v>
      </c>
      <c r="J415" s="48">
        <f>H415*I415</f>
        <v>18615</v>
      </c>
      <c r="K415" s="10">
        <v>1</v>
      </c>
    </row>
    <row r="416" spans="1:11" ht="14.5" x14ac:dyDescent="0.35">
      <c r="A416" s="11" t="s">
        <v>93</v>
      </c>
      <c r="B416" s="11" t="s">
        <v>418</v>
      </c>
      <c r="C416" s="11"/>
      <c r="D416" s="11" t="s">
        <v>26</v>
      </c>
      <c r="E416" s="11"/>
      <c r="F416" s="60" t="s">
        <v>434</v>
      </c>
      <c r="G416" s="44" t="s">
        <v>110</v>
      </c>
      <c r="H416" s="45">
        <v>33</v>
      </c>
      <c r="I416" s="47">
        <v>85</v>
      </c>
      <c r="J416" s="48">
        <f>H416*I416</f>
        <v>2805</v>
      </c>
      <c r="K416" s="10">
        <v>1</v>
      </c>
    </row>
    <row r="417" spans="1:11" ht="13" x14ac:dyDescent="0.35">
      <c r="A417" s="11" t="s">
        <v>93</v>
      </c>
      <c r="B417" s="11" t="s">
        <v>418</v>
      </c>
      <c r="C417" s="11"/>
      <c r="D417" s="11"/>
      <c r="E417" s="11"/>
      <c r="F417" s="57" t="s">
        <v>435</v>
      </c>
      <c r="G417" s="44"/>
      <c r="H417" s="45"/>
      <c r="I417" s="47"/>
      <c r="J417" s="48"/>
      <c r="K417" s="10">
        <v>1</v>
      </c>
    </row>
    <row r="418" spans="1:11" ht="26" x14ac:dyDescent="0.35">
      <c r="A418" s="11" t="s">
        <v>93</v>
      </c>
      <c r="B418" s="11" t="s">
        <v>418</v>
      </c>
      <c r="C418" s="11"/>
      <c r="D418" s="11"/>
      <c r="E418" s="11"/>
      <c r="F418" s="57" t="s">
        <v>436</v>
      </c>
      <c r="G418" s="44"/>
      <c r="H418" s="45"/>
      <c r="I418" s="47"/>
      <c r="J418" s="48"/>
      <c r="K418" s="10">
        <v>1</v>
      </c>
    </row>
    <row r="419" spans="1:11" ht="14.5" x14ac:dyDescent="0.35">
      <c r="A419" s="11" t="s">
        <v>93</v>
      </c>
      <c r="B419" s="11" t="s">
        <v>418</v>
      </c>
      <c r="C419" s="11"/>
      <c r="D419" s="11" t="s">
        <v>29</v>
      </c>
      <c r="E419" s="11"/>
      <c r="F419" s="60" t="s">
        <v>437</v>
      </c>
      <c r="G419" s="44" t="s">
        <v>110</v>
      </c>
      <c r="H419" s="45">
        <f>H243</f>
        <v>121</v>
      </c>
      <c r="I419" s="47">
        <v>85</v>
      </c>
      <c r="J419" s="48">
        <f>H419*I419</f>
        <v>10285</v>
      </c>
      <c r="K419" s="10">
        <v>1</v>
      </c>
    </row>
    <row r="420" spans="1:11" ht="14.5" x14ac:dyDescent="0.35">
      <c r="A420" s="11" t="s">
        <v>93</v>
      </c>
      <c r="B420" s="11" t="s">
        <v>418</v>
      </c>
      <c r="C420" s="11"/>
      <c r="D420" s="11" t="s">
        <v>32</v>
      </c>
      <c r="E420" s="11"/>
      <c r="F420" s="60" t="s">
        <v>438</v>
      </c>
      <c r="G420" s="44" t="s">
        <v>110</v>
      </c>
      <c r="H420" s="45">
        <f>H246*0.3</f>
        <v>21.599999999999998</v>
      </c>
      <c r="I420" s="47">
        <v>85</v>
      </c>
      <c r="J420" s="48">
        <f>H420*I420</f>
        <v>1835.9999999999998</v>
      </c>
      <c r="K420" s="10">
        <v>1</v>
      </c>
    </row>
    <row r="421" spans="1:11" x14ac:dyDescent="0.35">
      <c r="A421" s="11" t="s">
        <v>93</v>
      </c>
      <c r="B421" s="11" t="s">
        <v>418</v>
      </c>
      <c r="C421" s="11"/>
      <c r="D421" s="11" t="s">
        <v>36</v>
      </c>
      <c r="E421" s="11"/>
      <c r="F421" s="60" t="s">
        <v>439</v>
      </c>
      <c r="G421" s="44" t="s">
        <v>186</v>
      </c>
      <c r="H421" s="45">
        <v>72</v>
      </c>
      <c r="I421" s="47">
        <v>95</v>
      </c>
      <c r="J421" s="48">
        <f>H421*I421</f>
        <v>6840</v>
      </c>
      <c r="K421" s="10">
        <v>1</v>
      </c>
    </row>
    <row r="422" spans="1:11" ht="13" x14ac:dyDescent="0.35">
      <c r="A422" s="11" t="s">
        <v>93</v>
      </c>
      <c r="B422" s="11" t="s">
        <v>418</v>
      </c>
      <c r="C422" s="11"/>
      <c r="D422" s="11"/>
      <c r="E422" s="134"/>
      <c r="F422" s="57" t="s">
        <v>440</v>
      </c>
      <c r="G422" s="44"/>
      <c r="H422" s="122"/>
      <c r="I422" s="121"/>
      <c r="J422" s="48"/>
      <c r="K422" s="10">
        <v>1</v>
      </c>
    </row>
    <row r="423" spans="1:11" ht="26" x14ac:dyDescent="0.35">
      <c r="A423" s="11" t="s">
        <v>93</v>
      </c>
      <c r="B423" s="11" t="s">
        <v>418</v>
      </c>
      <c r="C423" s="11"/>
      <c r="D423" s="11"/>
      <c r="E423" s="134"/>
      <c r="F423" s="57" t="s">
        <v>441</v>
      </c>
      <c r="G423" s="44"/>
      <c r="H423" s="122"/>
      <c r="I423" s="121"/>
      <c r="J423" s="48"/>
      <c r="K423" s="10">
        <v>1</v>
      </c>
    </row>
    <row r="424" spans="1:11" ht="14.5" x14ac:dyDescent="0.35">
      <c r="A424" s="11" t="s">
        <v>93</v>
      </c>
      <c r="B424" s="11" t="s">
        <v>418</v>
      </c>
      <c r="C424" s="11"/>
      <c r="D424" s="144" t="s">
        <v>39</v>
      </c>
      <c r="E424" s="145"/>
      <c r="F424" s="146" t="s">
        <v>442</v>
      </c>
      <c r="G424" s="147" t="s">
        <v>110</v>
      </c>
      <c r="H424" s="148">
        <v>6</v>
      </c>
      <c r="I424" s="150">
        <v>95</v>
      </c>
      <c r="J424" s="151">
        <f>H424*I424</f>
        <v>570</v>
      </c>
      <c r="K424" s="10">
        <v>1</v>
      </c>
    </row>
    <row r="425" spans="1:11" ht="14.5" x14ac:dyDescent="0.35">
      <c r="A425" s="11" t="s">
        <v>93</v>
      </c>
      <c r="B425" s="11" t="s">
        <v>418</v>
      </c>
      <c r="C425" s="11"/>
      <c r="D425" s="11" t="s">
        <v>42</v>
      </c>
      <c r="E425" s="134"/>
      <c r="F425" s="60" t="s">
        <v>443</v>
      </c>
      <c r="G425" s="44" t="s">
        <v>110</v>
      </c>
      <c r="H425" s="122">
        <v>13</v>
      </c>
      <c r="I425" s="121">
        <v>95</v>
      </c>
      <c r="J425" s="48">
        <f>H425*I425</f>
        <v>1235</v>
      </c>
      <c r="K425" s="10">
        <v>1</v>
      </c>
    </row>
    <row r="426" spans="1:11" ht="13" x14ac:dyDescent="0.35">
      <c r="A426" s="11" t="s">
        <v>93</v>
      </c>
      <c r="B426" s="11" t="s">
        <v>418</v>
      </c>
      <c r="C426" s="11"/>
      <c r="D426" s="11"/>
      <c r="E426" s="134"/>
      <c r="F426" s="57" t="s">
        <v>444</v>
      </c>
      <c r="G426" s="44"/>
      <c r="H426" s="122"/>
      <c r="I426" s="121"/>
      <c r="J426" s="48"/>
      <c r="K426" s="10">
        <v>1</v>
      </c>
    </row>
    <row r="427" spans="1:11" ht="25" x14ac:dyDescent="0.35">
      <c r="A427" s="11" t="s">
        <v>93</v>
      </c>
      <c r="B427" s="11" t="s">
        <v>418</v>
      </c>
      <c r="C427" s="11"/>
      <c r="D427" s="11"/>
      <c r="E427" s="134"/>
      <c r="F427" s="62" t="s">
        <v>445</v>
      </c>
      <c r="G427" s="44"/>
      <c r="H427" s="122"/>
      <c r="I427" s="121"/>
      <c r="J427" s="48"/>
      <c r="K427" s="10">
        <v>1</v>
      </c>
    </row>
    <row r="428" spans="1:11" ht="14.5" x14ac:dyDescent="0.35">
      <c r="A428" s="11" t="s">
        <v>93</v>
      </c>
      <c r="B428" s="11" t="s">
        <v>418</v>
      </c>
      <c r="C428" s="11"/>
      <c r="D428" s="11" t="s">
        <v>45</v>
      </c>
      <c r="E428" s="134"/>
      <c r="F428" s="60" t="s">
        <v>446</v>
      </c>
      <c r="G428" s="44" t="s">
        <v>110</v>
      </c>
      <c r="H428" s="122">
        <v>13</v>
      </c>
      <c r="I428" s="121">
        <v>85</v>
      </c>
      <c r="J428" s="48">
        <f>H428*I428</f>
        <v>1105</v>
      </c>
      <c r="K428" s="10">
        <v>1</v>
      </c>
    </row>
    <row r="429" spans="1:11" x14ac:dyDescent="0.35">
      <c r="A429" s="11" t="s">
        <v>93</v>
      </c>
      <c r="B429" s="11" t="s">
        <v>418</v>
      </c>
      <c r="C429" s="11"/>
      <c r="D429" s="11" t="s">
        <v>48</v>
      </c>
      <c r="E429" s="134"/>
      <c r="F429" s="60" t="s">
        <v>447</v>
      </c>
      <c r="G429" s="44" t="s">
        <v>186</v>
      </c>
      <c r="H429" s="122">
        <v>73</v>
      </c>
      <c r="I429" s="121">
        <v>95</v>
      </c>
      <c r="J429" s="48">
        <f>H429*I429</f>
        <v>6935</v>
      </c>
      <c r="K429" s="10">
        <v>1</v>
      </c>
    </row>
    <row r="430" spans="1:11" ht="13" x14ac:dyDescent="0.35">
      <c r="A430" s="11" t="s">
        <v>93</v>
      </c>
      <c r="B430" s="11" t="s">
        <v>448</v>
      </c>
      <c r="C430" s="11"/>
      <c r="D430" s="11"/>
      <c r="E430" s="11"/>
      <c r="F430" s="43" t="s">
        <v>95</v>
      </c>
      <c r="G430" s="44"/>
      <c r="H430" s="45"/>
      <c r="I430" s="47"/>
      <c r="J430" s="55"/>
      <c r="K430" s="10">
        <v>1</v>
      </c>
    </row>
    <row r="431" spans="1:11" ht="13" x14ac:dyDescent="0.35">
      <c r="A431" s="11" t="s">
        <v>93</v>
      </c>
      <c r="B431" s="11" t="s">
        <v>448</v>
      </c>
      <c r="C431" s="11"/>
      <c r="D431" s="11"/>
      <c r="E431" s="11"/>
      <c r="F431" s="43" t="s">
        <v>96</v>
      </c>
      <c r="G431" s="44"/>
      <c r="H431" s="45"/>
      <c r="I431" s="47"/>
      <c r="J431" s="55"/>
      <c r="K431" s="10">
        <v>1</v>
      </c>
    </row>
    <row r="432" spans="1:11" ht="13" x14ac:dyDescent="0.35">
      <c r="A432" s="11" t="s">
        <v>93</v>
      </c>
      <c r="B432" s="11" t="s">
        <v>448</v>
      </c>
      <c r="C432" s="11"/>
      <c r="D432" s="11"/>
      <c r="E432" s="11"/>
      <c r="F432" s="43" t="s">
        <v>449</v>
      </c>
      <c r="G432" s="44"/>
      <c r="H432" s="45"/>
      <c r="I432" s="47"/>
      <c r="J432" s="55"/>
      <c r="K432" s="10">
        <v>1</v>
      </c>
    </row>
    <row r="433" spans="1:11" ht="13" x14ac:dyDescent="0.35">
      <c r="A433" s="11" t="s">
        <v>93</v>
      </c>
      <c r="B433" s="11" t="s">
        <v>448</v>
      </c>
      <c r="C433" s="11"/>
      <c r="D433" s="11"/>
      <c r="E433" s="11"/>
      <c r="F433" s="153" t="s">
        <v>450</v>
      </c>
      <c r="G433" s="44"/>
      <c r="H433" s="45"/>
      <c r="I433" s="47"/>
      <c r="J433" s="55"/>
      <c r="K433" s="10">
        <v>1</v>
      </c>
    </row>
    <row r="434" spans="1:11" ht="13" x14ac:dyDescent="0.35">
      <c r="A434" s="11" t="s">
        <v>93</v>
      </c>
      <c r="B434" s="11" t="s">
        <v>448</v>
      </c>
      <c r="C434" s="11"/>
      <c r="D434" s="11"/>
      <c r="E434" s="11"/>
      <c r="F434" s="154" t="s">
        <v>100</v>
      </c>
      <c r="G434" s="44"/>
      <c r="H434" s="45"/>
      <c r="I434" s="47"/>
      <c r="J434" s="55"/>
      <c r="K434" s="10">
        <v>1</v>
      </c>
    </row>
    <row r="435" spans="1:11" ht="13" x14ac:dyDescent="0.35">
      <c r="A435" s="11" t="s">
        <v>93</v>
      </c>
      <c r="B435" s="11" t="s">
        <v>448</v>
      </c>
      <c r="C435" s="11"/>
      <c r="D435" s="11"/>
      <c r="E435" s="11"/>
      <c r="F435" s="155" t="s">
        <v>101</v>
      </c>
      <c r="G435" s="44"/>
      <c r="H435" s="45"/>
      <c r="I435" s="47"/>
      <c r="J435" s="55"/>
      <c r="K435" s="10">
        <v>1</v>
      </c>
    </row>
    <row r="436" spans="1:11" ht="13" x14ac:dyDescent="0.35">
      <c r="A436" s="11" t="s">
        <v>93</v>
      </c>
      <c r="B436" s="11" t="s">
        <v>448</v>
      </c>
      <c r="C436" s="11"/>
      <c r="D436" s="11"/>
      <c r="E436" s="11"/>
      <c r="F436" s="153" t="s">
        <v>451</v>
      </c>
      <c r="G436" s="44"/>
      <c r="H436" s="45"/>
      <c r="I436" s="47"/>
      <c r="J436" s="48"/>
      <c r="K436" s="10">
        <v>1</v>
      </c>
    </row>
    <row r="437" spans="1:11" ht="38.5" customHeight="1" x14ac:dyDescent="0.35">
      <c r="A437" s="11" t="s">
        <v>93</v>
      </c>
      <c r="B437" s="11" t="s">
        <v>448</v>
      </c>
      <c r="C437" s="11"/>
      <c r="D437" s="11"/>
      <c r="E437" s="11"/>
      <c r="F437" s="156" t="s">
        <v>452</v>
      </c>
      <c r="G437" s="44"/>
      <c r="H437" s="45"/>
      <c r="I437" s="47"/>
      <c r="J437" s="48"/>
      <c r="K437" s="10">
        <v>1</v>
      </c>
    </row>
    <row r="438" spans="1:11" ht="52" x14ac:dyDescent="0.35">
      <c r="A438" s="11" t="s">
        <v>93</v>
      </c>
      <c r="B438" s="11" t="s">
        <v>448</v>
      </c>
      <c r="C438" s="11"/>
      <c r="D438" s="11"/>
      <c r="E438" s="11"/>
      <c r="F438" s="156" t="s">
        <v>453</v>
      </c>
      <c r="G438" s="44"/>
      <c r="H438" s="45"/>
      <c r="I438" s="47"/>
      <c r="J438" s="48"/>
      <c r="K438" s="10">
        <v>1</v>
      </c>
    </row>
    <row r="439" spans="1:11" ht="13" x14ac:dyDescent="0.35">
      <c r="A439" s="11" t="s">
        <v>93</v>
      </c>
      <c r="B439" s="11" t="s">
        <v>448</v>
      </c>
      <c r="C439" s="11"/>
      <c r="D439" s="11"/>
      <c r="E439" s="11"/>
      <c r="F439" s="157" t="s">
        <v>454</v>
      </c>
      <c r="G439" s="44"/>
      <c r="H439" s="45"/>
      <c r="I439" s="47"/>
      <c r="J439" s="48"/>
      <c r="K439" s="10">
        <v>1</v>
      </c>
    </row>
    <row r="440" spans="1:11" ht="62.5" x14ac:dyDescent="0.35">
      <c r="A440" s="158" t="s">
        <v>93</v>
      </c>
      <c r="B440" s="11" t="s">
        <v>448</v>
      </c>
      <c r="C440" s="11"/>
      <c r="D440" s="11" t="s">
        <v>20</v>
      </c>
      <c r="E440" s="11"/>
      <c r="F440" s="159" t="s">
        <v>455</v>
      </c>
      <c r="G440" s="44" t="s">
        <v>456</v>
      </c>
      <c r="H440" s="45">
        <v>1</v>
      </c>
      <c r="I440" s="47">
        <v>4000</v>
      </c>
      <c r="J440" s="48">
        <f>H440*I440</f>
        <v>4000</v>
      </c>
      <c r="K440" s="10">
        <v>1</v>
      </c>
    </row>
    <row r="441" spans="1:11" ht="13" x14ac:dyDescent="0.35">
      <c r="A441" s="11" t="s">
        <v>93</v>
      </c>
      <c r="B441" s="11" t="s">
        <v>448</v>
      </c>
      <c r="C441" s="11"/>
      <c r="D441" s="11"/>
      <c r="E441" s="11"/>
      <c r="F441" s="157" t="s">
        <v>457</v>
      </c>
      <c r="G441" s="44"/>
      <c r="H441" s="45"/>
      <c r="I441" s="47"/>
      <c r="J441" s="48"/>
      <c r="K441" s="10">
        <v>1</v>
      </c>
    </row>
    <row r="442" spans="1:11" x14ac:dyDescent="0.35">
      <c r="A442" s="11" t="s">
        <v>93</v>
      </c>
      <c r="B442" s="11" t="s">
        <v>448</v>
      </c>
      <c r="C442" s="11"/>
      <c r="D442" s="11" t="s">
        <v>26</v>
      </c>
      <c r="E442" s="11"/>
      <c r="F442" s="159" t="s">
        <v>458</v>
      </c>
      <c r="G442" s="44" t="s">
        <v>456</v>
      </c>
      <c r="H442" s="45">
        <v>3</v>
      </c>
      <c r="I442" s="47">
        <v>300</v>
      </c>
      <c r="J442" s="48">
        <f>H442*I442</f>
        <v>900</v>
      </c>
      <c r="K442" s="10">
        <v>1</v>
      </c>
    </row>
    <row r="443" spans="1:11" x14ac:dyDescent="0.35">
      <c r="A443" s="11" t="s">
        <v>93</v>
      </c>
      <c r="B443" s="11" t="s">
        <v>448</v>
      </c>
      <c r="C443" s="11"/>
      <c r="D443" s="11" t="s">
        <v>29</v>
      </c>
      <c r="E443" s="11"/>
      <c r="F443" s="159" t="s">
        <v>459</v>
      </c>
      <c r="G443" s="44" t="s">
        <v>456</v>
      </c>
      <c r="H443" s="45">
        <v>6</v>
      </c>
      <c r="I443" s="47">
        <v>400</v>
      </c>
      <c r="J443" s="48">
        <f>H443*I443</f>
        <v>2400</v>
      </c>
      <c r="K443" s="10">
        <v>1</v>
      </c>
    </row>
    <row r="444" spans="1:11" x14ac:dyDescent="0.35">
      <c r="A444" s="11" t="s">
        <v>93</v>
      </c>
      <c r="B444" s="11" t="s">
        <v>448</v>
      </c>
      <c r="C444" s="11"/>
      <c r="D444" s="11" t="s">
        <v>32</v>
      </c>
      <c r="E444" s="11"/>
      <c r="F444" s="159" t="s">
        <v>460</v>
      </c>
      <c r="G444" s="44" t="s">
        <v>456</v>
      </c>
      <c r="H444" s="45"/>
      <c r="I444" s="160"/>
      <c r="J444" s="48">
        <f>H444*I444</f>
        <v>0</v>
      </c>
      <c r="K444" s="10">
        <v>1</v>
      </c>
    </row>
    <row r="445" spans="1:11" x14ac:dyDescent="0.35">
      <c r="A445" s="11" t="s">
        <v>93</v>
      </c>
      <c r="B445" s="11" t="s">
        <v>448</v>
      </c>
      <c r="C445" s="11"/>
      <c r="D445" s="11" t="s">
        <v>36</v>
      </c>
      <c r="E445" s="11"/>
      <c r="F445" s="159" t="s">
        <v>461</v>
      </c>
      <c r="G445" s="44" t="s">
        <v>456</v>
      </c>
      <c r="H445" s="45">
        <v>1</v>
      </c>
      <c r="I445" s="47">
        <v>4500</v>
      </c>
      <c r="J445" s="48">
        <f>H445*I445</f>
        <v>4500</v>
      </c>
      <c r="K445" s="10">
        <v>1</v>
      </c>
    </row>
    <row r="446" spans="1:11" ht="13" x14ac:dyDescent="0.35">
      <c r="A446" s="11" t="s">
        <v>93</v>
      </c>
      <c r="B446" s="11" t="s">
        <v>448</v>
      </c>
      <c r="C446" s="11"/>
      <c r="D446" s="11"/>
      <c r="E446" s="11"/>
      <c r="F446" s="157" t="s">
        <v>462</v>
      </c>
      <c r="G446" s="44"/>
      <c r="H446" s="45"/>
      <c r="I446" s="47"/>
      <c r="J446" s="48"/>
      <c r="K446" s="10">
        <v>1</v>
      </c>
    </row>
    <row r="447" spans="1:11" x14ac:dyDescent="0.35">
      <c r="A447" s="11" t="s">
        <v>93</v>
      </c>
      <c r="B447" s="11" t="s">
        <v>448</v>
      </c>
      <c r="C447" s="11"/>
      <c r="D447" s="11" t="s">
        <v>39</v>
      </c>
      <c r="E447" s="11"/>
      <c r="F447" s="159" t="s">
        <v>463</v>
      </c>
      <c r="G447" s="44" t="s">
        <v>456</v>
      </c>
      <c r="H447" s="45">
        <v>2</v>
      </c>
      <c r="I447" s="47">
        <v>1500</v>
      </c>
      <c r="J447" s="48">
        <f>H447*I447</f>
        <v>3000</v>
      </c>
      <c r="K447" s="10">
        <v>1</v>
      </c>
    </row>
    <row r="448" spans="1:11" ht="13" x14ac:dyDescent="0.35">
      <c r="A448" s="11" t="s">
        <v>93</v>
      </c>
      <c r="B448" s="11" t="s">
        <v>448</v>
      </c>
      <c r="C448" s="11"/>
      <c r="D448" s="11"/>
      <c r="E448" s="11"/>
      <c r="F448" s="157" t="s">
        <v>464</v>
      </c>
      <c r="G448" s="44"/>
      <c r="H448" s="45"/>
      <c r="I448" s="47"/>
      <c r="J448" s="48"/>
      <c r="K448" s="10">
        <v>1</v>
      </c>
    </row>
    <row r="449" spans="1:11" x14ac:dyDescent="0.35">
      <c r="A449" s="11" t="s">
        <v>93</v>
      </c>
      <c r="B449" s="11" t="s">
        <v>448</v>
      </c>
      <c r="C449" s="11"/>
      <c r="D449" s="11" t="s">
        <v>42</v>
      </c>
      <c r="E449" s="11"/>
      <c r="F449" s="159" t="s">
        <v>465</v>
      </c>
      <c r="G449" s="44" t="s">
        <v>456</v>
      </c>
      <c r="H449" s="45">
        <v>1</v>
      </c>
      <c r="I449" s="47">
        <v>3000</v>
      </c>
      <c r="J449" s="48">
        <f>H449*I449</f>
        <v>3000</v>
      </c>
      <c r="K449" s="10">
        <v>1</v>
      </c>
    </row>
    <row r="450" spans="1:11" ht="13" x14ac:dyDescent="0.35">
      <c r="A450" s="11" t="s">
        <v>93</v>
      </c>
      <c r="B450" s="11" t="s">
        <v>448</v>
      </c>
      <c r="C450" s="11"/>
      <c r="D450" s="11"/>
      <c r="E450" s="11"/>
      <c r="F450" s="157" t="s">
        <v>466</v>
      </c>
      <c r="G450" s="44"/>
      <c r="H450" s="45"/>
      <c r="I450" s="47"/>
      <c r="J450" s="48"/>
      <c r="K450" s="10">
        <v>1</v>
      </c>
    </row>
    <row r="451" spans="1:11" x14ac:dyDescent="0.35">
      <c r="A451" s="11" t="s">
        <v>93</v>
      </c>
      <c r="B451" s="11" t="s">
        <v>448</v>
      </c>
      <c r="C451" s="11"/>
      <c r="D451" s="11" t="s">
        <v>45</v>
      </c>
      <c r="E451" s="11"/>
      <c r="F451" s="159" t="s">
        <v>467</v>
      </c>
      <c r="G451" s="44" t="s">
        <v>468</v>
      </c>
      <c r="H451" s="45">
        <v>14</v>
      </c>
      <c r="I451" s="47">
        <v>120</v>
      </c>
      <c r="J451" s="48">
        <f>H451*I451</f>
        <v>1680</v>
      </c>
      <c r="K451" s="10">
        <v>1</v>
      </c>
    </row>
    <row r="452" spans="1:11" ht="13" x14ac:dyDescent="0.35">
      <c r="A452" s="11" t="s">
        <v>93</v>
      </c>
      <c r="B452" s="11" t="s">
        <v>448</v>
      </c>
      <c r="C452" s="11"/>
      <c r="D452" s="11"/>
      <c r="E452" s="11"/>
      <c r="F452" s="157" t="s">
        <v>469</v>
      </c>
      <c r="G452" s="44"/>
      <c r="H452" s="45"/>
      <c r="I452" s="47"/>
      <c r="J452" s="48"/>
      <c r="K452" s="10">
        <v>1</v>
      </c>
    </row>
    <row r="453" spans="1:11" ht="37.5" x14ac:dyDescent="0.35">
      <c r="A453" s="11" t="s">
        <v>93</v>
      </c>
      <c r="B453" s="11" t="s">
        <v>448</v>
      </c>
      <c r="C453" s="11"/>
      <c r="D453" s="11"/>
      <c r="E453" s="11"/>
      <c r="F453" s="159" t="s">
        <v>470</v>
      </c>
      <c r="G453" s="44"/>
      <c r="H453" s="45"/>
      <c r="I453" s="47"/>
      <c r="J453" s="48"/>
      <c r="K453" s="10">
        <v>1</v>
      </c>
    </row>
    <row r="454" spans="1:11" x14ac:dyDescent="0.35">
      <c r="A454" s="11" t="s">
        <v>93</v>
      </c>
      <c r="B454" s="11" t="s">
        <v>448</v>
      </c>
      <c r="C454" s="11"/>
      <c r="D454" s="11" t="s">
        <v>48</v>
      </c>
      <c r="E454" s="11"/>
      <c r="F454" s="159" t="s">
        <v>471</v>
      </c>
      <c r="G454" s="44" t="s">
        <v>186</v>
      </c>
      <c r="H454" s="45">
        <v>40</v>
      </c>
      <c r="I454" s="47">
        <v>145</v>
      </c>
      <c r="J454" s="48">
        <f>H454*I454</f>
        <v>5800</v>
      </c>
      <c r="K454" s="10">
        <v>1</v>
      </c>
    </row>
    <row r="455" spans="1:11" ht="25" x14ac:dyDescent="0.35">
      <c r="A455" s="11" t="s">
        <v>93</v>
      </c>
      <c r="B455" s="11" t="s">
        <v>448</v>
      </c>
      <c r="C455" s="11"/>
      <c r="D455" s="11"/>
      <c r="E455" s="11"/>
      <c r="F455" s="159" t="s">
        <v>472</v>
      </c>
      <c r="G455" s="44"/>
      <c r="H455" s="45"/>
      <c r="I455" s="47"/>
      <c r="J455" s="48"/>
      <c r="K455" s="10">
        <v>1</v>
      </c>
    </row>
    <row r="456" spans="1:11" x14ac:dyDescent="0.35">
      <c r="A456" s="11" t="s">
        <v>93</v>
      </c>
      <c r="B456" s="11" t="s">
        <v>448</v>
      </c>
      <c r="C456" s="11"/>
      <c r="D456" s="11" t="s">
        <v>51</v>
      </c>
      <c r="E456" s="11"/>
      <c r="F456" s="159" t="s">
        <v>471</v>
      </c>
      <c r="G456" s="44" t="s">
        <v>456</v>
      </c>
      <c r="H456" s="45">
        <v>2</v>
      </c>
      <c r="I456" s="47">
        <v>300</v>
      </c>
      <c r="J456" s="48">
        <f>H456*I456</f>
        <v>600</v>
      </c>
      <c r="K456" s="10">
        <v>1</v>
      </c>
    </row>
    <row r="457" spans="1:11" ht="25" x14ac:dyDescent="0.35">
      <c r="A457" s="11" t="s">
        <v>93</v>
      </c>
      <c r="B457" s="11" t="s">
        <v>448</v>
      </c>
      <c r="C457" s="11"/>
      <c r="D457" s="11"/>
      <c r="E457" s="11"/>
      <c r="F457" s="159" t="s">
        <v>473</v>
      </c>
      <c r="G457" s="44"/>
      <c r="H457" s="45"/>
      <c r="I457" s="47"/>
      <c r="J457" s="48"/>
      <c r="K457" s="10">
        <v>1</v>
      </c>
    </row>
    <row r="458" spans="1:11" x14ac:dyDescent="0.35">
      <c r="A458" s="11" t="s">
        <v>93</v>
      </c>
      <c r="B458" s="11" t="s">
        <v>448</v>
      </c>
      <c r="C458" s="11"/>
      <c r="D458" s="11" t="s">
        <v>53</v>
      </c>
      <c r="E458" s="11"/>
      <c r="F458" s="159" t="s">
        <v>474</v>
      </c>
      <c r="G458" s="44" t="s">
        <v>186</v>
      </c>
      <c r="H458" s="45">
        <v>40</v>
      </c>
      <c r="I458" s="47">
        <v>20</v>
      </c>
      <c r="J458" s="48">
        <f>H458*I458</f>
        <v>800</v>
      </c>
      <c r="K458" s="10">
        <v>1</v>
      </c>
    </row>
    <row r="459" spans="1:11" ht="13" x14ac:dyDescent="0.35">
      <c r="A459" s="11" t="s">
        <v>93</v>
      </c>
      <c r="B459" s="11" t="s">
        <v>448</v>
      </c>
      <c r="C459" s="11"/>
      <c r="D459" s="11"/>
      <c r="E459" s="11"/>
      <c r="F459" s="156" t="s">
        <v>475</v>
      </c>
      <c r="G459" s="44"/>
      <c r="H459" s="45"/>
      <c r="I459" s="47"/>
      <c r="J459" s="48"/>
      <c r="K459" s="10">
        <v>1</v>
      </c>
    </row>
    <row r="460" spans="1:11" ht="37.5" x14ac:dyDescent="0.35">
      <c r="A460" s="11" t="s">
        <v>93</v>
      </c>
      <c r="B460" s="11" t="s">
        <v>448</v>
      </c>
      <c r="C460" s="11"/>
      <c r="D460" s="11"/>
      <c r="E460" s="11"/>
      <c r="F460" s="159" t="s">
        <v>476</v>
      </c>
      <c r="G460" s="44"/>
      <c r="H460" s="45"/>
      <c r="I460" s="47"/>
      <c r="J460" s="48"/>
      <c r="K460" s="10">
        <v>1</v>
      </c>
    </row>
    <row r="461" spans="1:11" x14ac:dyDescent="0.35">
      <c r="A461" s="11" t="s">
        <v>93</v>
      </c>
      <c r="B461" s="11" t="s">
        <v>448</v>
      </c>
      <c r="C461" s="11"/>
      <c r="D461" s="11" t="s">
        <v>55</v>
      </c>
      <c r="E461" s="11"/>
      <c r="F461" s="159" t="s">
        <v>477</v>
      </c>
      <c r="G461" s="44" t="s">
        <v>478</v>
      </c>
      <c r="H461" s="45">
        <v>7.1999999999999993</v>
      </c>
      <c r="I461" s="47">
        <v>165</v>
      </c>
      <c r="J461" s="48">
        <f>H461*I461</f>
        <v>1187.9999999999998</v>
      </c>
      <c r="K461" s="10">
        <v>1</v>
      </c>
    </row>
    <row r="462" spans="1:11" x14ac:dyDescent="0.35">
      <c r="A462" s="11" t="s">
        <v>93</v>
      </c>
      <c r="B462" s="11" t="s">
        <v>448</v>
      </c>
      <c r="C462" s="11"/>
      <c r="D462" s="11" t="s">
        <v>58</v>
      </c>
      <c r="E462" s="11"/>
      <c r="F462" s="159" t="s">
        <v>479</v>
      </c>
      <c r="G462" s="44" t="s">
        <v>478</v>
      </c>
      <c r="H462" s="45"/>
      <c r="I462" s="47"/>
      <c r="J462" s="48"/>
      <c r="K462" s="10">
        <v>1</v>
      </c>
    </row>
    <row r="463" spans="1:11" x14ac:dyDescent="0.35">
      <c r="A463" s="11" t="s">
        <v>93</v>
      </c>
      <c r="B463" s="11" t="s">
        <v>448</v>
      </c>
      <c r="C463" s="11"/>
      <c r="D463" s="11" t="s">
        <v>87</v>
      </c>
      <c r="E463" s="11"/>
      <c r="F463" s="159" t="s">
        <v>480</v>
      </c>
      <c r="G463" s="44" t="s">
        <v>478</v>
      </c>
      <c r="H463" s="45"/>
      <c r="I463" s="47"/>
      <c r="J463" s="48"/>
      <c r="K463" s="10">
        <v>1</v>
      </c>
    </row>
    <row r="464" spans="1:11" x14ac:dyDescent="0.35">
      <c r="A464" s="11" t="s">
        <v>93</v>
      </c>
      <c r="B464" s="11" t="s">
        <v>448</v>
      </c>
      <c r="C464" s="11"/>
      <c r="D464" s="11" t="s">
        <v>90</v>
      </c>
      <c r="E464" s="11"/>
      <c r="F464" s="159" t="s">
        <v>481</v>
      </c>
      <c r="G464" s="44" t="s">
        <v>478</v>
      </c>
      <c r="H464" s="45"/>
      <c r="I464" s="47"/>
      <c r="J464" s="48"/>
      <c r="K464" s="10">
        <v>1</v>
      </c>
    </row>
    <row r="465" spans="1:11" ht="13" x14ac:dyDescent="0.35">
      <c r="A465" s="11" t="s">
        <v>93</v>
      </c>
      <c r="B465" s="11" t="s">
        <v>448</v>
      </c>
      <c r="C465" s="11"/>
      <c r="D465" s="11"/>
      <c r="E465" s="11"/>
      <c r="F465" s="156" t="s">
        <v>482</v>
      </c>
      <c r="G465" s="44"/>
      <c r="H465" s="45"/>
      <c r="I465" s="47"/>
      <c r="J465" s="48"/>
      <c r="K465" s="10">
        <v>1</v>
      </c>
    </row>
    <row r="466" spans="1:11" x14ac:dyDescent="0.35">
      <c r="A466" s="11" t="s">
        <v>93</v>
      </c>
      <c r="B466" s="11" t="s">
        <v>448</v>
      </c>
      <c r="C466" s="11"/>
      <c r="D466" s="11" t="s">
        <v>187</v>
      </c>
      <c r="E466" s="11"/>
      <c r="F466" s="159" t="s">
        <v>483</v>
      </c>
      <c r="G466" s="44" t="s">
        <v>186</v>
      </c>
      <c r="H466" s="45">
        <v>40</v>
      </c>
      <c r="I466" s="47">
        <v>3.75</v>
      </c>
      <c r="J466" s="48">
        <f>H466*I466</f>
        <v>150</v>
      </c>
      <c r="K466" s="10">
        <v>1</v>
      </c>
    </row>
    <row r="467" spans="1:11" x14ac:dyDescent="0.35">
      <c r="A467" s="11" t="s">
        <v>93</v>
      </c>
      <c r="B467" s="11" t="s">
        <v>448</v>
      </c>
      <c r="C467" s="11"/>
      <c r="D467" s="11" t="s">
        <v>484</v>
      </c>
      <c r="E467" s="11"/>
      <c r="F467" s="159" t="s">
        <v>485</v>
      </c>
      <c r="G467" s="44" t="s">
        <v>456</v>
      </c>
      <c r="H467" s="45"/>
      <c r="I467" s="47"/>
      <c r="J467" s="48">
        <v>0</v>
      </c>
      <c r="K467" s="10">
        <v>1</v>
      </c>
    </row>
    <row r="468" spans="1:11" ht="13" x14ac:dyDescent="0.35">
      <c r="A468" s="11" t="s">
        <v>93</v>
      </c>
      <c r="B468" s="11" t="s">
        <v>448</v>
      </c>
      <c r="C468" s="11"/>
      <c r="D468" s="11"/>
      <c r="E468" s="11"/>
      <c r="F468" s="156" t="s">
        <v>486</v>
      </c>
      <c r="G468" s="44"/>
      <c r="H468" s="45"/>
      <c r="I468" s="47"/>
      <c r="J468" s="48"/>
      <c r="K468" s="10">
        <v>1</v>
      </c>
    </row>
    <row r="469" spans="1:11" x14ac:dyDescent="0.35">
      <c r="A469" s="11" t="s">
        <v>93</v>
      </c>
      <c r="B469" s="11" t="s">
        <v>448</v>
      </c>
      <c r="C469" s="11"/>
      <c r="D469" s="11" t="s">
        <v>487</v>
      </c>
      <c r="E469" s="11"/>
      <c r="F469" s="159" t="s">
        <v>488</v>
      </c>
      <c r="G469" s="44" t="s">
        <v>186</v>
      </c>
      <c r="H469" s="45"/>
      <c r="I469" s="160"/>
      <c r="J469" s="48">
        <v>0</v>
      </c>
      <c r="K469" s="10">
        <v>1</v>
      </c>
    </row>
    <row r="470" spans="1:11" x14ac:dyDescent="0.35">
      <c r="A470" s="11" t="s">
        <v>93</v>
      </c>
      <c r="B470" s="11" t="s">
        <v>448</v>
      </c>
      <c r="C470" s="11"/>
      <c r="D470" s="11" t="s">
        <v>489</v>
      </c>
      <c r="E470" s="11"/>
      <c r="F470" s="159" t="s">
        <v>490</v>
      </c>
      <c r="G470" s="44" t="s">
        <v>186</v>
      </c>
      <c r="H470" s="45">
        <v>10</v>
      </c>
      <c r="I470" s="47">
        <v>60</v>
      </c>
      <c r="J470" s="48">
        <f>H470*I470</f>
        <v>600</v>
      </c>
      <c r="K470" s="10">
        <v>1</v>
      </c>
    </row>
    <row r="471" spans="1:11" x14ac:dyDescent="0.35">
      <c r="A471" s="11" t="s">
        <v>93</v>
      </c>
      <c r="B471" s="11" t="s">
        <v>448</v>
      </c>
      <c r="C471" s="11"/>
      <c r="D471" s="11" t="s">
        <v>491</v>
      </c>
      <c r="E471" s="11"/>
      <c r="F471" s="159" t="s">
        <v>492</v>
      </c>
      <c r="G471" s="44" t="s">
        <v>186</v>
      </c>
      <c r="H471" s="45">
        <v>10</v>
      </c>
      <c r="I471" s="47">
        <v>30</v>
      </c>
      <c r="J471" s="48">
        <f>H471*I471</f>
        <v>300</v>
      </c>
      <c r="K471" s="10">
        <v>1</v>
      </c>
    </row>
    <row r="472" spans="1:11" ht="13" x14ac:dyDescent="0.35">
      <c r="A472" s="11" t="s">
        <v>93</v>
      </c>
      <c r="B472" s="11" t="s">
        <v>448</v>
      </c>
      <c r="C472" s="11"/>
      <c r="D472" s="11"/>
      <c r="E472" s="11"/>
      <c r="F472" s="156" t="s">
        <v>493</v>
      </c>
      <c r="G472" s="44"/>
      <c r="H472" s="45"/>
      <c r="I472" s="47"/>
      <c r="J472" s="48"/>
      <c r="K472" s="10">
        <v>1</v>
      </c>
    </row>
    <row r="473" spans="1:11" x14ac:dyDescent="0.35">
      <c r="A473" s="11" t="s">
        <v>93</v>
      </c>
      <c r="B473" s="11" t="s">
        <v>448</v>
      </c>
      <c r="C473" s="11"/>
      <c r="D473" s="11" t="s">
        <v>494</v>
      </c>
      <c r="E473" s="11"/>
      <c r="F473" s="159" t="s">
        <v>495</v>
      </c>
      <c r="G473" s="44" t="s">
        <v>186</v>
      </c>
      <c r="H473" s="45">
        <v>20</v>
      </c>
      <c r="I473" s="47">
        <v>4.2</v>
      </c>
      <c r="J473" s="48">
        <f>H473*I473</f>
        <v>84</v>
      </c>
      <c r="K473" s="10">
        <v>1</v>
      </c>
    </row>
    <row r="474" spans="1:11" ht="26" x14ac:dyDescent="0.35">
      <c r="A474" s="11" t="s">
        <v>93</v>
      </c>
      <c r="B474" s="11" t="s">
        <v>448</v>
      </c>
      <c r="C474" s="11"/>
      <c r="D474" s="11"/>
      <c r="E474" s="11"/>
      <c r="F474" s="156" t="s">
        <v>496</v>
      </c>
      <c r="G474" s="44"/>
      <c r="H474" s="45"/>
      <c r="I474" s="47"/>
      <c r="J474" s="48"/>
      <c r="K474" s="10">
        <v>1</v>
      </c>
    </row>
    <row r="475" spans="1:11" x14ac:dyDescent="0.35">
      <c r="A475" s="11" t="s">
        <v>93</v>
      </c>
      <c r="B475" s="11" t="s">
        <v>448</v>
      </c>
      <c r="C475" s="11"/>
      <c r="D475" s="11"/>
      <c r="E475" s="11"/>
      <c r="F475" s="159" t="s">
        <v>497</v>
      </c>
      <c r="G475" s="44"/>
      <c r="H475" s="45"/>
      <c r="I475" s="47"/>
      <c r="J475" s="48"/>
      <c r="K475" s="10">
        <v>1</v>
      </c>
    </row>
    <row r="476" spans="1:11" x14ac:dyDescent="0.35">
      <c r="A476" s="11" t="s">
        <v>93</v>
      </c>
      <c r="B476" s="11" t="s">
        <v>448</v>
      </c>
      <c r="C476" s="11"/>
      <c r="D476" s="11"/>
      <c r="E476" s="11"/>
      <c r="F476" s="159" t="s">
        <v>498</v>
      </c>
      <c r="G476" s="44"/>
      <c r="H476" s="45"/>
      <c r="I476" s="47"/>
      <c r="J476" s="48"/>
      <c r="K476" s="10">
        <v>1</v>
      </c>
    </row>
    <row r="477" spans="1:11" ht="13" x14ac:dyDescent="0.35">
      <c r="A477" s="11" t="s">
        <v>93</v>
      </c>
      <c r="B477" s="11" t="s">
        <v>448</v>
      </c>
      <c r="C477" s="11"/>
      <c r="D477" s="11"/>
      <c r="E477" s="11"/>
      <c r="F477" s="156" t="s">
        <v>499</v>
      </c>
      <c r="G477" s="44"/>
      <c r="H477" s="45"/>
      <c r="I477" s="47"/>
      <c r="J477" s="48"/>
      <c r="K477" s="10">
        <v>1</v>
      </c>
    </row>
    <row r="478" spans="1:11" ht="62.5" x14ac:dyDescent="0.35">
      <c r="A478" s="11" t="s">
        <v>93</v>
      </c>
      <c r="B478" s="11" t="s">
        <v>448</v>
      </c>
      <c r="C478" s="11"/>
      <c r="D478" s="11"/>
      <c r="E478" s="11"/>
      <c r="F478" s="159" t="s">
        <v>500</v>
      </c>
      <c r="G478" s="44"/>
      <c r="H478" s="45"/>
      <c r="I478" s="47"/>
      <c r="J478" s="48"/>
      <c r="K478" s="10">
        <v>1</v>
      </c>
    </row>
    <row r="479" spans="1:11" x14ac:dyDescent="0.35">
      <c r="A479" s="11" t="s">
        <v>93</v>
      </c>
      <c r="B479" s="11" t="s">
        <v>448</v>
      </c>
      <c r="C479" s="11"/>
      <c r="D479" s="11" t="s">
        <v>501</v>
      </c>
      <c r="E479" s="11"/>
      <c r="F479" s="159" t="s">
        <v>502</v>
      </c>
      <c r="G479" s="44" t="s">
        <v>186</v>
      </c>
      <c r="H479" s="45">
        <v>170</v>
      </c>
      <c r="I479" s="47">
        <v>20</v>
      </c>
      <c r="J479" s="48">
        <f>H479*I479</f>
        <v>3400</v>
      </c>
      <c r="K479" s="10">
        <v>1</v>
      </c>
    </row>
    <row r="480" spans="1:11" x14ac:dyDescent="0.35">
      <c r="A480" s="11" t="s">
        <v>93</v>
      </c>
      <c r="B480" s="11" t="s">
        <v>448</v>
      </c>
      <c r="C480" s="11"/>
      <c r="D480" s="11" t="s">
        <v>503</v>
      </c>
      <c r="E480" s="11"/>
      <c r="F480" s="159" t="s">
        <v>504</v>
      </c>
      <c r="G480" s="44" t="s">
        <v>186</v>
      </c>
      <c r="H480" s="45">
        <v>400</v>
      </c>
      <c r="I480" s="47">
        <v>22</v>
      </c>
      <c r="J480" s="48">
        <f>H480*I480</f>
        <v>8800</v>
      </c>
      <c r="K480" s="10">
        <v>1</v>
      </c>
    </row>
    <row r="481" spans="1:12" ht="37.5" x14ac:dyDescent="0.35">
      <c r="A481" s="11" t="s">
        <v>93</v>
      </c>
      <c r="B481" s="11" t="s">
        <v>448</v>
      </c>
      <c r="C481" s="11"/>
      <c r="D481" s="11"/>
      <c r="E481" s="11"/>
      <c r="F481" s="159" t="s">
        <v>505</v>
      </c>
      <c r="G481" s="44"/>
      <c r="H481" s="45"/>
      <c r="I481" s="47"/>
      <c r="J481" s="48"/>
      <c r="K481" s="10">
        <v>1</v>
      </c>
    </row>
    <row r="482" spans="1:12" x14ac:dyDescent="0.35">
      <c r="A482" s="11" t="s">
        <v>93</v>
      </c>
      <c r="B482" s="11" t="s">
        <v>448</v>
      </c>
      <c r="C482" s="11"/>
      <c r="D482" s="11" t="s">
        <v>506</v>
      </c>
      <c r="E482" s="11"/>
      <c r="F482" s="159" t="s">
        <v>507</v>
      </c>
      <c r="G482" s="44" t="s">
        <v>456</v>
      </c>
      <c r="H482" s="45">
        <v>4</v>
      </c>
      <c r="I482" s="47">
        <v>24</v>
      </c>
      <c r="J482" s="48">
        <f>H482*I482</f>
        <v>96</v>
      </c>
      <c r="K482" s="10">
        <v>1</v>
      </c>
    </row>
    <row r="483" spans="1:12" ht="25" x14ac:dyDescent="0.25">
      <c r="A483" s="11" t="s">
        <v>93</v>
      </c>
      <c r="B483" s="11" t="s">
        <v>448</v>
      </c>
      <c r="C483" s="11"/>
      <c r="D483" s="11"/>
      <c r="E483" s="11"/>
      <c r="F483" s="161" t="s">
        <v>508</v>
      </c>
      <c r="G483" s="44"/>
      <c r="H483" s="45"/>
      <c r="I483" s="47"/>
      <c r="J483" s="48"/>
      <c r="K483" s="10">
        <v>1</v>
      </c>
    </row>
    <row r="484" spans="1:12" ht="25" x14ac:dyDescent="0.25">
      <c r="A484" s="11" t="s">
        <v>93</v>
      </c>
      <c r="B484" s="11" t="s">
        <v>448</v>
      </c>
      <c r="C484" s="11"/>
      <c r="D484" s="11"/>
      <c r="E484" s="11"/>
      <c r="F484" s="161" t="s">
        <v>509</v>
      </c>
      <c r="G484" s="44"/>
      <c r="H484" s="45"/>
      <c r="I484" s="47"/>
      <c r="J484" s="48"/>
      <c r="K484" s="10">
        <v>1</v>
      </c>
    </row>
    <row r="485" spans="1:12" x14ac:dyDescent="0.35">
      <c r="A485" s="11" t="s">
        <v>93</v>
      </c>
      <c r="B485" s="11" t="s">
        <v>448</v>
      </c>
      <c r="C485" s="11"/>
      <c r="D485" s="11" t="s">
        <v>510</v>
      </c>
      <c r="E485" s="11"/>
      <c r="F485" s="159" t="s">
        <v>511</v>
      </c>
      <c r="G485" s="44" t="s">
        <v>456</v>
      </c>
      <c r="H485" s="45">
        <v>3</v>
      </c>
      <c r="I485" s="47">
        <v>20</v>
      </c>
      <c r="J485" s="48">
        <f>H485*I485</f>
        <v>60</v>
      </c>
      <c r="K485" s="10">
        <v>1</v>
      </c>
    </row>
    <row r="486" spans="1:12" x14ac:dyDescent="0.35">
      <c r="A486" s="11" t="s">
        <v>93</v>
      </c>
      <c r="B486" s="11" t="s">
        <v>448</v>
      </c>
      <c r="C486" s="11"/>
      <c r="D486" s="11" t="s">
        <v>512</v>
      </c>
      <c r="E486" s="11"/>
      <c r="F486" s="159" t="s">
        <v>513</v>
      </c>
      <c r="G486" s="44" t="s">
        <v>456</v>
      </c>
      <c r="H486" s="45">
        <v>20</v>
      </c>
      <c r="I486" s="47">
        <v>21</v>
      </c>
      <c r="J486" s="48">
        <f>H486*I486</f>
        <v>420</v>
      </c>
      <c r="K486" s="10">
        <v>1</v>
      </c>
    </row>
    <row r="487" spans="1:12" x14ac:dyDescent="0.35">
      <c r="A487" s="11" t="s">
        <v>93</v>
      </c>
      <c r="B487" s="11" t="s">
        <v>448</v>
      </c>
      <c r="C487" s="11"/>
      <c r="D487" s="11"/>
      <c r="E487" s="11"/>
      <c r="F487" s="159" t="s">
        <v>514</v>
      </c>
      <c r="G487" s="44"/>
      <c r="H487" s="45"/>
      <c r="I487" s="47"/>
      <c r="J487" s="48"/>
      <c r="K487" s="10">
        <v>1</v>
      </c>
    </row>
    <row r="488" spans="1:12" x14ac:dyDescent="0.35">
      <c r="A488" s="11" t="s">
        <v>93</v>
      </c>
      <c r="B488" s="11" t="s">
        <v>448</v>
      </c>
      <c r="C488" s="11"/>
      <c r="D488" s="11" t="s">
        <v>515</v>
      </c>
      <c r="E488" s="11"/>
      <c r="F488" s="159" t="s">
        <v>516</v>
      </c>
      <c r="G488" s="44" t="s">
        <v>456</v>
      </c>
      <c r="H488" s="45">
        <v>1</v>
      </c>
      <c r="I488" s="47">
        <v>27</v>
      </c>
      <c r="J488" s="48">
        <f>H488*I488</f>
        <v>27</v>
      </c>
      <c r="K488" s="10">
        <v>1</v>
      </c>
    </row>
    <row r="489" spans="1:12" ht="13" x14ac:dyDescent="0.35">
      <c r="A489" s="11" t="s">
        <v>93</v>
      </c>
      <c r="B489" s="11" t="s">
        <v>448</v>
      </c>
      <c r="C489" s="11"/>
      <c r="D489" s="11"/>
      <c r="E489" s="11"/>
      <c r="F489" s="157" t="s">
        <v>517</v>
      </c>
      <c r="G489" s="44"/>
      <c r="H489" s="45"/>
      <c r="I489" s="47"/>
      <c r="J489" s="48"/>
      <c r="K489" s="10">
        <v>1</v>
      </c>
    </row>
    <row r="490" spans="1:12" x14ac:dyDescent="0.35">
      <c r="A490" s="11" t="s">
        <v>93</v>
      </c>
      <c r="B490" s="11" t="s">
        <v>448</v>
      </c>
      <c r="C490" s="11"/>
      <c r="D490" s="11"/>
      <c r="E490" s="11"/>
      <c r="F490" s="159" t="s">
        <v>518</v>
      </c>
      <c r="G490" s="44"/>
      <c r="H490" s="45"/>
      <c r="I490" s="47"/>
      <c r="J490" s="48"/>
      <c r="K490" s="10">
        <v>1</v>
      </c>
    </row>
    <row r="491" spans="1:12" x14ac:dyDescent="0.35">
      <c r="A491" s="11" t="s">
        <v>93</v>
      </c>
      <c r="B491" s="11" t="s">
        <v>448</v>
      </c>
      <c r="C491" s="11"/>
      <c r="D491" s="11"/>
      <c r="E491" s="11"/>
      <c r="F491" s="159" t="s">
        <v>519</v>
      </c>
      <c r="G491" s="44"/>
      <c r="H491" s="45"/>
      <c r="I491" s="47"/>
      <c r="J491" s="48"/>
      <c r="K491" s="10">
        <v>1</v>
      </c>
    </row>
    <row r="492" spans="1:12" x14ac:dyDescent="0.35">
      <c r="A492" s="11" t="s">
        <v>93</v>
      </c>
      <c r="B492" s="11" t="s">
        <v>448</v>
      </c>
      <c r="C492" s="11"/>
      <c r="D492" s="11" t="s">
        <v>520</v>
      </c>
      <c r="E492" s="11"/>
      <c r="F492" s="159" t="s">
        <v>521</v>
      </c>
      <c r="G492" s="44" t="s">
        <v>186</v>
      </c>
      <c r="H492" s="45">
        <v>255</v>
      </c>
      <c r="I492" s="47">
        <v>10</v>
      </c>
      <c r="J492" s="48">
        <f>H492*I492</f>
        <v>2550</v>
      </c>
      <c r="K492" s="10">
        <v>1</v>
      </c>
    </row>
    <row r="493" spans="1:12" x14ac:dyDescent="0.35">
      <c r="A493" s="11" t="s">
        <v>93</v>
      </c>
      <c r="B493" s="11" t="s">
        <v>448</v>
      </c>
      <c r="C493" s="11"/>
      <c r="D493" s="11" t="s">
        <v>522</v>
      </c>
      <c r="E493" s="11"/>
      <c r="F493" s="159" t="s">
        <v>523</v>
      </c>
      <c r="G493" s="44" t="s">
        <v>186</v>
      </c>
      <c r="H493" s="45">
        <v>600</v>
      </c>
      <c r="I493" s="47">
        <v>12</v>
      </c>
      <c r="J493" s="48">
        <f>H493*I493</f>
        <v>7200</v>
      </c>
      <c r="K493" s="10">
        <v>1</v>
      </c>
    </row>
    <row r="494" spans="1:12" x14ac:dyDescent="0.35">
      <c r="A494" s="11" t="s">
        <v>93</v>
      </c>
      <c r="B494" s="11" t="s">
        <v>448</v>
      </c>
      <c r="C494" s="11"/>
      <c r="D494" s="11" t="s">
        <v>524</v>
      </c>
      <c r="E494" s="11"/>
      <c r="F494" s="159" t="s">
        <v>525</v>
      </c>
      <c r="G494" s="44" t="s">
        <v>186</v>
      </c>
      <c r="H494" s="45">
        <v>200</v>
      </c>
      <c r="I494" s="47">
        <v>21.5</v>
      </c>
      <c r="J494" s="48">
        <f>H494*I494</f>
        <v>4300</v>
      </c>
      <c r="K494" s="10">
        <v>1</v>
      </c>
    </row>
    <row r="495" spans="1:12" x14ac:dyDescent="0.35">
      <c r="A495" s="11" t="s">
        <v>93</v>
      </c>
      <c r="B495" s="11" t="s">
        <v>448</v>
      </c>
      <c r="C495" s="11"/>
      <c r="D495" s="11"/>
      <c r="E495" s="11"/>
      <c r="F495" s="159" t="s">
        <v>526</v>
      </c>
      <c r="G495" s="44"/>
      <c r="H495" s="45" t="s">
        <v>527</v>
      </c>
      <c r="I495" s="47"/>
      <c r="J495" s="48"/>
      <c r="K495" s="10">
        <v>1</v>
      </c>
    </row>
    <row r="496" spans="1:12" x14ac:dyDescent="0.35">
      <c r="A496" s="11" t="s">
        <v>93</v>
      </c>
      <c r="B496" s="11" t="s">
        <v>448</v>
      </c>
      <c r="C496" s="11"/>
      <c r="D496" s="11" t="s">
        <v>528</v>
      </c>
      <c r="E496" s="11"/>
      <c r="F496" s="159" t="s">
        <v>521</v>
      </c>
      <c r="G496" s="44" t="s">
        <v>186</v>
      </c>
      <c r="H496" s="45">
        <v>1055</v>
      </c>
      <c r="I496" s="47">
        <v>10</v>
      </c>
      <c r="J496" s="48">
        <f>H496*I496</f>
        <v>10550</v>
      </c>
      <c r="K496" s="10">
        <v>1</v>
      </c>
      <c r="L496" s="10" t="s">
        <v>529</v>
      </c>
    </row>
    <row r="497" spans="1:11" ht="13" x14ac:dyDescent="0.35">
      <c r="A497" s="11" t="s">
        <v>93</v>
      </c>
      <c r="B497" s="11" t="s">
        <v>448</v>
      </c>
      <c r="C497" s="11"/>
      <c r="D497" s="11"/>
      <c r="E497" s="11"/>
      <c r="F497" s="157" t="s">
        <v>530</v>
      </c>
      <c r="G497" s="44"/>
      <c r="H497" s="45"/>
      <c r="I497" s="47"/>
      <c r="J497" s="48"/>
      <c r="K497" s="10">
        <v>1</v>
      </c>
    </row>
    <row r="498" spans="1:11" ht="25" x14ac:dyDescent="0.35">
      <c r="A498" s="11" t="s">
        <v>93</v>
      </c>
      <c r="B498" s="11" t="s">
        <v>448</v>
      </c>
      <c r="C498" s="11"/>
      <c r="D498" s="11"/>
      <c r="E498" s="11"/>
      <c r="F498" s="159" t="s">
        <v>531</v>
      </c>
      <c r="G498" s="44"/>
      <c r="H498" s="45"/>
      <c r="I498" s="47"/>
      <c r="J498" s="48"/>
      <c r="K498" s="10">
        <v>1</v>
      </c>
    </row>
    <row r="499" spans="1:11" ht="13" x14ac:dyDescent="0.35">
      <c r="A499" s="11" t="s">
        <v>93</v>
      </c>
      <c r="B499" s="11" t="s">
        <v>448</v>
      </c>
      <c r="C499" s="11"/>
      <c r="D499" s="11"/>
      <c r="E499" s="11"/>
      <c r="F499" s="157" t="s">
        <v>532</v>
      </c>
      <c r="G499" s="44"/>
      <c r="H499" s="45"/>
      <c r="I499" s="47"/>
      <c r="J499" s="48"/>
      <c r="K499" s="10">
        <v>1</v>
      </c>
    </row>
    <row r="500" spans="1:11" x14ac:dyDescent="0.35">
      <c r="A500" s="11" t="s">
        <v>93</v>
      </c>
      <c r="B500" s="11" t="s">
        <v>448</v>
      </c>
      <c r="C500" s="11"/>
      <c r="D500" s="11"/>
      <c r="E500" s="11"/>
      <c r="F500" s="159" t="s">
        <v>533</v>
      </c>
      <c r="G500" s="44"/>
      <c r="H500" s="45"/>
      <c r="I500" s="47"/>
      <c r="J500" s="48"/>
      <c r="K500" s="10">
        <v>1</v>
      </c>
    </row>
    <row r="501" spans="1:11" x14ac:dyDescent="0.35">
      <c r="A501" s="11" t="s">
        <v>93</v>
      </c>
      <c r="B501" s="11" t="s">
        <v>448</v>
      </c>
      <c r="C501" s="11"/>
      <c r="D501" s="11" t="s">
        <v>534</v>
      </c>
      <c r="E501" s="11"/>
      <c r="F501" s="159" t="s">
        <v>535</v>
      </c>
      <c r="G501" s="44" t="s">
        <v>456</v>
      </c>
      <c r="H501" s="45">
        <v>4</v>
      </c>
      <c r="I501" s="47">
        <v>200</v>
      </c>
      <c r="J501" s="48">
        <f>H501*I501</f>
        <v>800</v>
      </c>
      <c r="K501" s="10">
        <v>1</v>
      </c>
    </row>
    <row r="502" spans="1:11" x14ac:dyDescent="0.35">
      <c r="A502" s="11" t="s">
        <v>93</v>
      </c>
      <c r="B502" s="11" t="s">
        <v>448</v>
      </c>
      <c r="C502" s="11"/>
      <c r="D502" s="11" t="s">
        <v>536</v>
      </c>
      <c r="E502" s="11"/>
      <c r="F502" s="159" t="s">
        <v>537</v>
      </c>
      <c r="G502" s="44" t="s">
        <v>456</v>
      </c>
      <c r="H502" s="45">
        <v>0</v>
      </c>
      <c r="I502" s="47"/>
      <c r="J502" s="48"/>
      <c r="K502" s="10">
        <v>1</v>
      </c>
    </row>
    <row r="503" spans="1:11" x14ac:dyDescent="0.35">
      <c r="A503" s="11" t="s">
        <v>93</v>
      </c>
      <c r="B503" s="11" t="s">
        <v>448</v>
      </c>
      <c r="C503" s="11"/>
      <c r="D503" s="11" t="s">
        <v>538</v>
      </c>
      <c r="E503" s="11"/>
      <c r="F503" s="159" t="s">
        <v>539</v>
      </c>
      <c r="G503" s="44" t="s">
        <v>456</v>
      </c>
      <c r="H503" s="45">
        <v>0</v>
      </c>
      <c r="I503" s="47"/>
      <c r="J503" s="48"/>
      <c r="K503" s="10">
        <v>1</v>
      </c>
    </row>
    <row r="504" spans="1:11" x14ac:dyDescent="0.35">
      <c r="A504" s="11" t="s">
        <v>93</v>
      </c>
      <c r="B504" s="11" t="s">
        <v>448</v>
      </c>
      <c r="C504" s="11"/>
      <c r="D504" s="11" t="s">
        <v>540</v>
      </c>
      <c r="E504" s="11"/>
      <c r="F504" s="159" t="s">
        <v>541</v>
      </c>
      <c r="G504" s="44" t="s">
        <v>456</v>
      </c>
      <c r="H504" s="45"/>
      <c r="I504" s="47"/>
      <c r="J504" s="48"/>
      <c r="K504" s="10">
        <v>1</v>
      </c>
    </row>
    <row r="505" spans="1:11" x14ac:dyDescent="0.35">
      <c r="A505" s="11" t="s">
        <v>93</v>
      </c>
      <c r="B505" s="11" t="s">
        <v>448</v>
      </c>
      <c r="C505" s="11"/>
      <c r="D505" s="11" t="s">
        <v>542</v>
      </c>
      <c r="E505" s="11"/>
      <c r="F505" s="159" t="s">
        <v>543</v>
      </c>
      <c r="G505" s="44" t="s">
        <v>456</v>
      </c>
      <c r="H505" s="45"/>
      <c r="I505" s="47"/>
      <c r="J505" s="48">
        <f>H505*I505</f>
        <v>0</v>
      </c>
      <c r="K505" s="10">
        <v>1</v>
      </c>
    </row>
    <row r="506" spans="1:11" x14ac:dyDescent="0.35">
      <c r="A506" s="11" t="s">
        <v>93</v>
      </c>
      <c r="B506" s="11" t="s">
        <v>448</v>
      </c>
      <c r="C506" s="11"/>
      <c r="D506" s="11" t="s">
        <v>544</v>
      </c>
      <c r="E506" s="11"/>
      <c r="F506" s="159" t="s">
        <v>545</v>
      </c>
      <c r="G506" s="44" t="s">
        <v>456</v>
      </c>
      <c r="H506" s="45">
        <v>3</v>
      </c>
      <c r="I506" s="47">
        <v>352</v>
      </c>
      <c r="J506" s="48">
        <f>H506*I506</f>
        <v>1056</v>
      </c>
      <c r="K506" s="10">
        <v>1</v>
      </c>
    </row>
    <row r="507" spans="1:11" x14ac:dyDescent="0.35">
      <c r="A507" s="11" t="s">
        <v>93</v>
      </c>
      <c r="B507" s="11" t="s">
        <v>448</v>
      </c>
      <c r="C507" s="11"/>
      <c r="D507" s="11" t="s">
        <v>546</v>
      </c>
      <c r="E507" s="11"/>
      <c r="F507" s="159" t="s">
        <v>547</v>
      </c>
      <c r="G507" s="44" t="s">
        <v>456</v>
      </c>
      <c r="H507" s="45">
        <v>1</v>
      </c>
      <c r="I507" s="47">
        <v>395</v>
      </c>
      <c r="J507" s="48">
        <f>H507*I507</f>
        <v>395</v>
      </c>
      <c r="K507" s="10">
        <v>1</v>
      </c>
    </row>
    <row r="508" spans="1:11" ht="13" x14ac:dyDescent="0.35">
      <c r="A508" s="11" t="s">
        <v>93</v>
      </c>
      <c r="B508" s="11" t="s">
        <v>448</v>
      </c>
      <c r="C508" s="11"/>
      <c r="D508" s="11"/>
      <c r="E508" s="11"/>
      <c r="F508" s="157" t="s">
        <v>548</v>
      </c>
      <c r="G508" s="44"/>
      <c r="H508" s="45"/>
      <c r="I508" s="47"/>
      <c r="J508" s="48"/>
      <c r="K508" s="10">
        <v>1</v>
      </c>
    </row>
    <row r="509" spans="1:11" x14ac:dyDescent="0.35">
      <c r="A509" s="11" t="s">
        <v>93</v>
      </c>
      <c r="B509" s="11" t="s">
        <v>448</v>
      </c>
      <c r="C509" s="11"/>
      <c r="D509" s="11" t="s">
        <v>549</v>
      </c>
      <c r="E509" s="11"/>
      <c r="F509" s="159" t="s">
        <v>550</v>
      </c>
      <c r="G509" s="44" t="s">
        <v>456</v>
      </c>
      <c r="H509" s="45">
        <v>19</v>
      </c>
      <c r="I509" s="47">
        <v>165</v>
      </c>
      <c r="J509" s="48">
        <f>H509*I509</f>
        <v>3135</v>
      </c>
      <c r="K509" s="10">
        <v>1</v>
      </c>
    </row>
    <row r="510" spans="1:11" x14ac:dyDescent="0.35">
      <c r="A510" s="11" t="s">
        <v>93</v>
      </c>
      <c r="B510" s="11" t="s">
        <v>448</v>
      </c>
      <c r="C510" s="11"/>
      <c r="D510" s="11" t="s">
        <v>551</v>
      </c>
      <c r="E510" s="11"/>
      <c r="F510" s="159" t="s">
        <v>552</v>
      </c>
      <c r="G510" s="44" t="s">
        <v>456</v>
      </c>
      <c r="H510" s="45">
        <v>0</v>
      </c>
      <c r="I510" s="47"/>
      <c r="J510" s="48">
        <f>H510*I510</f>
        <v>0</v>
      </c>
      <c r="K510" s="10">
        <v>1</v>
      </c>
    </row>
    <row r="511" spans="1:11" x14ac:dyDescent="0.35">
      <c r="A511" s="11" t="s">
        <v>93</v>
      </c>
      <c r="B511" s="11" t="s">
        <v>448</v>
      </c>
      <c r="C511" s="11"/>
      <c r="D511" s="11" t="s">
        <v>553</v>
      </c>
      <c r="E511" s="11"/>
      <c r="F511" s="159" t="s">
        <v>554</v>
      </c>
      <c r="G511" s="44" t="s">
        <v>456</v>
      </c>
      <c r="H511" s="45"/>
      <c r="I511" s="47"/>
      <c r="J511" s="48">
        <f>H511*I511</f>
        <v>0</v>
      </c>
      <c r="K511" s="10">
        <v>1</v>
      </c>
    </row>
    <row r="512" spans="1:11" x14ac:dyDescent="0.35">
      <c r="A512" s="11" t="s">
        <v>93</v>
      </c>
      <c r="B512" s="11" t="s">
        <v>448</v>
      </c>
      <c r="C512" s="11"/>
      <c r="D512" s="11" t="s">
        <v>555</v>
      </c>
      <c r="E512" s="11"/>
      <c r="F512" s="159" t="s">
        <v>556</v>
      </c>
      <c r="G512" s="44" t="s">
        <v>456</v>
      </c>
      <c r="H512" s="45"/>
      <c r="I512" s="47"/>
      <c r="J512" s="48">
        <f>H512*I512</f>
        <v>0</v>
      </c>
      <c r="K512" s="10">
        <v>1</v>
      </c>
    </row>
    <row r="513" spans="1:11" x14ac:dyDescent="0.35">
      <c r="A513" s="11" t="s">
        <v>93</v>
      </c>
      <c r="B513" s="11" t="s">
        <v>448</v>
      </c>
      <c r="C513" s="11"/>
      <c r="D513" s="11" t="s">
        <v>557</v>
      </c>
      <c r="E513" s="11"/>
      <c r="F513" s="159" t="s">
        <v>558</v>
      </c>
      <c r="G513" s="44" t="s">
        <v>186</v>
      </c>
      <c r="H513" s="45">
        <v>351.66666666666669</v>
      </c>
      <c r="I513" s="47">
        <v>4.2</v>
      </c>
      <c r="J513" s="48">
        <f>H513*I513</f>
        <v>1477.0000000000002</v>
      </c>
      <c r="K513" s="10">
        <v>1</v>
      </c>
    </row>
    <row r="514" spans="1:11" ht="13" x14ac:dyDescent="0.35">
      <c r="A514" s="11" t="s">
        <v>93</v>
      </c>
      <c r="B514" s="11" t="s">
        <v>448</v>
      </c>
      <c r="C514" s="11"/>
      <c r="D514" s="11"/>
      <c r="E514" s="11"/>
      <c r="F514" s="156" t="s">
        <v>559</v>
      </c>
      <c r="G514" s="44"/>
      <c r="H514" s="45"/>
      <c r="I514" s="47"/>
      <c r="J514" s="48"/>
      <c r="K514" s="10">
        <v>1</v>
      </c>
    </row>
    <row r="515" spans="1:11" x14ac:dyDescent="0.35">
      <c r="A515" s="11" t="s">
        <v>93</v>
      </c>
      <c r="B515" s="11" t="s">
        <v>448</v>
      </c>
      <c r="C515" s="11"/>
      <c r="D515" s="11"/>
      <c r="E515" s="11"/>
      <c r="F515" s="159" t="s">
        <v>560</v>
      </c>
      <c r="G515" s="44"/>
      <c r="H515" s="45"/>
      <c r="I515" s="47"/>
      <c r="J515" s="48"/>
      <c r="K515" s="10">
        <v>1</v>
      </c>
    </row>
    <row r="516" spans="1:11" x14ac:dyDescent="0.35">
      <c r="A516" s="11" t="s">
        <v>93</v>
      </c>
      <c r="B516" s="11" t="s">
        <v>448</v>
      </c>
      <c r="C516" s="11"/>
      <c r="D516" s="11" t="s">
        <v>561</v>
      </c>
      <c r="E516" s="11"/>
      <c r="F516" s="159" t="s">
        <v>562</v>
      </c>
      <c r="G516" s="44" t="s">
        <v>456</v>
      </c>
      <c r="H516" s="45">
        <v>1</v>
      </c>
      <c r="I516" s="47">
        <v>400</v>
      </c>
      <c r="J516" s="48">
        <f>H516*I516</f>
        <v>400</v>
      </c>
      <c r="K516" s="10">
        <v>1</v>
      </c>
    </row>
    <row r="517" spans="1:11" ht="13" x14ac:dyDescent="0.35">
      <c r="A517" s="11" t="s">
        <v>93</v>
      </c>
      <c r="B517" s="11" t="s">
        <v>448</v>
      </c>
      <c r="C517" s="11"/>
      <c r="D517" s="11"/>
      <c r="E517" s="11"/>
      <c r="F517" s="156" t="s">
        <v>563</v>
      </c>
      <c r="G517" s="44"/>
      <c r="H517" s="45"/>
      <c r="I517" s="47"/>
      <c r="J517" s="48"/>
      <c r="K517" s="10">
        <v>1</v>
      </c>
    </row>
    <row r="518" spans="1:11" x14ac:dyDescent="0.35">
      <c r="A518" s="11" t="s">
        <v>93</v>
      </c>
      <c r="B518" s="11" t="s">
        <v>448</v>
      </c>
      <c r="C518" s="11"/>
      <c r="D518" s="11"/>
      <c r="E518" s="11"/>
      <c r="F518" s="159" t="s">
        <v>564</v>
      </c>
      <c r="G518" s="44"/>
      <c r="H518" s="45"/>
      <c r="I518" s="47"/>
      <c r="J518" s="48"/>
      <c r="K518" s="10">
        <v>1</v>
      </c>
    </row>
    <row r="519" spans="1:11" x14ac:dyDescent="0.35">
      <c r="A519" s="11" t="s">
        <v>93</v>
      </c>
      <c r="B519" s="11" t="s">
        <v>448</v>
      </c>
      <c r="C519" s="11"/>
      <c r="D519" s="11"/>
      <c r="E519" s="11"/>
      <c r="F519" s="159" t="s">
        <v>565</v>
      </c>
      <c r="G519" s="44"/>
      <c r="H519" s="45"/>
      <c r="I519" s="47"/>
      <c r="J519" s="48"/>
      <c r="K519" s="10">
        <v>1</v>
      </c>
    </row>
    <row r="520" spans="1:11" x14ac:dyDescent="0.35">
      <c r="A520" s="11" t="s">
        <v>93</v>
      </c>
      <c r="B520" s="11" t="s">
        <v>448</v>
      </c>
      <c r="C520" s="11"/>
      <c r="D520" s="11"/>
      <c r="E520" s="11"/>
      <c r="F520" s="162" t="s">
        <v>566</v>
      </c>
      <c r="G520" s="44"/>
      <c r="H520" s="45"/>
      <c r="I520" s="47"/>
      <c r="J520" s="48"/>
      <c r="K520" s="10">
        <v>1</v>
      </c>
    </row>
    <row r="521" spans="1:11" ht="25" x14ac:dyDescent="0.35">
      <c r="A521" s="11" t="s">
        <v>93</v>
      </c>
      <c r="B521" s="11" t="s">
        <v>448</v>
      </c>
      <c r="C521" s="11"/>
      <c r="D521" s="11" t="s">
        <v>567</v>
      </c>
      <c r="E521" s="11"/>
      <c r="F521" s="159" t="s">
        <v>568</v>
      </c>
      <c r="G521" s="44" t="s">
        <v>456</v>
      </c>
      <c r="H521" s="45">
        <v>11</v>
      </c>
      <c r="I521" s="47">
        <v>1050</v>
      </c>
      <c r="J521" s="48">
        <f>H521*I521</f>
        <v>11550</v>
      </c>
      <c r="K521" s="10">
        <v>1</v>
      </c>
    </row>
    <row r="522" spans="1:11" x14ac:dyDescent="0.35">
      <c r="A522" s="11" t="s">
        <v>93</v>
      </c>
      <c r="B522" s="11" t="s">
        <v>448</v>
      </c>
      <c r="C522" s="11"/>
      <c r="D522" s="11"/>
      <c r="E522" s="11"/>
      <c r="F522" s="162" t="s">
        <v>569</v>
      </c>
      <c r="G522" s="44"/>
      <c r="H522" s="45"/>
      <c r="I522" s="47"/>
      <c r="J522" s="48"/>
      <c r="K522" s="10">
        <v>1</v>
      </c>
    </row>
    <row r="523" spans="1:11" ht="25" x14ac:dyDescent="0.35">
      <c r="A523" s="11" t="s">
        <v>93</v>
      </c>
      <c r="B523" s="11" t="s">
        <v>448</v>
      </c>
      <c r="C523" s="11"/>
      <c r="D523" s="11" t="s">
        <v>570</v>
      </c>
      <c r="E523" s="11"/>
      <c r="F523" s="159" t="s">
        <v>571</v>
      </c>
      <c r="G523" s="44" t="s">
        <v>456</v>
      </c>
      <c r="H523" s="45">
        <v>0</v>
      </c>
      <c r="I523" s="47"/>
      <c r="J523" s="48">
        <f>H523*I523</f>
        <v>0</v>
      </c>
      <c r="K523" s="10">
        <v>1</v>
      </c>
    </row>
    <row r="524" spans="1:11" x14ac:dyDescent="0.35">
      <c r="A524" s="11" t="s">
        <v>93</v>
      </c>
      <c r="B524" s="11" t="s">
        <v>448</v>
      </c>
      <c r="C524" s="11"/>
      <c r="D524" s="11"/>
      <c r="E524" s="11"/>
      <c r="F524" s="162" t="s">
        <v>572</v>
      </c>
      <c r="G524" s="44"/>
      <c r="H524" s="45"/>
      <c r="I524" s="47"/>
      <c r="J524" s="48"/>
      <c r="K524" s="10">
        <v>1</v>
      </c>
    </row>
    <row r="525" spans="1:11" ht="25" x14ac:dyDescent="0.35">
      <c r="A525" s="11" t="s">
        <v>93</v>
      </c>
      <c r="B525" s="11" t="s">
        <v>448</v>
      </c>
      <c r="C525" s="11"/>
      <c r="D525" s="11" t="s">
        <v>573</v>
      </c>
      <c r="E525" s="11"/>
      <c r="F525" s="159" t="s">
        <v>574</v>
      </c>
      <c r="G525" s="44" t="s">
        <v>456</v>
      </c>
      <c r="H525" s="45">
        <v>8</v>
      </c>
      <c r="I525" s="47">
        <v>1980</v>
      </c>
      <c r="J525" s="48">
        <f>H525*I525</f>
        <v>15840</v>
      </c>
      <c r="K525" s="10">
        <v>1</v>
      </c>
    </row>
    <row r="526" spans="1:11" ht="13" x14ac:dyDescent="0.35">
      <c r="A526" s="11" t="s">
        <v>93</v>
      </c>
      <c r="B526" s="11" t="s">
        <v>448</v>
      </c>
      <c r="C526" s="11"/>
      <c r="D526" s="11"/>
      <c r="E526" s="11"/>
      <c r="F526" s="157" t="s">
        <v>575</v>
      </c>
      <c r="G526" s="44"/>
      <c r="H526" s="45"/>
      <c r="I526" s="47"/>
      <c r="J526" s="48"/>
      <c r="K526" s="10">
        <v>1</v>
      </c>
    </row>
    <row r="527" spans="1:11" ht="37.5" x14ac:dyDescent="0.35">
      <c r="A527" s="11" t="s">
        <v>93</v>
      </c>
      <c r="B527" s="11" t="s">
        <v>448</v>
      </c>
      <c r="C527" s="11"/>
      <c r="D527" s="11"/>
      <c r="E527" s="11"/>
      <c r="F527" s="159" t="s">
        <v>576</v>
      </c>
      <c r="G527" s="44"/>
      <c r="H527" s="45"/>
      <c r="I527" s="47"/>
      <c r="J527" s="48"/>
      <c r="K527" s="10">
        <v>1</v>
      </c>
    </row>
    <row r="528" spans="1:11" ht="25" x14ac:dyDescent="0.35">
      <c r="A528" s="11" t="s">
        <v>93</v>
      </c>
      <c r="B528" s="11" t="s">
        <v>448</v>
      </c>
      <c r="C528" s="11"/>
      <c r="D528" s="11"/>
      <c r="E528" s="11"/>
      <c r="F528" s="159" t="s">
        <v>577</v>
      </c>
      <c r="G528" s="44"/>
      <c r="H528" s="45"/>
      <c r="I528" s="47"/>
      <c r="J528" s="48"/>
      <c r="K528" s="10">
        <v>1</v>
      </c>
    </row>
    <row r="529" spans="1:11" x14ac:dyDescent="0.35">
      <c r="A529" s="11" t="s">
        <v>93</v>
      </c>
      <c r="B529" s="11" t="s">
        <v>448</v>
      </c>
      <c r="C529" s="11"/>
      <c r="D529" s="11"/>
      <c r="E529" s="11"/>
      <c r="F529" s="159" t="s">
        <v>578</v>
      </c>
      <c r="G529" s="44"/>
      <c r="H529" s="45"/>
      <c r="I529" s="47"/>
      <c r="J529" s="48"/>
      <c r="K529" s="10">
        <v>1</v>
      </c>
    </row>
    <row r="530" spans="1:11" x14ac:dyDescent="0.35">
      <c r="A530" s="11" t="s">
        <v>93</v>
      </c>
      <c r="B530" s="11" t="s">
        <v>448</v>
      </c>
      <c r="C530" s="11"/>
      <c r="D530" s="11"/>
      <c r="E530" s="11"/>
      <c r="F530" s="159" t="s">
        <v>579</v>
      </c>
      <c r="G530" s="44"/>
      <c r="H530" s="45"/>
      <c r="I530" s="47"/>
      <c r="J530" s="48"/>
      <c r="K530" s="10">
        <v>1</v>
      </c>
    </row>
    <row r="531" spans="1:11" x14ac:dyDescent="0.35">
      <c r="A531" s="11" t="s">
        <v>93</v>
      </c>
      <c r="B531" s="11" t="s">
        <v>448</v>
      </c>
      <c r="C531" s="11"/>
      <c r="D531" s="11"/>
      <c r="E531" s="11"/>
      <c r="F531" s="159" t="s">
        <v>580</v>
      </c>
      <c r="G531" s="44"/>
      <c r="H531" s="45"/>
      <c r="I531" s="47"/>
      <c r="J531" s="48"/>
      <c r="K531" s="10">
        <v>1</v>
      </c>
    </row>
    <row r="532" spans="1:11" x14ac:dyDescent="0.35">
      <c r="A532" s="11" t="s">
        <v>93</v>
      </c>
      <c r="B532" s="11" t="s">
        <v>448</v>
      </c>
      <c r="C532" s="11"/>
      <c r="D532" s="11" t="s">
        <v>581</v>
      </c>
      <c r="E532" s="11"/>
      <c r="F532" s="159" t="s">
        <v>582</v>
      </c>
      <c r="G532" s="44" t="s">
        <v>186</v>
      </c>
      <c r="H532" s="45">
        <v>2</v>
      </c>
      <c r="I532" s="47">
        <v>110</v>
      </c>
      <c r="J532" s="48">
        <f>H532*I532</f>
        <v>220</v>
      </c>
      <c r="K532" s="10">
        <v>1</v>
      </c>
    </row>
    <row r="533" spans="1:11" ht="25" x14ac:dyDescent="0.35">
      <c r="A533" s="11" t="s">
        <v>93</v>
      </c>
      <c r="B533" s="11" t="s">
        <v>448</v>
      </c>
      <c r="C533" s="11"/>
      <c r="D533" s="11" t="s">
        <v>583</v>
      </c>
      <c r="E533" s="11"/>
      <c r="F533" s="159" t="s">
        <v>584</v>
      </c>
      <c r="G533" s="44" t="s">
        <v>186</v>
      </c>
      <c r="H533" s="45">
        <v>6</v>
      </c>
      <c r="I533" s="47">
        <v>68</v>
      </c>
      <c r="J533" s="48">
        <f>H533*I533</f>
        <v>408</v>
      </c>
      <c r="K533" s="10">
        <v>1</v>
      </c>
    </row>
    <row r="534" spans="1:11" x14ac:dyDescent="0.35">
      <c r="A534" s="11" t="s">
        <v>93</v>
      </c>
      <c r="B534" s="11" t="s">
        <v>448</v>
      </c>
      <c r="C534" s="11"/>
      <c r="D534" s="11" t="s">
        <v>585</v>
      </c>
      <c r="E534" s="11"/>
      <c r="F534" s="159" t="s">
        <v>586</v>
      </c>
      <c r="G534" s="44" t="s">
        <v>587</v>
      </c>
      <c r="H534" s="45">
        <v>2</v>
      </c>
      <c r="I534" s="47">
        <v>30</v>
      </c>
      <c r="J534" s="48">
        <f>H534*I534</f>
        <v>60</v>
      </c>
      <c r="K534" s="10">
        <v>1</v>
      </c>
    </row>
    <row r="535" spans="1:11" ht="13" x14ac:dyDescent="0.35">
      <c r="A535" s="11" t="s">
        <v>93</v>
      </c>
      <c r="B535" s="11" t="s">
        <v>448</v>
      </c>
      <c r="C535" s="11"/>
      <c r="D535" s="11"/>
      <c r="E535" s="11"/>
      <c r="F535" s="157" t="s">
        <v>517</v>
      </c>
      <c r="G535" s="44"/>
      <c r="H535" s="45"/>
      <c r="I535" s="47"/>
      <c r="J535" s="48"/>
      <c r="K535" s="10">
        <v>1</v>
      </c>
    </row>
    <row r="536" spans="1:11" x14ac:dyDescent="0.35">
      <c r="A536" s="11" t="s">
        <v>93</v>
      </c>
      <c r="B536" s="11" t="s">
        <v>448</v>
      </c>
      <c r="C536" s="11"/>
      <c r="D536" s="11" t="s">
        <v>588</v>
      </c>
      <c r="E536" s="11"/>
      <c r="F536" s="159" t="s">
        <v>589</v>
      </c>
      <c r="G536" s="44" t="s">
        <v>186</v>
      </c>
      <c r="H536" s="45">
        <v>10</v>
      </c>
      <c r="I536" s="47">
        <v>218</v>
      </c>
      <c r="J536" s="48">
        <f>H536*I536</f>
        <v>2180</v>
      </c>
      <c r="K536" s="10">
        <v>1</v>
      </c>
    </row>
    <row r="537" spans="1:11" x14ac:dyDescent="0.35">
      <c r="A537" s="11" t="s">
        <v>93</v>
      </c>
      <c r="B537" s="11" t="s">
        <v>448</v>
      </c>
      <c r="C537" s="11"/>
      <c r="D537" s="11" t="s">
        <v>590</v>
      </c>
      <c r="E537" s="11"/>
      <c r="F537" s="159" t="s">
        <v>591</v>
      </c>
      <c r="G537" s="44" t="s">
        <v>186</v>
      </c>
      <c r="H537" s="45">
        <v>10</v>
      </c>
      <c r="I537" s="47">
        <v>65</v>
      </c>
      <c r="J537" s="48">
        <f>H537*I537</f>
        <v>650</v>
      </c>
      <c r="K537" s="10">
        <v>1</v>
      </c>
    </row>
    <row r="538" spans="1:11" x14ac:dyDescent="0.35">
      <c r="A538" s="11" t="s">
        <v>93</v>
      </c>
      <c r="B538" s="11" t="s">
        <v>448</v>
      </c>
      <c r="C538" s="11"/>
      <c r="D538" s="11" t="s">
        <v>592</v>
      </c>
      <c r="E538" s="11"/>
      <c r="F538" s="159" t="s">
        <v>593</v>
      </c>
      <c r="G538" s="44" t="s">
        <v>186</v>
      </c>
      <c r="H538" s="45">
        <v>10</v>
      </c>
      <c r="I538" s="47">
        <v>55</v>
      </c>
      <c r="J538" s="48">
        <f>H538*I538</f>
        <v>550</v>
      </c>
      <c r="K538" s="10">
        <v>1</v>
      </c>
    </row>
    <row r="539" spans="1:11" ht="37.5" x14ac:dyDescent="0.35">
      <c r="A539" s="11" t="s">
        <v>93</v>
      </c>
      <c r="B539" s="11" t="s">
        <v>448</v>
      </c>
      <c r="C539" s="11"/>
      <c r="D539" s="11" t="s">
        <v>594</v>
      </c>
      <c r="E539" s="11"/>
      <c r="F539" s="159" t="s">
        <v>595</v>
      </c>
      <c r="G539" s="44" t="s">
        <v>596</v>
      </c>
      <c r="H539" s="45">
        <v>1</v>
      </c>
      <c r="I539" s="47">
        <v>186</v>
      </c>
      <c r="J539" s="48">
        <f>H539*I539</f>
        <v>186</v>
      </c>
      <c r="K539" s="10">
        <v>1</v>
      </c>
    </row>
    <row r="540" spans="1:11" x14ac:dyDescent="0.35">
      <c r="A540" s="11" t="s">
        <v>93</v>
      </c>
      <c r="B540" s="11" t="s">
        <v>448</v>
      </c>
      <c r="C540" s="11"/>
      <c r="D540" s="11" t="s">
        <v>597</v>
      </c>
      <c r="E540" s="11"/>
      <c r="F540" s="159" t="s">
        <v>598</v>
      </c>
      <c r="G540" s="44" t="s">
        <v>186</v>
      </c>
      <c r="H540" s="45">
        <v>1</v>
      </c>
      <c r="I540" s="47">
        <v>780</v>
      </c>
      <c r="J540" s="48">
        <f>H540*I540</f>
        <v>780</v>
      </c>
      <c r="K540" s="10">
        <v>1</v>
      </c>
    </row>
    <row r="541" spans="1:11" x14ac:dyDescent="0.35">
      <c r="A541" s="11" t="s">
        <v>93</v>
      </c>
      <c r="B541" s="11" t="s">
        <v>448</v>
      </c>
      <c r="C541" s="11"/>
      <c r="D541" s="11" t="s">
        <v>599</v>
      </c>
      <c r="E541" s="11"/>
      <c r="F541" s="159" t="s">
        <v>600</v>
      </c>
      <c r="G541" s="44" t="s">
        <v>596</v>
      </c>
      <c r="H541" s="45">
        <v>2</v>
      </c>
      <c r="I541" s="47">
        <v>150</v>
      </c>
      <c r="J541" s="48">
        <f>H541*I541</f>
        <v>300</v>
      </c>
      <c r="K541" s="10">
        <v>1</v>
      </c>
    </row>
    <row r="542" spans="1:11" x14ac:dyDescent="0.35">
      <c r="A542" s="11" t="s">
        <v>93</v>
      </c>
      <c r="B542" s="11" t="s">
        <v>448</v>
      </c>
      <c r="C542" s="11"/>
      <c r="D542" s="11" t="s">
        <v>601</v>
      </c>
      <c r="E542" s="11"/>
      <c r="F542" s="159" t="s">
        <v>602</v>
      </c>
      <c r="G542" s="44" t="s">
        <v>186</v>
      </c>
      <c r="H542" s="45">
        <v>2</v>
      </c>
      <c r="I542" s="47">
        <v>55</v>
      </c>
      <c r="J542" s="48">
        <f>H542*I542</f>
        <v>110</v>
      </c>
      <c r="K542" s="10">
        <v>1</v>
      </c>
    </row>
    <row r="543" spans="1:11" x14ac:dyDescent="0.35">
      <c r="A543" s="11" t="s">
        <v>93</v>
      </c>
      <c r="B543" s="11" t="s">
        <v>448</v>
      </c>
      <c r="C543" s="11"/>
      <c r="D543" s="11" t="s">
        <v>603</v>
      </c>
      <c r="E543" s="11"/>
      <c r="F543" s="159" t="s">
        <v>604</v>
      </c>
      <c r="G543" s="44" t="s">
        <v>186</v>
      </c>
      <c r="H543" s="45">
        <v>10</v>
      </c>
      <c r="I543" s="47">
        <v>238</v>
      </c>
      <c r="J543" s="48">
        <f>H543*I543</f>
        <v>2380</v>
      </c>
      <c r="K543" s="10">
        <v>1</v>
      </c>
    </row>
    <row r="544" spans="1:11" x14ac:dyDescent="0.35">
      <c r="A544" s="11" t="s">
        <v>93</v>
      </c>
      <c r="B544" s="11" t="s">
        <v>448</v>
      </c>
      <c r="C544" s="11"/>
      <c r="D544" s="11" t="s">
        <v>605</v>
      </c>
      <c r="E544" s="11"/>
      <c r="F544" s="159" t="s">
        <v>606</v>
      </c>
      <c r="G544" s="44" t="s">
        <v>186</v>
      </c>
      <c r="H544" s="45">
        <v>10</v>
      </c>
      <c r="I544" s="47">
        <v>238</v>
      </c>
      <c r="J544" s="48">
        <f>H544*I544</f>
        <v>2380</v>
      </c>
      <c r="K544" s="10">
        <v>1</v>
      </c>
    </row>
    <row r="545" spans="1:11" ht="13" x14ac:dyDescent="0.35">
      <c r="A545" s="11" t="s">
        <v>93</v>
      </c>
      <c r="B545" s="11" t="s">
        <v>448</v>
      </c>
      <c r="C545" s="11"/>
      <c r="D545" s="11"/>
      <c r="E545" s="11"/>
      <c r="F545" s="157" t="s">
        <v>607</v>
      </c>
      <c r="G545" s="44"/>
      <c r="H545" s="45"/>
      <c r="I545" s="47"/>
      <c r="J545" s="48"/>
      <c r="K545" s="10">
        <v>1</v>
      </c>
    </row>
    <row r="546" spans="1:11" x14ac:dyDescent="0.35">
      <c r="A546" s="11" t="s">
        <v>93</v>
      </c>
      <c r="B546" s="11" t="s">
        <v>448</v>
      </c>
      <c r="C546" s="11"/>
      <c r="D546" s="11" t="s">
        <v>608</v>
      </c>
      <c r="E546" s="11"/>
      <c r="F546" s="159" t="s">
        <v>609</v>
      </c>
      <c r="G546" s="44" t="s">
        <v>596</v>
      </c>
      <c r="H546" s="45">
        <v>1</v>
      </c>
      <c r="I546" s="47">
        <v>1000</v>
      </c>
      <c r="J546" s="48">
        <f>H546*I546</f>
        <v>1000</v>
      </c>
      <c r="K546" s="10">
        <v>1</v>
      </c>
    </row>
    <row r="547" spans="1:11" ht="13" x14ac:dyDescent="0.35">
      <c r="A547" s="11" t="s">
        <v>93</v>
      </c>
      <c r="B547" s="11" t="s">
        <v>448</v>
      </c>
      <c r="C547" s="11"/>
      <c r="D547" s="11"/>
      <c r="E547" s="11"/>
      <c r="F547" s="157" t="s">
        <v>610</v>
      </c>
      <c r="G547" s="44"/>
      <c r="H547" s="45"/>
      <c r="I547" s="47"/>
      <c r="J547" s="48"/>
      <c r="K547" s="10">
        <v>1</v>
      </c>
    </row>
    <row r="548" spans="1:11" x14ac:dyDescent="0.35">
      <c r="A548" s="11" t="s">
        <v>93</v>
      </c>
      <c r="B548" s="11" t="s">
        <v>448</v>
      </c>
      <c r="C548" s="11"/>
      <c r="D548" s="11" t="s">
        <v>611</v>
      </c>
      <c r="E548" s="11"/>
      <c r="F548" s="159" t="s">
        <v>612</v>
      </c>
      <c r="G548" s="44" t="s">
        <v>596</v>
      </c>
      <c r="H548" s="45">
        <v>1</v>
      </c>
      <c r="I548" s="47">
        <v>145</v>
      </c>
      <c r="J548" s="48">
        <f>H548*I548</f>
        <v>145</v>
      </c>
      <c r="K548" s="10">
        <v>1</v>
      </c>
    </row>
    <row r="549" spans="1:11" x14ac:dyDescent="0.35">
      <c r="A549" s="11" t="s">
        <v>93</v>
      </c>
      <c r="B549" s="11" t="s">
        <v>448</v>
      </c>
      <c r="C549" s="11"/>
      <c r="D549" s="11" t="s">
        <v>613</v>
      </c>
      <c r="E549" s="11"/>
      <c r="F549" s="159" t="s">
        <v>614</v>
      </c>
      <c r="G549" s="44" t="s">
        <v>596</v>
      </c>
      <c r="H549" s="45">
        <v>1</v>
      </c>
      <c r="I549" s="47">
        <v>1800</v>
      </c>
      <c r="J549" s="48">
        <f>H549*I549</f>
        <v>1800</v>
      </c>
      <c r="K549" s="10">
        <v>1</v>
      </c>
    </row>
    <row r="550" spans="1:11" ht="37.5" x14ac:dyDescent="0.35">
      <c r="A550" s="11" t="s">
        <v>93</v>
      </c>
      <c r="B550" s="11" t="s">
        <v>448</v>
      </c>
      <c r="C550" s="11"/>
      <c r="D550" s="11" t="s">
        <v>615</v>
      </c>
      <c r="E550" s="11"/>
      <c r="F550" s="159" t="s">
        <v>616</v>
      </c>
      <c r="G550" s="44" t="s">
        <v>596</v>
      </c>
      <c r="H550" s="45">
        <v>1</v>
      </c>
      <c r="I550" s="47">
        <v>3500</v>
      </c>
      <c r="J550" s="48">
        <f>H550*I550</f>
        <v>3500</v>
      </c>
      <c r="K550" s="10">
        <v>1</v>
      </c>
    </row>
    <row r="551" spans="1:11" ht="13" x14ac:dyDescent="0.35">
      <c r="A551" s="11" t="s">
        <v>93</v>
      </c>
      <c r="B551" s="11" t="s">
        <v>448</v>
      </c>
      <c r="C551" s="11"/>
      <c r="D551" s="11"/>
      <c r="E551" s="11"/>
      <c r="F551" s="156" t="s">
        <v>617</v>
      </c>
      <c r="G551" s="44"/>
      <c r="H551" s="45"/>
      <c r="I551" s="47"/>
      <c r="J551" s="48"/>
      <c r="K551" s="10">
        <v>1</v>
      </c>
    </row>
    <row r="552" spans="1:11" x14ac:dyDescent="0.35">
      <c r="A552" s="11" t="s">
        <v>93</v>
      </c>
      <c r="B552" s="11" t="s">
        <v>448</v>
      </c>
      <c r="C552" s="11"/>
      <c r="D552" s="163" t="s">
        <v>618</v>
      </c>
      <c r="E552" s="11"/>
      <c r="F552" s="159" t="s">
        <v>619</v>
      </c>
      <c r="G552" s="44"/>
      <c r="H552" s="45"/>
      <c r="I552" s="47"/>
      <c r="J552" s="48"/>
      <c r="K552" s="10">
        <v>1</v>
      </c>
    </row>
    <row r="553" spans="1:11" x14ac:dyDescent="0.35">
      <c r="A553" s="11" t="s">
        <v>93</v>
      </c>
      <c r="B553" s="11" t="s">
        <v>448</v>
      </c>
      <c r="C553" s="11"/>
      <c r="D553" s="11"/>
      <c r="E553" s="11"/>
      <c r="F553" s="159" t="s">
        <v>620</v>
      </c>
      <c r="G553" s="44" t="s">
        <v>468</v>
      </c>
      <c r="H553" s="45">
        <v>1</v>
      </c>
      <c r="I553" s="47">
        <v>5000</v>
      </c>
      <c r="J553" s="48">
        <f>H553*I553</f>
        <v>5000</v>
      </c>
      <c r="K553" s="10">
        <v>1</v>
      </c>
    </row>
    <row r="554" spans="1:11" ht="13" x14ac:dyDescent="0.35">
      <c r="A554" s="11" t="s">
        <v>93</v>
      </c>
      <c r="B554" s="11" t="s">
        <v>621</v>
      </c>
      <c r="C554" s="11"/>
      <c r="D554" s="11"/>
      <c r="E554" s="11"/>
      <c r="F554" s="43" t="s">
        <v>95</v>
      </c>
      <c r="G554" s="44"/>
      <c r="H554" s="45"/>
      <c r="I554" s="47"/>
      <c r="J554" s="48"/>
      <c r="K554" s="10">
        <v>1</v>
      </c>
    </row>
    <row r="555" spans="1:11" ht="13" x14ac:dyDescent="0.35">
      <c r="A555" s="11" t="s">
        <v>93</v>
      </c>
      <c r="B555" s="11" t="s">
        <v>621</v>
      </c>
      <c r="C555" s="11"/>
      <c r="D555" s="11"/>
      <c r="E555" s="11"/>
      <c r="F555" s="43" t="s">
        <v>96</v>
      </c>
      <c r="G555" s="44"/>
      <c r="H555" s="45"/>
      <c r="I555" s="47"/>
      <c r="J555" s="55"/>
      <c r="K555" s="10">
        <v>1</v>
      </c>
    </row>
    <row r="556" spans="1:11" ht="13" x14ac:dyDescent="0.35">
      <c r="A556" s="11" t="s">
        <v>93</v>
      </c>
      <c r="B556" s="11" t="s">
        <v>621</v>
      </c>
      <c r="C556" s="11"/>
      <c r="D556" s="11"/>
      <c r="E556" s="11"/>
      <c r="F556" s="43" t="s">
        <v>622</v>
      </c>
      <c r="G556" s="44"/>
      <c r="H556" s="45"/>
      <c r="I556" s="47"/>
      <c r="J556" s="55"/>
      <c r="K556" s="10">
        <v>1</v>
      </c>
    </row>
    <row r="557" spans="1:11" s="172" customFormat="1" ht="13" x14ac:dyDescent="0.35">
      <c r="A557" s="11" t="s">
        <v>93</v>
      </c>
      <c r="B557" s="11" t="s">
        <v>621</v>
      </c>
      <c r="C557" s="11"/>
      <c r="D557" s="164"/>
      <c r="E557" s="165"/>
      <c r="F557" s="153" t="s">
        <v>623</v>
      </c>
      <c r="G557" s="166"/>
      <c r="H557" s="167"/>
      <c r="I557" s="169"/>
      <c r="J557" s="170"/>
      <c r="K557" s="10">
        <v>1</v>
      </c>
    </row>
    <row r="558" spans="1:11" s="172" customFormat="1" ht="13" x14ac:dyDescent="0.35">
      <c r="A558" s="11" t="s">
        <v>93</v>
      </c>
      <c r="B558" s="11" t="s">
        <v>621</v>
      </c>
      <c r="C558" s="11"/>
      <c r="D558" s="173"/>
      <c r="E558" s="174"/>
      <c r="F558" s="154" t="s">
        <v>100</v>
      </c>
      <c r="G558" s="175"/>
      <c r="H558" s="176"/>
      <c r="I558" s="178"/>
      <c r="J558" s="179"/>
      <c r="K558" s="10">
        <v>1</v>
      </c>
    </row>
    <row r="559" spans="1:11" s="172" customFormat="1" ht="13" x14ac:dyDescent="0.35">
      <c r="A559" s="11" t="s">
        <v>93</v>
      </c>
      <c r="B559" s="11" t="s">
        <v>621</v>
      </c>
      <c r="C559" s="11"/>
      <c r="D559" s="173"/>
      <c r="E559" s="174"/>
      <c r="F559" s="155" t="s">
        <v>101</v>
      </c>
      <c r="G559" s="175"/>
      <c r="H559" s="176"/>
      <c r="I559" s="178"/>
      <c r="J559" s="179"/>
      <c r="K559" s="10">
        <v>1</v>
      </c>
    </row>
    <row r="560" spans="1:11" s="187" customFormat="1" ht="13" x14ac:dyDescent="0.35">
      <c r="A560" s="11" t="s">
        <v>93</v>
      </c>
      <c r="B560" s="11" t="s">
        <v>621</v>
      </c>
      <c r="C560" s="11"/>
      <c r="D560" s="181"/>
      <c r="E560" s="181"/>
      <c r="F560" s="57" t="s">
        <v>624</v>
      </c>
      <c r="G560" s="110"/>
      <c r="H560" s="182"/>
      <c r="I560" s="184"/>
      <c r="J560" s="185"/>
      <c r="K560" s="10">
        <v>1</v>
      </c>
    </row>
    <row r="561" spans="1:11" s="187" customFormat="1" ht="25" x14ac:dyDescent="0.35">
      <c r="A561" s="11" t="s">
        <v>93</v>
      </c>
      <c r="B561" s="11" t="s">
        <v>621</v>
      </c>
      <c r="C561" s="11"/>
      <c r="D561" s="181" t="s">
        <v>20</v>
      </c>
      <c r="E561" s="181"/>
      <c r="F561" s="60" t="s">
        <v>625</v>
      </c>
      <c r="G561" s="110" t="s">
        <v>468</v>
      </c>
      <c r="H561" s="182">
        <v>1</v>
      </c>
      <c r="I561" s="184">
        <v>10000</v>
      </c>
      <c r="J561" s="185">
        <f>H561*I561</f>
        <v>10000</v>
      </c>
      <c r="K561" s="10">
        <v>1</v>
      </c>
    </row>
    <row r="562" spans="1:11" s="187" customFormat="1" x14ac:dyDescent="0.35">
      <c r="A562" s="11" t="s">
        <v>93</v>
      </c>
      <c r="B562" s="11" t="s">
        <v>621</v>
      </c>
      <c r="C562" s="11"/>
      <c r="D562" s="181" t="s">
        <v>26</v>
      </c>
      <c r="E562" s="181"/>
      <c r="F562" s="188" t="s">
        <v>626</v>
      </c>
      <c r="G562" s="110" t="s">
        <v>627</v>
      </c>
      <c r="H562" s="189">
        <v>0.05</v>
      </c>
      <c r="I562" s="184">
        <f>I561</f>
        <v>10000</v>
      </c>
      <c r="J562" s="185">
        <f>H562*I562</f>
        <v>500</v>
      </c>
      <c r="K562" s="10">
        <v>1</v>
      </c>
    </row>
    <row r="563" spans="1:11" s="187" customFormat="1" x14ac:dyDescent="0.35">
      <c r="A563" s="11" t="s">
        <v>93</v>
      </c>
      <c r="B563" s="11" t="s">
        <v>621</v>
      </c>
      <c r="C563" s="11"/>
      <c r="D563" s="181" t="s">
        <v>29</v>
      </c>
      <c r="E563" s="181"/>
      <c r="F563" s="188" t="s">
        <v>628</v>
      </c>
      <c r="G563" s="110" t="s">
        <v>627</v>
      </c>
      <c r="H563" s="189">
        <v>0.1</v>
      </c>
      <c r="I563" s="184">
        <f>I562</f>
        <v>10000</v>
      </c>
      <c r="J563" s="185">
        <f>H563*I563</f>
        <v>1000</v>
      </c>
      <c r="K563" s="10">
        <v>1</v>
      </c>
    </row>
    <row r="564" spans="1:11" s="187" customFormat="1" ht="13" x14ac:dyDescent="0.35">
      <c r="A564" s="11" t="s">
        <v>93</v>
      </c>
      <c r="B564" s="11" t="s">
        <v>621</v>
      </c>
      <c r="C564" s="11"/>
      <c r="D564" s="181"/>
      <c r="E564" s="181"/>
      <c r="F564" s="57" t="s">
        <v>629</v>
      </c>
      <c r="G564" s="110"/>
      <c r="H564" s="182"/>
      <c r="I564" s="184"/>
      <c r="J564" s="185"/>
      <c r="K564" s="10">
        <v>1</v>
      </c>
    </row>
    <row r="565" spans="1:11" s="187" customFormat="1" ht="25" x14ac:dyDescent="0.35">
      <c r="A565" s="11" t="s">
        <v>93</v>
      </c>
      <c r="B565" s="11" t="s">
        <v>621</v>
      </c>
      <c r="C565" s="11"/>
      <c r="D565" s="181" t="s">
        <v>32</v>
      </c>
      <c r="E565" s="181"/>
      <c r="F565" s="67" t="s">
        <v>630</v>
      </c>
      <c r="G565" s="110" t="s">
        <v>468</v>
      </c>
      <c r="H565" s="182">
        <v>1</v>
      </c>
      <c r="I565" s="184">
        <v>5000</v>
      </c>
      <c r="J565" s="185">
        <f>H565*I565</f>
        <v>5000</v>
      </c>
      <c r="K565" s="10">
        <v>1</v>
      </c>
    </row>
    <row r="566" spans="1:11" s="187" customFormat="1" x14ac:dyDescent="0.35">
      <c r="A566" s="11" t="s">
        <v>93</v>
      </c>
      <c r="B566" s="11" t="s">
        <v>621</v>
      </c>
      <c r="C566" s="11"/>
      <c r="D566" s="181" t="s">
        <v>36</v>
      </c>
      <c r="E566" s="181"/>
      <c r="F566" s="188" t="s">
        <v>626</v>
      </c>
      <c r="G566" s="110" t="s">
        <v>627</v>
      </c>
      <c r="H566" s="189">
        <v>0.05</v>
      </c>
      <c r="I566" s="184">
        <f>I565</f>
        <v>5000</v>
      </c>
      <c r="J566" s="185">
        <f>H566*I566</f>
        <v>250</v>
      </c>
      <c r="K566" s="10">
        <v>1</v>
      </c>
    </row>
    <row r="567" spans="1:11" s="187" customFormat="1" x14ac:dyDescent="0.35">
      <c r="A567" s="11" t="s">
        <v>93</v>
      </c>
      <c r="B567" s="11" t="s">
        <v>621</v>
      </c>
      <c r="C567" s="11"/>
      <c r="D567" s="181" t="s">
        <v>39</v>
      </c>
      <c r="E567" s="181"/>
      <c r="F567" s="188" t="s">
        <v>628</v>
      </c>
      <c r="G567" s="110" t="s">
        <v>627</v>
      </c>
      <c r="H567" s="189">
        <v>0.1</v>
      </c>
      <c r="I567" s="184">
        <f>I566</f>
        <v>5000</v>
      </c>
      <c r="J567" s="185">
        <f>H567*I567</f>
        <v>500</v>
      </c>
      <c r="K567" s="10">
        <v>1</v>
      </c>
    </row>
    <row r="568" spans="1:11" s="187" customFormat="1" ht="13" x14ac:dyDescent="0.35">
      <c r="A568" s="11" t="s">
        <v>93</v>
      </c>
      <c r="B568" s="11" t="s">
        <v>621</v>
      </c>
      <c r="C568" s="11"/>
      <c r="D568" s="181"/>
      <c r="E568" s="181"/>
      <c r="F568" s="57" t="s">
        <v>631</v>
      </c>
      <c r="G568" s="110"/>
      <c r="H568" s="182"/>
      <c r="I568" s="184"/>
      <c r="J568" s="185"/>
      <c r="K568" s="10">
        <v>1</v>
      </c>
    </row>
    <row r="569" spans="1:11" s="187" customFormat="1" ht="25" x14ac:dyDescent="0.35">
      <c r="A569" s="11" t="s">
        <v>93</v>
      </c>
      <c r="B569" s="11" t="s">
        <v>621</v>
      </c>
      <c r="C569" s="11"/>
      <c r="D569" s="181" t="s">
        <v>42</v>
      </c>
      <c r="E569" s="181"/>
      <c r="F569" s="67" t="s">
        <v>632</v>
      </c>
      <c r="G569" s="110" t="s">
        <v>468</v>
      </c>
      <c r="H569" s="182">
        <v>1</v>
      </c>
      <c r="I569" s="184">
        <v>20000</v>
      </c>
      <c r="J569" s="185">
        <f>H569*I569</f>
        <v>20000</v>
      </c>
      <c r="K569" s="10">
        <v>1</v>
      </c>
    </row>
    <row r="570" spans="1:11" s="187" customFormat="1" x14ac:dyDescent="0.35">
      <c r="A570" s="11" t="s">
        <v>93</v>
      </c>
      <c r="B570" s="11" t="s">
        <v>621</v>
      </c>
      <c r="C570" s="11"/>
      <c r="D570" s="181" t="s">
        <v>45</v>
      </c>
      <c r="E570" s="181"/>
      <c r="F570" s="188" t="s">
        <v>626</v>
      </c>
      <c r="G570" s="110" t="s">
        <v>627</v>
      </c>
      <c r="H570" s="189">
        <v>0.05</v>
      </c>
      <c r="I570" s="184">
        <f>I569</f>
        <v>20000</v>
      </c>
      <c r="J570" s="185">
        <f>H570*I570</f>
        <v>1000</v>
      </c>
      <c r="K570" s="10">
        <v>1</v>
      </c>
    </row>
    <row r="571" spans="1:11" s="187" customFormat="1" x14ac:dyDescent="0.35">
      <c r="A571" s="11" t="s">
        <v>93</v>
      </c>
      <c r="B571" s="11" t="s">
        <v>621</v>
      </c>
      <c r="C571" s="11"/>
      <c r="D571" s="181" t="s">
        <v>48</v>
      </c>
      <c r="E571" s="181"/>
      <c r="F571" s="188" t="s">
        <v>628</v>
      </c>
      <c r="G571" s="110" t="s">
        <v>627</v>
      </c>
      <c r="H571" s="189">
        <v>0.1</v>
      </c>
      <c r="I571" s="184">
        <f>I570</f>
        <v>20000</v>
      </c>
      <c r="J571" s="185">
        <f>H571*I571</f>
        <v>2000</v>
      </c>
      <c r="K571" s="10">
        <v>1</v>
      </c>
    </row>
    <row r="572" spans="1:11" ht="13" x14ac:dyDescent="0.35">
      <c r="A572" s="11" t="s">
        <v>633</v>
      </c>
      <c r="B572" s="11" t="s">
        <v>94</v>
      </c>
      <c r="C572" s="11"/>
      <c r="D572" s="11"/>
      <c r="E572" s="11"/>
      <c r="F572" s="43" t="s">
        <v>634</v>
      </c>
      <c r="G572" s="44"/>
      <c r="H572" s="45"/>
      <c r="I572" s="47"/>
      <c r="J572" s="48"/>
      <c r="K572" s="10">
        <v>1</v>
      </c>
    </row>
    <row r="573" spans="1:11" ht="13" x14ac:dyDescent="0.35">
      <c r="A573" s="11" t="s">
        <v>633</v>
      </c>
      <c r="B573" s="11" t="s">
        <v>94</v>
      </c>
      <c r="C573" s="11"/>
      <c r="D573" s="11"/>
      <c r="E573" s="11"/>
      <c r="F573" s="43" t="s">
        <v>635</v>
      </c>
      <c r="G573" s="44"/>
      <c r="H573" s="45"/>
      <c r="I573" s="47"/>
      <c r="J573" s="48"/>
      <c r="K573" s="10">
        <v>1</v>
      </c>
    </row>
    <row r="574" spans="1:11" ht="13" x14ac:dyDescent="0.35">
      <c r="A574" s="11" t="s">
        <v>633</v>
      </c>
      <c r="B574" s="11" t="s">
        <v>94</v>
      </c>
      <c r="C574" s="11"/>
      <c r="D574" s="11"/>
      <c r="E574" s="11"/>
      <c r="F574" s="43" t="s">
        <v>97</v>
      </c>
      <c r="G574" s="44"/>
      <c r="H574" s="45"/>
      <c r="I574" s="47"/>
      <c r="J574" s="48"/>
      <c r="K574" s="10">
        <v>1</v>
      </c>
    </row>
    <row r="575" spans="1:11" ht="13" x14ac:dyDescent="0.35">
      <c r="A575" s="11" t="s">
        <v>633</v>
      </c>
      <c r="B575" s="11" t="s">
        <v>94</v>
      </c>
      <c r="C575" s="11"/>
      <c r="D575" s="50"/>
      <c r="E575" s="50" t="s">
        <v>98</v>
      </c>
      <c r="F575" s="43" t="s">
        <v>99</v>
      </c>
      <c r="G575" s="51"/>
      <c r="H575" s="52"/>
      <c r="I575" s="54"/>
      <c r="J575" s="55"/>
      <c r="K575" s="10">
        <v>1</v>
      </c>
    </row>
    <row r="576" spans="1:11" ht="13" x14ac:dyDescent="0.35">
      <c r="A576" s="11" t="s">
        <v>633</v>
      </c>
      <c r="B576" s="11" t="s">
        <v>94</v>
      </c>
      <c r="C576" s="11"/>
      <c r="D576" s="11"/>
      <c r="E576" s="11"/>
      <c r="F576" s="57" t="s">
        <v>100</v>
      </c>
      <c r="G576" s="44"/>
      <c r="H576" s="58"/>
      <c r="I576" s="47"/>
      <c r="J576" s="48"/>
      <c r="K576" s="10">
        <v>1</v>
      </c>
    </row>
    <row r="577" spans="1:11" x14ac:dyDescent="0.35">
      <c r="A577" s="11" t="s">
        <v>633</v>
      </c>
      <c r="B577" s="11" t="s">
        <v>94</v>
      </c>
      <c r="C577" s="11"/>
      <c r="D577" s="11"/>
      <c r="E577" s="11"/>
      <c r="F577" s="60" t="s">
        <v>101</v>
      </c>
      <c r="G577" s="44"/>
      <c r="H577" s="58"/>
      <c r="I577" s="47"/>
      <c r="J577" s="48"/>
      <c r="K577" s="10">
        <v>1</v>
      </c>
    </row>
    <row r="578" spans="1:11" ht="13" x14ac:dyDescent="0.35">
      <c r="A578" s="11" t="s">
        <v>633</v>
      </c>
      <c r="B578" s="11" t="s">
        <v>94</v>
      </c>
      <c r="C578" s="11"/>
      <c r="D578" s="11"/>
      <c r="E578" s="11"/>
      <c r="F578" s="57" t="s">
        <v>102</v>
      </c>
      <c r="G578" s="44"/>
      <c r="H578" s="58"/>
      <c r="I578" s="47"/>
      <c r="J578" s="48"/>
      <c r="K578" s="10">
        <v>1</v>
      </c>
    </row>
    <row r="579" spans="1:11" ht="13" x14ac:dyDescent="0.35">
      <c r="A579" s="11" t="s">
        <v>633</v>
      </c>
      <c r="B579" s="11" t="s">
        <v>94</v>
      </c>
      <c r="C579" s="11"/>
      <c r="D579" s="11"/>
      <c r="E579" s="11"/>
      <c r="F579" s="57" t="s">
        <v>103</v>
      </c>
      <c r="G579" s="44"/>
      <c r="H579" s="58"/>
      <c r="I579" s="47"/>
      <c r="J579" s="48"/>
      <c r="K579" s="10">
        <v>1</v>
      </c>
    </row>
    <row r="580" spans="1:11" ht="37.5" x14ac:dyDescent="0.35">
      <c r="A580" s="11" t="s">
        <v>633</v>
      </c>
      <c r="B580" s="11" t="s">
        <v>94</v>
      </c>
      <c r="C580" s="11"/>
      <c r="D580" s="11"/>
      <c r="E580" s="11"/>
      <c r="F580" s="60" t="s">
        <v>104</v>
      </c>
      <c r="G580" s="44"/>
      <c r="H580" s="58"/>
      <c r="I580" s="47"/>
      <c r="J580" s="48"/>
      <c r="K580" s="10">
        <v>1</v>
      </c>
    </row>
    <row r="581" spans="1:11" ht="13" x14ac:dyDescent="0.35">
      <c r="A581" s="11" t="s">
        <v>633</v>
      </c>
      <c r="B581" s="11" t="s">
        <v>94</v>
      </c>
      <c r="C581" s="11"/>
      <c r="D581" s="11"/>
      <c r="E581" s="61" t="s">
        <v>105</v>
      </c>
      <c r="F581" s="57" t="s">
        <v>106</v>
      </c>
      <c r="G581" s="44"/>
      <c r="H581" s="58"/>
      <c r="I581" s="47"/>
      <c r="J581" s="48"/>
      <c r="K581" s="10">
        <v>1</v>
      </c>
    </row>
    <row r="582" spans="1:11" x14ac:dyDescent="0.35">
      <c r="A582" s="11" t="s">
        <v>633</v>
      </c>
      <c r="B582" s="11" t="s">
        <v>94</v>
      </c>
      <c r="C582" s="11"/>
      <c r="D582" s="11"/>
      <c r="E582" s="11" t="s">
        <v>21</v>
      </c>
      <c r="F582" s="62" t="s">
        <v>107</v>
      </c>
      <c r="G582" s="44"/>
      <c r="H582" s="58"/>
      <c r="I582" s="47"/>
      <c r="J582" s="48"/>
      <c r="K582" s="10">
        <v>1</v>
      </c>
    </row>
    <row r="583" spans="1:11" ht="25" x14ac:dyDescent="0.35">
      <c r="A583" s="11" t="s">
        <v>633</v>
      </c>
      <c r="B583" s="11" t="s">
        <v>94</v>
      </c>
      <c r="C583" s="11"/>
      <c r="D583" s="11" t="s">
        <v>20</v>
      </c>
      <c r="E583" s="11" t="s">
        <v>108</v>
      </c>
      <c r="F583" s="60" t="s">
        <v>109</v>
      </c>
      <c r="G583" s="44" t="s">
        <v>110</v>
      </c>
      <c r="H583" s="58">
        <v>459</v>
      </c>
      <c r="I583" s="47">
        <v>25</v>
      </c>
      <c r="J583" s="48">
        <f>I583*H583</f>
        <v>11475</v>
      </c>
      <c r="K583" s="10">
        <v>1</v>
      </c>
    </row>
    <row r="584" spans="1:11" ht="14.5" x14ac:dyDescent="0.35">
      <c r="A584" s="11" t="s">
        <v>633</v>
      </c>
      <c r="B584" s="11" t="s">
        <v>94</v>
      </c>
      <c r="C584" s="11"/>
      <c r="D584" s="11" t="s">
        <v>26</v>
      </c>
      <c r="E584" s="11" t="s">
        <v>111</v>
      </c>
      <c r="F584" s="60" t="s">
        <v>112</v>
      </c>
      <c r="G584" s="44" t="s">
        <v>110</v>
      </c>
      <c r="H584" s="58">
        <f>H583</f>
        <v>459</v>
      </c>
      <c r="I584" s="47">
        <v>50</v>
      </c>
      <c r="J584" s="48">
        <f>I584*H584</f>
        <v>22950</v>
      </c>
      <c r="K584" s="10">
        <v>1</v>
      </c>
    </row>
    <row r="585" spans="1:11" ht="13" x14ac:dyDescent="0.35">
      <c r="A585" s="11" t="s">
        <v>633</v>
      </c>
      <c r="B585" s="11" t="s">
        <v>94</v>
      </c>
      <c r="C585" s="11"/>
      <c r="D585" s="11"/>
      <c r="E585" s="11"/>
      <c r="F585" s="57" t="s">
        <v>113</v>
      </c>
      <c r="G585" s="44"/>
      <c r="H585" s="58"/>
      <c r="I585" s="47"/>
      <c r="J585" s="48"/>
      <c r="K585" s="10">
        <v>1</v>
      </c>
    </row>
    <row r="586" spans="1:11" ht="13" x14ac:dyDescent="0.35">
      <c r="A586" s="11" t="s">
        <v>633</v>
      </c>
      <c r="B586" s="11" t="s">
        <v>94</v>
      </c>
      <c r="C586" s="11"/>
      <c r="D586" s="11"/>
      <c r="E586" s="61" t="s">
        <v>56</v>
      </c>
      <c r="F586" s="57" t="s">
        <v>114</v>
      </c>
      <c r="G586" s="44"/>
      <c r="H586" s="63"/>
      <c r="I586" s="47"/>
      <c r="J586" s="48"/>
      <c r="K586" s="10">
        <v>1</v>
      </c>
    </row>
    <row r="587" spans="1:11" ht="14.5" x14ac:dyDescent="0.35">
      <c r="A587" s="11" t="s">
        <v>633</v>
      </c>
      <c r="B587" s="11" t="s">
        <v>94</v>
      </c>
      <c r="C587" s="11"/>
      <c r="D587" s="11" t="s">
        <v>29</v>
      </c>
      <c r="E587" s="61" t="s">
        <v>115</v>
      </c>
      <c r="F587" s="60" t="s">
        <v>116</v>
      </c>
      <c r="G587" s="44" t="s">
        <v>117</v>
      </c>
      <c r="H587" s="63">
        <v>201</v>
      </c>
      <c r="I587" s="47">
        <v>75</v>
      </c>
      <c r="J587" s="48">
        <f>H587*I587</f>
        <v>15075</v>
      </c>
      <c r="K587" s="10">
        <v>1</v>
      </c>
    </row>
    <row r="588" spans="1:11" ht="13" x14ac:dyDescent="0.35">
      <c r="A588" s="11" t="s">
        <v>633</v>
      </c>
      <c r="B588" s="11" t="s">
        <v>94</v>
      </c>
      <c r="C588" s="11"/>
      <c r="D588" s="11"/>
      <c r="E588" s="61"/>
      <c r="F588" s="57" t="s">
        <v>118</v>
      </c>
      <c r="G588" s="44"/>
      <c r="H588" s="63"/>
      <c r="I588" s="47"/>
      <c r="J588" s="48"/>
      <c r="K588" s="10">
        <v>1</v>
      </c>
    </row>
    <row r="589" spans="1:11" ht="14.5" x14ac:dyDescent="0.35">
      <c r="A589" s="11" t="s">
        <v>633</v>
      </c>
      <c r="B589" s="11" t="s">
        <v>94</v>
      </c>
      <c r="C589" s="11"/>
      <c r="D589" s="11" t="s">
        <v>32</v>
      </c>
      <c r="E589" s="61" t="s">
        <v>119</v>
      </c>
      <c r="F589" s="60" t="s">
        <v>120</v>
      </c>
      <c r="G589" s="44" t="s">
        <v>117</v>
      </c>
      <c r="H589" s="63">
        <f>H587*0.1</f>
        <v>20.100000000000001</v>
      </c>
      <c r="I589" s="47">
        <v>95</v>
      </c>
      <c r="J589" s="48">
        <f>H589*I589</f>
        <v>1909.5000000000002</v>
      </c>
      <c r="K589" s="10">
        <v>1</v>
      </c>
    </row>
    <row r="590" spans="1:11" ht="14.5" x14ac:dyDescent="0.35">
      <c r="A590" s="11" t="s">
        <v>633</v>
      </c>
      <c r="B590" s="11" t="s">
        <v>94</v>
      </c>
      <c r="C590" s="11"/>
      <c r="D590" s="11" t="s">
        <v>36</v>
      </c>
      <c r="E590" s="61" t="s">
        <v>121</v>
      </c>
      <c r="F590" s="60" t="s">
        <v>122</v>
      </c>
      <c r="G590" s="44" t="s">
        <v>117</v>
      </c>
      <c r="H590" s="63">
        <f>H587*0.05</f>
        <v>10.050000000000001</v>
      </c>
      <c r="I590" s="47">
        <v>350</v>
      </c>
      <c r="J590" s="48">
        <f>H590*I590</f>
        <v>3517.5000000000005</v>
      </c>
      <c r="K590" s="10">
        <v>1</v>
      </c>
    </row>
    <row r="591" spans="1:11" ht="13" x14ac:dyDescent="0.35">
      <c r="A591" s="11" t="s">
        <v>633</v>
      </c>
      <c r="B591" s="11" t="s">
        <v>94</v>
      </c>
      <c r="C591" s="11"/>
      <c r="D591" s="11"/>
      <c r="E591" s="11" t="s">
        <v>59</v>
      </c>
      <c r="F591" s="57" t="s">
        <v>123</v>
      </c>
      <c r="G591" s="44"/>
      <c r="H591" s="58"/>
      <c r="I591" s="47"/>
      <c r="J591" s="48"/>
      <c r="K591" s="10">
        <v>1</v>
      </c>
    </row>
    <row r="592" spans="1:11" x14ac:dyDescent="0.35">
      <c r="A592" s="11" t="s">
        <v>633</v>
      </c>
      <c r="B592" s="11" t="s">
        <v>94</v>
      </c>
      <c r="C592" s="11"/>
      <c r="D592" s="11"/>
      <c r="E592" s="11" t="s">
        <v>124</v>
      </c>
      <c r="F592" s="60" t="s">
        <v>125</v>
      </c>
      <c r="G592" s="44"/>
      <c r="H592" s="58"/>
      <c r="I592" s="47"/>
      <c r="J592" s="48"/>
      <c r="K592" s="10">
        <v>1</v>
      </c>
    </row>
    <row r="593" spans="1:11" ht="25" x14ac:dyDescent="0.35">
      <c r="A593" s="11" t="s">
        <v>633</v>
      </c>
      <c r="B593" s="11" t="s">
        <v>94</v>
      </c>
      <c r="C593" s="11"/>
      <c r="D593" s="11" t="s">
        <v>39</v>
      </c>
      <c r="E593" s="11"/>
      <c r="F593" s="60" t="s">
        <v>126</v>
      </c>
      <c r="G593" s="44" t="s">
        <v>117</v>
      </c>
      <c r="H593" s="58">
        <v>129</v>
      </c>
      <c r="I593" s="47">
        <v>300</v>
      </c>
      <c r="J593" s="48">
        <f>I593*H593</f>
        <v>38700</v>
      </c>
      <c r="K593" s="10">
        <v>1</v>
      </c>
    </row>
    <row r="594" spans="1:11" ht="25" x14ac:dyDescent="0.35">
      <c r="A594" s="11" t="s">
        <v>633</v>
      </c>
      <c r="B594" s="11" t="s">
        <v>94</v>
      </c>
      <c r="C594" s="11"/>
      <c r="D594" s="11" t="s">
        <v>42</v>
      </c>
      <c r="E594" s="11"/>
      <c r="F594" s="60" t="s">
        <v>127</v>
      </c>
      <c r="G594" s="44" t="s">
        <v>117</v>
      </c>
      <c r="H594" s="58">
        <v>272</v>
      </c>
      <c r="I594" s="47">
        <v>300</v>
      </c>
      <c r="J594" s="48">
        <f>I594*H594</f>
        <v>81600</v>
      </c>
      <c r="K594" s="10">
        <v>1</v>
      </c>
    </row>
    <row r="595" spans="1:11" x14ac:dyDescent="0.35">
      <c r="A595" s="11" t="s">
        <v>633</v>
      </c>
      <c r="B595" s="11" t="s">
        <v>94</v>
      </c>
      <c r="C595" s="11"/>
      <c r="D595" s="11" t="s">
        <v>45</v>
      </c>
      <c r="E595" s="61" t="s">
        <v>128</v>
      </c>
      <c r="F595" s="60" t="s">
        <v>129</v>
      </c>
      <c r="G595" s="44"/>
      <c r="H595" s="65"/>
      <c r="I595" s="47"/>
      <c r="J595" s="48"/>
      <c r="K595" s="10">
        <v>1</v>
      </c>
    </row>
    <row r="596" spans="1:11" ht="14.5" x14ac:dyDescent="0.35">
      <c r="A596" s="11" t="s">
        <v>633</v>
      </c>
      <c r="B596" s="11" t="s">
        <v>94</v>
      </c>
      <c r="C596" s="11"/>
      <c r="D596" s="11" t="s">
        <v>48</v>
      </c>
      <c r="E596" s="61" t="s">
        <v>130</v>
      </c>
      <c r="F596" s="60" t="s">
        <v>131</v>
      </c>
      <c r="G596" s="44" t="s">
        <v>132</v>
      </c>
      <c r="H596" s="63">
        <f>H587*12</f>
        <v>2412</v>
      </c>
      <c r="I596" s="47">
        <v>8</v>
      </c>
      <c r="J596" s="48">
        <f>I596*H596</f>
        <v>19296</v>
      </c>
      <c r="K596" s="10">
        <v>1</v>
      </c>
    </row>
    <row r="597" spans="1:11" ht="13" x14ac:dyDescent="0.35">
      <c r="A597" s="11" t="s">
        <v>633</v>
      </c>
      <c r="B597" s="11" t="s">
        <v>94</v>
      </c>
      <c r="C597" s="11"/>
      <c r="D597" s="11"/>
      <c r="E597" s="11"/>
      <c r="F597" s="57" t="s">
        <v>133</v>
      </c>
      <c r="G597" s="44"/>
      <c r="H597" s="58"/>
      <c r="I597" s="47"/>
      <c r="J597" s="48"/>
      <c r="K597" s="10">
        <v>1</v>
      </c>
    </row>
    <row r="598" spans="1:11" x14ac:dyDescent="0.35">
      <c r="A598" s="11" t="s">
        <v>633</v>
      </c>
      <c r="B598" s="11" t="s">
        <v>94</v>
      </c>
      <c r="C598" s="11"/>
      <c r="D598" s="11"/>
      <c r="E598" s="11"/>
      <c r="F598" s="60" t="s">
        <v>134</v>
      </c>
      <c r="G598" s="44"/>
      <c r="H598" s="58"/>
      <c r="I598" s="47"/>
      <c r="J598" s="48"/>
      <c r="K598" s="10">
        <v>1</v>
      </c>
    </row>
    <row r="599" spans="1:11" ht="37.5" x14ac:dyDescent="0.35">
      <c r="A599" s="11" t="s">
        <v>633</v>
      </c>
      <c r="B599" s="11" t="s">
        <v>94</v>
      </c>
      <c r="C599" s="11"/>
      <c r="D599" s="11" t="s">
        <v>51</v>
      </c>
      <c r="E599" s="11"/>
      <c r="F599" s="60" t="s">
        <v>135</v>
      </c>
      <c r="G599" s="44" t="s">
        <v>110</v>
      </c>
      <c r="H599" s="58">
        <v>678</v>
      </c>
      <c r="I599" s="47">
        <v>35</v>
      </c>
      <c r="J599" s="48">
        <f>I599*H599</f>
        <v>23730</v>
      </c>
      <c r="K599" s="10">
        <v>1</v>
      </c>
    </row>
    <row r="600" spans="1:11" ht="13" x14ac:dyDescent="0.35">
      <c r="A600" s="11" t="s">
        <v>633</v>
      </c>
      <c r="B600" s="11" t="s">
        <v>136</v>
      </c>
      <c r="C600" s="11"/>
      <c r="D600" s="11"/>
      <c r="E600" s="11"/>
      <c r="F600" s="43" t="s">
        <v>634</v>
      </c>
      <c r="G600" s="44"/>
      <c r="H600" s="45"/>
      <c r="I600" s="47"/>
      <c r="J600" s="48"/>
      <c r="K600" s="10">
        <v>1</v>
      </c>
    </row>
    <row r="601" spans="1:11" ht="13" x14ac:dyDescent="0.35">
      <c r="A601" s="11" t="s">
        <v>633</v>
      </c>
      <c r="B601" s="11" t="s">
        <v>136</v>
      </c>
      <c r="C601" s="11"/>
      <c r="D601" s="11"/>
      <c r="E601" s="11"/>
      <c r="F601" s="43" t="s">
        <v>635</v>
      </c>
      <c r="G601" s="44"/>
      <c r="H601" s="45"/>
      <c r="I601" s="47"/>
      <c r="J601" s="48"/>
      <c r="K601" s="10">
        <v>1</v>
      </c>
    </row>
    <row r="602" spans="1:11" ht="13" x14ac:dyDescent="0.35">
      <c r="A602" s="11" t="s">
        <v>633</v>
      </c>
      <c r="B602" s="11" t="s">
        <v>136</v>
      </c>
      <c r="C602" s="11"/>
      <c r="D602" s="11"/>
      <c r="E602" s="11"/>
      <c r="F602" s="43" t="s">
        <v>137</v>
      </c>
      <c r="G602" s="44"/>
      <c r="H602" s="45"/>
      <c r="I602" s="47"/>
      <c r="J602" s="48"/>
      <c r="K602" s="10">
        <v>1</v>
      </c>
    </row>
    <row r="603" spans="1:11" ht="13" x14ac:dyDescent="0.35">
      <c r="A603" s="11" t="s">
        <v>633</v>
      </c>
      <c r="B603" s="11" t="s">
        <v>136</v>
      </c>
      <c r="C603" s="11"/>
      <c r="D603" s="11"/>
      <c r="E603" s="50" t="s">
        <v>138</v>
      </c>
      <c r="F603" s="43" t="s">
        <v>139</v>
      </c>
      <c r="G603" s="44"/>
      <c r="H603" s="45"/>
      <c r="I603" s="47"/>
      <c r="J603" s="48"/>
      <c r="K603" s="10">
        <v>1</v>
      </c>
    </row>
    <row r="604" spans="1:11" ht="13" x14ac:dyDescent="0.35">
      <c r="A604" s="11" t="s">
        <v>633</v>
      </c>
      <c r="B604" s="11" t="s">
        <v>136</v>
      </c>
      <c r="C604" s="11"/>
      <c r="D604" s="11"/>
      <c r="E604" s="11"/>
      <c r="F604" s="57" t="s">
        <v>100</v>
      </c>
      <c r="G604" s="44"/>
      <c r="H604" s="45"/>
      <c r="I604" s="47"/>
      <c r="J604" s="48"/>
      <c r="K604" s="10">
        <v>1</v>
      </c>
    </row>
    <row r="605" spans="1:11" x14ac:dyDescent="0.35">
      <c r="A605" s="11" t="s">
        <v>633</v>
      </c>
      <c r="B605" s="11" t="s">
        <v>136</v>
      </c>
      <c r="C605" s="11"/>
      <c r="D605" s="11"/>
      <c r="E605" s="11"/>
      <c r="F605" s="60" t="s">
        <v>101</v>
      </c>
      <c r="G605" s="44"/>
      <c r="H605" s="45"/>
      <c r="I605" s="47"/>
      <c r="J605" s="48"/>
      <c r="K605" s="10">
        <v>1</v>
      </c>
    </row>
    <row r="606" spans="1:11" ht="13" x14ac:dyDescent="0.35">
      <c r="A606" s="11" t="s">
        <v>633</v>
      </c>
      <c r="B606" s="11" t="s">
        <v>136</v>
      </c>
      <c r="C606" s="11"/>
      <c r="D606" s="11"/>
      <c r="E606" s="11"/>
      <c r="F606" s="57" t="s">
        <v>102</v>
      </c>
      <c r="G606" s="44"/>
      <c r="H606" s="45"/>
      <c r="I606" s="47"/>
      <c r="J606" s="48"/>
      <c r="K606" s="10">
        <v>1</v>
      </c>
    </row>
    <row r="607" spans="1:11" ht="13" x14ac:dyDescent="0.35">
      <c r="A607" s="11" t="s">
        <v>633</v>
      </c>
      <c r="B607" s="11" t="s">
        <v>136</v>
      </c>
      <c r="C607" s="11"/>
      <c r="D607" s="11"/>
      <c r="E607" s="11"/>
      <c r="F607" s="57" t="s">
        <v>140</v>
      </c>
      <c r="G607" s="44"/>
      <c r="H607" s="45"/>
      <c r="I607" s="47"/>
      <c r="J607" s="48"/>
      <c r="K607" s="10">
        <v>1</v>
      </c>
    </row>
    <row r="608" spans="1:11" ht="87.5" x14ac:dyDescent="0.35">
      <c r="A608" s="11" t="s">
        <v>633</v>
      </c>
      <c r="B608" s="11" t="s">
        <v>136</v>
      </c>
      <c r="C608" s="11"/>
      <c r="D608" s="11"/>
      <c r="E608" s="11"/>
      <c r="F608" s="60" t="s">
        <v>141</v>
      </c>
      <c r="G608" s="44"/>
      <c r="H608" s="45"/>
      <c r="I608" s="47"/>
      <c r="J608" s="48"/>
      <c r="K608" s="10">
        <v>1</v>
      </c>
    </row>
    <row r="609" spans="1:11" ht="13" x14ac:dyDescent="0.35">
      <c r="A609" s="11" t="s">
        <v>633</v>
      </c>
      <c r="B609" s="11" t="s">
        <v>136</v>
      </c>
      <c r="C609" s="11"/>
      <c r="D609" s="11"/>
      <c r="E609" s="11"/>
      <c r="F609" s="57" t="s">
        <v>142</v>
      </c>
      <c r="G609" s="44"/>
      <c r="H609" s="45"/>
      <c r="I609" s="47"/>
      <c r="J609" s="48"/>
      <c r="K609" s="10">
        <v>1</v>
      </c>
    </row>
    <row r="610" spans="1:11" ht="25" x14ac:dyDescent="0.35">
      <c r="A610" s="11" t="s">
        <v>633</v>
      </c>
      <c r="B610" s="11" t="s">
        <v>136</v>
      </c>
      <c r="C610" s="11"/>
      <c r="D610" s="11"/>
      <c r="E610" s="11"/>
      <c r="F610" s="60" t="s">
        <v>143</v>
      </c>
      <c r="G610" s="44"/>
      <c r="H610" s="45"/>
      <c r="I610" s="47"/>
      <c r="J610" s="48"/>
      <c r="K610" s="10">
        <v>1</v>
      </c>
    </row>
    <row r="611" spans="1:11" ht="75" x14ac:dyDescent="0.35">
      <c r="A611" s="11" t="s">
        <v>633</v>
      </c>
      <c r="B611" s="11" t="s">
        <v>136</v>
      </c>
      <c r="C611" s="11"/>
      <c r="D611" s="11"/>
      <c r="E611" s="11"/>
      <c r="F611" s="60" t="s">
        <v>144</v>
      </c>
      <c r="G611" s="44"/>
      <c r="H611" s="45"/>
      <c r="I611" s="47"/>
      <c r="J611" s="48"/>
      <c r="K611" s="10">
        <v>1</v>
      </c>
    </row>
    <row r="612" spans="1:11" x14ac:dyDescent="0.35">
      <c r="A612" s="11" t="s">
        <v>633</v>
      </c>
      <c r="B612" s="11" t="s">
        <v>136</v>
      </c>
      <c r="C612" s="11"/>
      <c r="D612" s="11"/>
      <c r="E612" s="11"/>
      <c r="F612" s="60" t="s">
        <v>145</v>
      </c>
      <c r="G612" s="44"/>
      <c r="H612" s="45"/>
      <c r="I612" s="47"/>
      <c r="J612" s="48"/>
      <c r="K612" s="10">
        <v>1</v>
      </c>
    </row>
    <row r="613" spans="1:11" ht="25" x14ac:dyDescent="0.35">
      <c r="A613" s="11" t="s">
        <v>633</v>
      </c>
      <c r="B613" s="11" t="s">
        <v>136</v>
      </c>
      <c r="C613" s="11"/>
      <c r="D613" s="11"/>
      <c r="E613" s="11"/>
      <c r="F613" s="60" t="s">
        <v>146</v>
      </c>
      <c r="G613" s="44"/>
      <c r="H613" s="45"/>
      <c r="I613" s="47"/>
      <c r="J613" s="48"/>
      <c r="K613" s="10">
        <v>1</v>
      </c>
    </row>
    <row r="614" spans="1:11" ht="13" x14ac:dyDescent="0.35">
      <c r="A614" s="11" t="s">
        <v>633</v>
      </c>
      <c r="B614" s="11" t="s">
        <v>136</v>
      </c>
      <c r="C614" s="11"/>
      <c r="D614" s="11"/>
      <c r="E614" s="11" t="s">
        <v>147</v>
      </c>
      <c r="F614" s="57" t="s">
        <v>148</v>
      </c>
      <c r="G614" s="44"/>
      <c r="H614" s="45"/>
      <c r="I614" s="47"/>
      <c r="J614" s="48"/>
      <c r="K614" s="10">
        <v>1</v>
      </c>
    </row>
    <row r="615" spans="1:11" x14ac:dyDescent="0.35">
      <c r="A615" s="11" t="s">
        <v>633</v>
      </c>
      <c r="B615" s="11" t="s">
        <v>136</v>
      </c>
      <c r="C615" s="11"/>
      <c r="D615" s="11"/>
      <c r="E615" s="11" t="s">
        <v>149</v>
      </c>
      <c r="F615" s="62" t="s">
        <v>150</v>
      </c>
      <c r="G615" s="44"/>
      <c r="H615" s="45"/>
      <c r="I615" s="47"/>
      <c r="J615" s="48"/>
      <c r="K615" s="10">
        <v>1</v>
      </c>
    </row>
    <row r="616" spans="1:11" ht="14.5" x14ac:dyDescent="0.35">
      <c r="A616" s="11" t="s">
        <v>633</v>
      </c>
      <c r="B616" s="11" t="s">
        <v>136</v>
      </c>
      <c r="C616" s="11"/>
      <c r="D616" s="11" t="s">
        <v>20</v>
      </c>
      <c r="E616" s="11"/>
      <c r="F616" s="67" t="s">
        <v>151</v>
      </c>
      <c r="G616" s="44" t="s">
        <v>110</v>
      </c>
      <c r="H616" s="45">
        <v>152</v>
      </c>
      <c r="I616" s="47">
        <v>285</v>
      </c>
      <c r="J616" s="48">
        <f>H616*I616</f>
        <v>43320</v>
      </c>
      <c r="K616" s="10">
        <v>1</v>
      </c>
    </row>
    <row r="617" spans="1:11" ht="13" x14ac:dyDescent="0.35">
      <c r="A617" s="11" t="s">
        <v>633</v>
      </c>
      <c r="B617" s="11" t="s">
        <v>136</v>
      </c>
      <c r="C617" s="11"/>
      <c r="D617" s="11"/>
      <c r="E617" s="11">
        <v>8.3000000000000007</v>
      </c>
      <c r="F617" s="57" t="s">
        <v>152</v>
      </c>
      <c r="G617" s="44"/>
      <c r="H617" s="45"/>
      <c r="I617" s="47"/>
      <c r="J617" s="48"/>
      <c r="K617" s="10">
        <v>1</v>
      </c>
    </row>
    <row r="618" spans="1:11" ht="13" x14ac:dyDescent="0.35">
      <c r="A618" s="11" t="s">
        <v>633</v>
      </c>
      <c r="B618" s="11" t="s">
        <v>136</v>
      </c>
      <c r="C618" s="11"/>
      <c r="D618" s="11"/>
      <c r="E618" s="11" t="s">
        <v>21</v>
      </c>
      <c r="F618" s="57" t="s">
        <v>153</v>
      </c>
      <c r="G618" s="44"/>
      <c r="H618" s="45"/>
      <c r="I618" s="47"/>
      <c r="J618" s="48"/>
      <c r="K618" s="10">
        <v>1</v>
      </c>
    </row>
    <row r="619" spans="1:11" ht="13" x14ac:dyDescent="0.35">
      <c r="A619" s="11" t="s">
        <v>633</v>
      </c>
      <c r="B619" s="11" t="s">
        <v>136</v>
      </c>
      <c r="C619" s="11"/>
      <c r="D619" s="11"/>
      <c r="E619" s="11" t="s">
        <v>21</v>
      </c>
      <c r="F619" s="57" t="s">
        <v>154</v>
      </c>
      <c r="G619" s="44"/>
      <c r="H619" s="45"/>
      <c r="I619" s="47"/>
      <c r="J619" s="48"/>
      <c r="K619" s="10">
        <v>1</v>
      </c>
    </row>
    <row r="620" spans="1:11" x14ac:dyDescent="0.35">
      <c r="A620" s="11" t="s">
        <v>633</v>
      </c>
      <c r="B620" s="11" t="s">
        <v>136</v>
      </c>
      <c r="C620" s="11"/>
      <c r="D620" s="11"/>
      <c r="E620" s="11"/>
      <c r="F620" s="60" t="s">
        <v>155</v>
      </c>
      <c r="G620" s="44"/>
      <c r="H620" s="45"/>
      <c r="I620" s="47"/>
      <c r="J620" s="48"/>
      <c r="K620" s="10">
        <v>1</v>
      </c>
    </row>
    <row r="621" spans="1:11" x14ac:dyDescent="0.35">
      <c r="A621" s="11" t="s">
        <v>633</v>
      </c>
      <c r="B621" s="11" t="s">
        <v>136</v>
      </c>
      <c r="C621" s="11"/>
      <c r="D621" s="11" t="s">
        <v>26</v>
      </c>
      <c r="E621" s="11"/>
      <c r="F621" s="60" t="s">
        <v>156</v>
      </c>
      <c r="G621" s="44" t="s">
        <v>157</v>
      </c>
      <c r="H621" s="68">
        <v>1.0880000000000001</v>
      </c>
      <c r="I621" s="47">
        <v>19500</v>
      </c>
      <c r="J621" s="48">
        <f>H621*I621</f>
        <v>21216</v>
      </c>
      <c r="K621" s="10">
        <v>1</v>
      </c>
    </row>
    <row r="622" spans="1:11" x14ac:dyDescent="0.35">
      <c r="A622" s="11" t="s">
        <v>633</v>
      </c>
      <c r="B622" s="11" t="s">
        <v>136</v>
      </c>
      <c r="C622" s="11"/>
      <c r="D622" s="11"/>
      <c r="E622" s="11"/>
      <c r="F622" s="60" t="s">
        <v>158</v>
      </c>
      <c r="G622" s="44"/>
      <c r="H622" s="45"/>
      <c r="I622" s="47"/>
      <c r="J622" s="48"/>
      <c r="K622" s="10">
        <v>1</v>
      </c>
    </row>
    <row r="623" spans="1:11" x14ac:dyDescent="0.35">
      <c r="A623" s="11" t="s">
        <v>633</v>
      </c>
      <c r="B623" s="11" t="s">
        <v>136</v>
      </c>
      <c r="C623" s="11"/>
      <c r="D623" s="11" t="s">
        <v>29</v>
      </c>
      <c r="E623" s="11"/>
      <c r="F623" s="60" t="s">
        <v>156</v>
      </c>
      <c r="G623" s="44" t="s">
        <v>157</v>
      </c>
      <c r="H623" s="68">
        <v>0.34</v>
      </c>
      <c r="I623" s="47">
        <v>19500</v>
      </c>
      <c r="J623" s="48">
        <f>H623*I623</f>
        <v>6630.0000000000009</v>
      </c>
      <c r="K623" s="10">
        <v>1</v>
      </c>
    </row>
    <row r="624" spans="1:11" ht="13" x14ac:dyDescent="0.35">
      <c r="A624" s="11" t="s">
        <v>633</v>
      </c>
      <c r="B624" s="11" t="s">
        <v>136</v>
      </c>
      <c r="C624" s="11"/>
      <c r="D624" s="11"/>
      <c r="E624" s="11" t="s">
        <v>159</v>
      </c>
      <c r="F624" s="57" t="s">
        <v>160</v>
      </c>
      <c r="G624" s="44"/>
      <c r="H624" s="45"/>
      <c r="I624" s="47"/>
      <c r="J624" s="48"/>
      <c r="K624" s="10">
        <v>1</v>
      </c>
    </row>
    <row r="625" spans="1:11" ht="14.5" x14ac:dyDescent="0.35">
      <c r="A625" s="11" t="s">
        <v>633</v>
      </c>
      <c r="B625" s="11" t="s">
        <v>136</v>
      </c>
      <c r="C625" s="11"/>
      <c r="D625" s="11" t="s">
        <v>32</v>
      </c>
      <c r="E625" s="11"/>
      <c r="F625" s="60" t="s">
        <v>636</v>
      </c>
      <c r="G625" s="44" t="s">
        <v>110</v>
      </c>
      <c r="H625" s="45">
        <v>320</v>
      </c>
      <c r="I625" s="47">
        <v>145</v>
      </c>
      <c r="J625" s="48">
        <f>H625*I625</f>
        <v>46400</v>
      </c>
      <c r="K625" s="10">
        <v>1</v>
      </c>
    </row>
    <row r="626" spans="1:11" ht="14.5" x14ac:dyDescent="0.35">
      <c r="A626" s="11" t="s">
        <v>633</v>
      </c>
      <c r="B626" s="11" t="s">
        <v>136</v>
      </c>
      <c r="C626" s="11"/>
      <c r="D626" s="11" t="s">
        <v>36</v>
      </c>
      <c r="E626" s="11"/>
      <c r="F626" s="60" t="s">
        <v>162</v>
      </c>
      <c r="G626" s="44" t="s">
        <v>110</v>
      </c>
      <c r="H626" s="45">
        <v>11</v>
      </c>
      <c r="I626" s="47">
        <v>145</v>
      </c>
      <c r="J626" s="48">
        <f>H626*I626</f>
        <v>1595</v>
      </c>
      <c r="K626" s="10">
        <v>1</v>
      </c>
    </row>
    <row r="627" spans="1:11" ht="14.5" x14ac:dyDescent="0.35">
      <c r="A627" s="11" t="s">
        <v>633</v>
      </c>
      <c r="B627" s="11" t="s">
        <v>136</v>
      </c>
      <c r="C627" s="11"/>
      <c r="D627" s="11" t="s">
        <v>39</v>
      </c>
      <c r="E627" s="11"/>
      <c r="F627" s="60" t="s">
        <v>163</v>
      </c>
      <c r="G627" s="44" t="s">
        <v>110</v>
      </c>
      <c r="H627" s="45">
        <v>61</v>
      </c>
      <c r="I627" s="47">
        <v>145</v>
      </c>
      <c r="J627" s="48">
        <f>H627*I627</f>
        <v>8845</v>
      </c>
      <c r="K627" s="10">
        <v>1</v>
      </c>
    </row>
    <row r="628" spans="1:11" ht="13" x14ac:dyDescent="0.35">
      <c r="A628" s="11" t="s">
        <v>633</v>
      </c>
      <c r="B628" s="11" t="s">
        <v>136</v>
      </c>
      <c r="C628" s="11"/>
      <c r="D628" s="11"/>
      <c r="E628" s="11" t="s">
        <v>164</v>
      </c>
      <c r="F628" s="57" t="s">
        <v>165</v>
      </c>
      <c r="G628" s="44"/>
      <c r="H628" s="45"/>
      <c r="I628" s="47"/>
      <c r="J628" s="48"/>
      <c r="K628" s="10">
        <v>1</v>
      </c>
    </row>
    <row r="629" spans="1:11" ht="13" x14ac:dyDescent="0.35">
      <c r="A629" s="11" t="s">
        <v>633</v>
      </c>
      <c r="B629" s="11" t="s">
        <v>136</v>
      </c>
      <c r="C629" s="11"/>
      <c r="D629" s="11"/>
      <c r="E629" s="11" t="s">
        <v>65</v>
      </c>
      <c r="F629" s="57" t="s">
        <v>166</v>
      </c>
      <c r="G629" s="44"/>
      <c r="H629" s="58"/>
      <c r="I629" s="70"/>
      <c r="J629" s="48"/>
      <c r="K629" s="10">
        <v>1</v>
      </c>
    </row>
    <row r="630" spans="1:11" ht="14.5" x14ac:dyDescent="0.35">
      <c r="A630" s="11" t="s">
        <v>633</v>
      </c>
      <c r="B630" s="11" t="s">
        <v>136</v>
      </c>
      <c r="C630" s="11"/>
      <c r="D630" s="11" t="s">
        <v>42</v>
      </c>
      <c r="E630" s="11"/>
      <c r="F630" s="60" t="s">
        <v>167</v>
      </c>
      <c r="G630" s="44" t="s">
        <v>117</v>
      </c>
      <c r="H630" s="58">
        <v>8</v>
      </c>
      <c r="I630" s="47">
        <v>2000</v>
      </c>
      <c r="J630" s="48">
        <f>H630*I630</f>
        <v>16000</v>
      </c>
      <c r="K630" s="10">
        <v>1</v>
      </c>
    </row>
    <row r="631" spans="1:11" ht="13" x14ac:dyDescent="0.35">
      <c r="A631" s="11" t="s">
        <v>633</v>
      </c>
      <c r="B631" s="11" t="s">
        <v>136</v>
      </c>
      <c r="C631" s="11"/>
      <c r="D631" s="11"/>
      <c r="E631" s="11"/>
      <c r="F631" s="57" t="s">
        <v>168</v>
      </c>
      <c r="G631" s="44"/>
      <c r="H631" s="45"/>
      <c r="I631" s="47"/>
      <c r="J631" s="48"/>
      <c r="K631" s="10">
        <v>1</v>
      </c>
    </row>
    <row r="632" spans="1:11" ht="14.5" x14ac:dyDescent="0.35">
      <c r="A632" s="11" t="s">
        <v>633</v>
      </c>
      <c r="B632" s="11" t="s">
        <v>136</v>
      </c>
      <c r="C632" s="11"/>
      <c r="D632" s="11" t="s">
        <v>45</v>
      </c>
      <c r="E632" s="11"/>
      <c r="F632" s="60" t="s">
        <v>637</v>
      </c>
      <c r="G632" s="44" t="s">
        <v>117</v>
      </c>
      <c r="H632" s="45">
        <v>3</v>
      </c>
      <c r="I632" s="47">
        <v>2200</v>
      </c>
      <c r="J632" s="48">
        <f>H632*I632</f>
        <v>6600</v>
      </c>
      <c r="K632" s="10">
        <v>1</v>
      </c>
    </row>
    <row r="633" spans="1:11" ht="14.5" x14ac:dyDescent="0.35">
      <c r="A633" s="11" t="s">
        <v>633</v>
      </c>
      <c r="B633" s="11" t="s">
        <v>136</v>
      </c>
      <c r="C633" s="11"/>
      <c r="D633" s="11" t="s">
        <v>48</v>
      </c>
      <c r="E633" s="11"/>
      <c r="F633" s="60" t="s">
        <v>169</v>
      </c>
      <c r="G633" s="44" t="s">
        <v>117</v>
      </c>
      <c r="H633" s="45">
        <v>29</v>
      </c>
      <c r="I633" s="47">
        <v>2200</v>
      </c>
      <c r="J633" s="48">
        <f>H633*I633</f>
        <v>63800</v>
      </c>
      <c r="K633" s="10">
        <v>1</v>
      </c>
    </row>
    <row r="634" spans="1:11" ht="14.5" x14ac:dyDescent="0.35">
      <c r="A634" s="11" t="s">
        <v>633</v>
      </c>
      <c r="B634" s="11" t="s">
        <v>136</v>
      </c>
      <c r="C634" s="11"/>
      <c r="D634" s="11" t="s">
        <v>51</v>
      </c>
      <c r="E634" s="11"/>
      <c r="F634" s="60" t="s">
        <v>638</v>
      </c>
      <c r="G634" s="44" t="s">
        <v>117</v>
      </c>
      <c r="H634" s="45">
        <v>2</v>
      </c>
      <c r="I634" s="47">
        <v>2200</v>
      </c>
      <c r="J634" s="48">
        <f>H634*I634</f>
        <v>4400</v>
      </c>
      <c r="K634" s="10">
        <v>1</v>
      </c>
    </row>
    <row r="635" spans="1:11" ht="14.5" x14ac:dyDescent="0.35">
      <c r="A635" s="11" t="s">
        <v>633</v>
      </c>
      <c r="B635" s="11" t="s">
        <v>136</v>
      </c>
      <c r="C635" s="11"/>
      <c r="D635" s="11" t="s">
        <v>53</v>
      </c>
      <c r="E635" s="11"/>
      <c r="F635" s="60" t="s">
        <v>171</v>
      </c>
      <c r="G635" s="44" t="s">
        <v>117</v>
      </c>
      <c r="H635" s="45">
        <v>35</v>
      </c>
      <c r="I635" s="47">
        <v>2200</v>
      </c>
      <c r="J635" s="48">
        <f>H635*I635</f>
        <v>77000</v>
      </c>
      <c r="K635" s="10">
        <v>1</v>
      </c>
    </row>
    <row r="636" spans="1:11" ht="14.5" x14ac:dyDescent="0.35">
      <c r="A636" s="11" t="s">
        <v>633</v>
      </c>
      <c r="B636" s="11" t="s">
        <v>136</v>
      </c>
      <c r="C636" s="11"/>
      <c r="D636" s="11" t="s">
        <v>55</v>
      </c>
      <c r="E636" s="11"/>
      <c r="F636" s="60" t="s">
        <v>172</v>
      </c>
      <c r="G636" s="44" t="s">
        <v>117</v>
      </c>
      <c r="H636" s="45">
        <v>12</v>
      </c>
      <c r="I636" s="47">
        <v>2200</v>
      </c>
      <c r="J636" s="48">
        <f>H636*I636</f>
        <v>26400</v>
      </c>
      <c r="K636" s="10">
        <v>1</v>
      </c>
    </row>
    <row r="637" spans="1:11" ht="13" x14ac:dyDescent="0.35">
      <c r="A637" s="11" t="s">
        <v>633</v>
      </c>
      <c r="B637" s="11" t="s">
        <v>136</v>
      </c>
      <c r="C637" s="11"/>
      <c r="D637" s="11"/>
      <c r="E637" s="11"/>
      <c r="F637" s="57" t="s">
        <v>173</v>
      </c>
      <c r="G637" s="44"/>
      <c r="H637" s="45"/>
      <c r="I637" s="47"/>
      <c r="J637" s="48"/>
      <c r="K637" s="10">
        <v>1</v>
      </c>
    </row>
    <row r="638" spans="1:11" ht="25" x14ac:dyDescent="0.35">
      <c r="A638" s="11" t="s">
        <v>633</v>
      </c>
      <c r="B638" s="11" t="s">
        <v>136</v>
      </c>
      <c r="C638" s="11"/>
      <c r="D638" s="11" t="s">
        <v>58</v>
      </c>
      <c r="E638" s="11"/>
      <c r="F638" s="60" t="s">
        <v>174</v>
      </c>
      <c r="G638" s="44" t="s">
        <v>175</v>
      </c>
      <c r="H638" s="45">
        <v>40</v>
      </c>
      <c r="I638" s="47">
        <v>650</v>
      </c>
      <c r="J638" s="48">
        <f>H638*I638</f>
        <v>26000</v>
      </c>
      <c r="K638" s="10">
        <v>1</v>
      </c>
    </row>
    <row r="639" spans="1:11" ht="13" x14ac:dyDescent="0.35">
      <c r="A639" s="11" t="s">
        <v>633</v>
      </c>
      <c r="B639" s="11" t="s">
        <v>136</v>
      </c>
      <c r="C639" s="11"/>
      <c r="D639" s="11"/>
      <c r="E639" s="11" t="s">
        <v>82</v>
      </c>
      <c r="F639" s="57" t="s">
        <v>176</v>
      </c>
      <c r="G639" s="44"/>
      <c r="H639" s="58"/>
      <c r="I639" s="70"/>
      <c r="J639" s="48"/>
      <c r="K639" s="10">
        <v>1</v>
      </c>
    </row>
    <row r="640" spans="1:11" ht="13" x14ac:dyDescent="0.35">
      <c r="A640" s="11" t="s">
        <v>633</v>
      </c>
      <c r="B640" s="11" t="s">
        <v>136</v>
      </c>
      <c r="C640" s="11"/>
      <c r="D640" s="11"/>
      <c r="E640" s="11" t="s">
        <v>177</v>
      </c>
      <c r="F640" s="57" t="s">
        <v>178</v>
      </c>
      <c r="G640" s="44"/>
      <c r="H640" s="58"/>
      <c r="I640" s="70"/>
      <c r="J640" s="48"/>
      <c r="K640" s="10">
        <v>1</v>
      </c>
    </row>
    <row r="641" spans="1:11" ht="14.5" x14ac:dyDescent="0.35">
      <c r="A641" s="11" t="s">
        <v>633</v>
      </c>
      <c r="B641" s="11" t="s">
        <v>136</v>
      </c>
      <c r="C641" s="11"/>
      <c r="D641" s="11" t="s">
        <v>87</v>
      </c>
      <c r="E641" s="11"/>
      <c r="F641" s="60" t="s">
        <v>179</v>
      </c>
      <c r="G641" s="44" t="s">
        <v>110</v>
      </c>
      <c r="H641" s="58">
        <v>290</v>
      </c>
      <c r="I641" s="47">
        <v>15</v>
      </c>
      <c r="J641" s="48">
        <f>H641*I641</f>
        <v>4350</v>
      </c>
      <c r="K641" s="10">
        <v>1</v>
      </c>
    </row>
    <row r="642" spans="1:11" ht="14.5" x14ac:dyDescent="0.35">
      <c r="A642" s="11" t="s">
        <v>633</v>
      </c>
      <c r="B642" s="11" t="s">
        <v>136</v>
      </c>
      <c r="C642" s="11"/>
      <c r="D642" s="11" t="s">
        <v>90</v>
      </c>
      <c r="E642" s="11"/>
      <c r="F642" s="60" t="s">
        <v>181</v>
      </c>
      <c r="G642" s="44" t="s">
        <v>110</v>
      </c>
      <c r="H642" s="58">
        <v>10</v>
      </c>
      <c r="I642" s="47">
        <v>15</v>
      </c>
      <c r="J642" s="48">
        <f>H642*I642</f>
        <v>150</v>
      </c>
      <c r="K642" s="10">
        <v>1</v>
      </c>
    </row>
    <row r="643" spans="1:11" ht="14.5" x14ac:dyDescent="0.35">
      <c r="A643" s="11" t="s">
        <v>633</v>
      </c>
      <c r="B643" s="11" t="s">
        <v>136</v>
      </c>
      <c r="C643" s="11"/>
      <c r="D643" s="11" t="s">
        <v>187</v>
      </c>
      <c r="E643" s="11"/>
      <c r="F643" s="60" t="s">
        <v>182</v>
      </c>
      <c r="G643" s="44" t="s">
        <v>110</v>
      </c>
      <c r="H643" s="58">
        <v>78</v>
      </c>
      <c r="I643" s="47">
        <v>15</v>
      </c>
      <c r="J643" s="48">
        <f>H643*I643</f>
        <v>1170</v>
      </c>
      <c r="K643" s="10">
        <v>1</v>
      </c>
    </row>
    <row r="644" spans="1:11" ht="13" x14ac:dyDescent="0.35">
      <c r="A644" s="11" t="s">
        <v>633</v>
      </c>
      <c r="B644" s="11" t="s">
        <v>136</v>
      </c>
      <c r="C644" s="11"/>
      <c r="D644" s="11"/>
      <c r="E644" s="11" t="s">
        <v>183</v>
      </c>
      <c r="F644" s="57" t="s">
        <v>184</v>
      </c>
      <c r="G644" s="44"/>
      <c r="H644" s="58"/>
      <c r="I644" s="47"/>
      <c r="J644" s="48"/>
      <c r="K644" s="10">
        <v>1</v>
      </c>
    </row>
    <row r="645" spans="1:11" ht="37.5" x14ac:dyDescent="0.35">
      <c r="A645" s="11" t="s">
        <v>633</v>
      </c>
      <c r="B645" s="11" t="s">
        <v>136</v>
      </c>
      <c r="C645" s="11"/>
      <c r="D645" s="11" t="s">
        <v>484</v>
      </c>
      <c r="E645" s="11"/>
      <c r="F645" s="60" t="s">
        <v>185</v>
      </c>
      <c r="G645" s="44" t="s">
        <v>186</v>
      </c>
      <c r="H645" s="58">
        <v>58</v>
      </c>
      <c r="I645" s="47">
        <v>95</v>
      </c>
      <c r="J645" s="48">
        <f>H645*I645</f>
        <v>5510</v>
      </c>
      <c r="K645" s="10">
        <v>1</v>
      </c>
    </row>
    <row r="646" spans="1:11" ht="25" x14ac:dyDescent="0.35">
      <c r="A646" s="11" t="s">
        <v>633</v>
      </c>
      <c r="B646" s="11" t="s">
        <v>136</v>
      </c>
      <c r="C646" s="11"/>
      <c r="D646" s="11" t="s">
        <v>487</v>
      </c>
      <c r="E646" s="11"/>
      <c r="F646" s="60" t="s">
        <v>188</v>
      </c>
      <c r="G646" s="44" t="s">
        <v>186</v>
      </c>
      <c r="H646" s="58">
        <v>58</v>
      </c>
      <c r="I646" s="47">
        <v>95</v>
      </c>
      <c r="J646" s="48">
        <f>H646*I646</f>
        <v>5510</v>
      </c>
      <c r="K646" s="10">
        <v>1</v>
      </c>
    </row>
    <row r="647" spans="1:11" ht="13" x14ac:dyDescent="0.35">
      <c r="A647" s="11" t="s">
        <v>633</v>
      </c>
      <c r="B647" s="11" t="s">
        <v>189</v>
      </c>
      <c r="C647" s="11"/>
      <c r="D647" s="11"/>
      <c r="E647" s="11"/>
      <c r="F647" s="43" t="s">
        <v>634</v>
      </c>
      <c r="G647" s="44"/>
      <c r="H647" s="45"/>
      <c r="I647" s="47"/>
      <c r="J647" s="48"/>
      <c r="K647" s="10">
        <v>1</v>
      </c>
    </row>
    <row r="648" spans="1:11" ht="13" x14ac:dyDescent="0.35">
      <c r="A648" s="11" t="s">
        <v>633</v>
      </c>
      <c r="B648" s="11" t="s">
        <v>189</v>
      </c>
      <c r="C648" s="11"/>
      <c r="D648" s="11"/>
      <c r="E648" s="11"/>
      <c r="F648" s="43" t="s">
        <v>635</v>
      </c>
      <c r="G648" s="44"/>
      <c r="H648" s="45"/>
      <c r="I648" s="47"/>
      <c r="J648" s="48"/>
      <c r="K648" s="10">
        <v>1</v>
      </c>
    </row>
    <row r="649" spans="1:11" ht="13" x14ac:dyDescent="0.35">
      <c r="A649" s="11" t="s">
        <v>633</v>
      </c>
      <c r="B649" s="11" t="s">
        <v>189</v>
      </c>
      <c r="C649" s="11"/>
      <c r="D649" s="11"/>
      <c r="E649" s="11"/>
      <c r="F649" s="43" t="s">
        <v>190</v>
      </c>
      <c r="G649" s="44"/>
      <c r="H649" s="45"/>
      <c r="I649" s="47"/>
      <c r="J649" s="48"/>
      <c r="K649" s="10">
        <v>1</v>
      </c>
    </row>
    <row r="650" spans="1:11" ht="13" x14ac:dyDescent="0.35">
      <c r="A650" s="11" t="s">
        <v>633</v>
      </c>
      <c r="B650" s="11" t="s">
        <v>189</v>
      </c>
      <c r="C650" s="11"/>
      <c r="D650" s="11"/>
      <c r="E650" s="11"/>
      <c r="F650" s="43" t="s">
        <v>191</v>
      </c>
      <c r="G650" s="44"/>
      <c r="H650" s="45"/>
      <c r="I650" s="47"/>
      <c r="J650" s="48"/>
      <c r="K650" s="10">
        <v>1</v>
      </c>
    </row>
    <row r="651" spans="1:11" ht="13" x14ac:dyDescent="0.35">
      <c r="A651" s="11" t="s">
        <v>633</v>
      </c>
      <c r="B651" s="11" t="s">
        <v>189</v>
      </c>
      <c r="C651" s="11"/>
      <c r="D651" s="11"/>
      <c r="E651" s="11"/>
      <c r="F651" s="57" t="s">
        <v>100</v>
      </c>
      <c r="G651" s="44"/>
      <c r="H651" s="45"/>
      <c r="I651" s="47"/>
      <c r="J651" s="48"/>
      <c r="K651" s="10">
        <v>1</v>
      </c>
    </row>
    <row r="652" spans="1:11" x14ac:dyDescent="0.35">
      <c r="A652" s="11" t="s">
        <v>633</v>
      </c>
      <c r="B652" s="11" t="s">
        <v>189</v>
      </c>
      <c r="C652" s="11"/>
      <c r="D652" s="11"/>
      <c r="E652" s="11"/>
      <c r="F652" s="60" t="s">
        <v>101</v>
      </c>
      <c r="G652" s="44"/>
      <c r="H652" s="45"/>
      <c r="I652" s="47"/>
      <c r="J652" s="48"/>
      <c r="K652" s="10">
        <v>1</v>
      </c>
    </row>
    <row r="653" spans="1:11" ht="13" x14ac:dyDescent="0.35">
      <c r="A653" s="11" t="s">
        <v>633</v>
      </c>
      <c r="B653" s="11" t="s">
        <v>189</v>
      </c>
      <c r="C653" s="11"/>
      <c r="D653" s="11"/>
      <c r="E653" s="11"/>
      <c r="F653" s="57" t="s">
        <v>102</v>
      </c>
      <c r="G653" s="44"/>
      <c r="H653" s="45"/>
      <c r="I653" s="47"/>
      <c r="J653" s="48"/>
      <c r="K653" s="10">
        <v>1</v>
      </c>
    </row>
    <row r="654" spans="1:11" ht="25" x14ac:dyDescent="0.35">
      <c r="A654" s="11" t="s">
        <v>633</v>
      </c>
      <c r="B654" s="11" t="s">
        <v>189</v>
      </c>
      <c r="C654" s="11"/>
      <c r="D654" s="11"/>
      <c r="E654" s="11"/>
      <c r="F654" s="60" t="s">
        <v>192</v>
      </c>
      <c r="G654" s="44"/>
      <c r="H654" s="45"/>
      <c r="I654" s="47"/>
      <c r="J654" s="48"/>
      <c r="K654" s="10">
        <v>1</v>
      </c>
    </row>
    <row r="655" spans="1:11" x14ac:dyDescent="0.35">
      <c r="A655" s="11" t="s">
        <v>633</v>
      </c>
      <c r="B655" s="11" t="s">
        <v>189</v>
      </c>
      <c r="C655" s="11"/>
      <c r="D655" s="11"/>
      <c r="E655" s="11"/>
      <c r="F655" s="62" t="s">
        <v>193</v>
      </c>
      <c r="G655" s="44"/>
      <c r="H655" s="58"/>
      <c r="I655" s="47"/>
      <c r="J655" s="48"/>
      <c r="K655" s="10">
        <v>1</v>
      </c>
    </row>
    <row r="656" spans="1:11" x14ac:dyDescent="0.35">
      <c r="A656" s="11" t="s">
        <v>633</v>
      </c>
      <c r="B656" s="11" t="s">
        <v>189</v>
      </c>
      <c r="C656" s="11"/>
      <c r="D656" s="11"/>
      <c r="E656" s="11"/>
      <c r="F656" s="60" t="s">
        <v>194</v>
      </c>
      <c r="G656" s="44"/>
      <c r="H656" s="58"/>
      <c r="I656" s="47"/>
      <c r="J656" s="48"/>
      <c r="K656" s="10">
        <v>1</v>
      </c>
    </row>
    <row r="657" spans="1:11" x14ac:dyDescent="0.35">
      <c r="A657" s="11" t="s">
        <v>633</v>
      </c>
      <c r="B657" s="11" t="s">
        <v>189</v>
      </c>
      <c r="C657" s="11"/>
      <c r="D657" s="11"/>
      <c r="E657" s="11"/>
      <c r="F657" s="62" t="s">
        <v>195</v>
      </c>
      <c r="G657" s="44"/>
      <c r="H657" s="58"/>
      <c r="I657" s="47"/>
      <c r="J657" s="48"/>
      <c r="K657" s="10">
        <v>1</v>
      </c>
    </row>
    <row r="658" spans="1:11" ht="37.5" x14ac:dyDescent="0.35">
      <c r="A658" s="11" t="s">
        <v>633</v>
      </c>
      <c r="B658" s="11" t="s">
        <v>189</v>
      </c>
      <c r="C658" s="11"/>
      <c r="D658" s="11"/>
      <c r="E658" s="11"/>
      <c r="F658" s="60" t="s">
        <v>196</v>
      </c>
      <c r="G658" s="44"/>
      <c r="H658" s="58"/>
      <c r="I658" s="47"/>
      <c r="J658" s="48"/>
      <c r="K658" s="10">
        <v>1</v>
      </c>
    </row>
    <row r="659" spans="1:11" x14ac:dyDescent="0.35">
      <c r="A659" s="11" t="s">
        <v>633</v>
      </c>
      <c r="B659" s="11" t="s">
        <v>189</v>
      </c>
      <c r="C659" s="11"/>
      <c r="D659" s="11"/>
      <c r="E659" s="11"/>
      <c r="F659" s="62" t="s">
        <v>197</v>
      </c>
      <c r="G659" s="44"/>
      <c r="H659" s="45"/>
      <c r="I659" s="47"/>
      <c r="J659" s="48"/>
      <c r="K659" s="10">
        <v>1</v>
      </c>
    </row>
    <row r="660" spans="1:11" ht="37.5" x14ac:dyDescent="0.35">
      <c r="A660" s="11" t="s">
        <v>633</v>
      </c>
      <c r="B660" s="11" t="s">
        <v>189</v>
      </c>
      <c r="C660" s="11"/>
      <c r="D660" s="11"/>
      <c r="E660" s="11"/>
      <c r="F660" s="60" t="s">
        <v>198</v>
      </c>
      <c r="G660" s="44"/>
      <c r="H660" s="45"/>
      <c r="I660" s="47"/>
      <c r="J660" s="48"/>
      <c r="K660" s="10">
        <v>1</v>
      </c>
    </row>
    <row r="661" spans="1:11" ht="13" x14ac:dyDescent="0.35">
      <c r="A661" s="11" t="s">
        <v>633</v>
      </c>
      <c r="B661" s="11" t="s">
        <v>189</v>
      </c>
      <c r="C661" s="11"/>
      <c r="D661" s="11"/>
      <c r="E661" s="11"/>
      <c r="F661" s="57" t="s">
        <v>199</v>
      </c>
      <c r="G661" s="44"/>
      <c r="H661" s="45"/>
      <c r="I661" s="47"/>
      <c r="J661" s="48"/>
      <c r="K661" s="10">
        <v>1</v>
      </c>
    </row>
    <row r="662" spans="1:11" ht="13" x14ac:dyDescent="0.35">
      <c r="A662" s="11" t="s">
        <v>633</v>
      </c>
      <c r="B662" s="11" t="s">
        <v>189</v>
      </c>
      <c r="C662" s="11"/>
      <c r="D662" s="11"/>
      <c r="E662" s="11"/>
      <c r="F662" s="57" t="s">
        <v>200</v>
      </c>
      <c r="G662" s="44"/>
      <c r="H662" s="45"/>
      <c r="I662" s="47"/>
      <c r="J662" s="48"/>
      <c r="K662" s="10">
        <v>1</v>
      </c>
    </row>
    <row r="663" spans="1:11" ht="13" x14ac:dyDescent="0.35">
      <c r="A663" s="11" t="s">
        <v>633</v>
      </c>
      <c r="B663" s="11" t="s">
        <v>189</v>
      </c>
      <c r="C663" s="11"/>
      <c r="D663" s="11"/>
      <c r="E663" s="11"/>
      <c r="F663" s="57" t="s">
        <v>201</v>
      </c>
      <c r="G663" s="44"/>
      <c r="H663" s="45"/>
      <c r="I663" s="47"/>
      <c r="J663" s="48"/>
      <c r="K663" s="10">
        <v>1</v>
      </c>
    </row>
    <row r="664" spans="1:11" ht="14.5" x14ac:dyDescent="0.35">
      <c r="A664" s="11" t="s">
        <v>633</v>
      </c>
      <c r="B664" s="11" t="s">
        <v>189</v>
      </c>
      <c r="C664" s="11"/>
      <c r="D664" s="11" t="s">
        <v>20</v>
      </c>
      <c r="E664" s="11"/>
      <c r="F664" s="60" t="s">
        <v>202</v>
      </c>
      <c r="G664" s="44" t="s">
        <v>117</v>
      </c>
      <c r="H664" s="45">
        <v>1</v>
      </c>
      <c r="I664" s="47">
        <v>295</v>
      </c>
      <c r="J664" s="48">
        <f>H664*I664</f>
        <v>295</v>
      </c>
      <c r="K664" s="10">
        <v>1</v>
      </c>
    </row>
    <row r="665" spans="1:11" ht="14.5" x14ac:dyDescent="0.35">
      <c r="A665" s="11" t="s">
        <v>633</v>
      </c>
      <c r="B665" s="11" t="s">
        <v>189</v>
      </c>
      <c r="C665" s="11"/>
      <c r="D665" s="11" t="s">
        <v>26</v>
      </c>
      <c r="E665" s="11"/>
      <c r="F665" s="60" t="s">
        <v>203</v>
      </c>
      <c r="G665" s="44" t="s">
        <v>110</v>
      </c>
      <c r="H665" s="45">
        <v>39</v>
      </c>
      <c r="I665" s="47">
        <v>295</v>
      </c>
      <c r="J665" s="48">
        <f>H665*I665</f>
        <v>11505</v>
      </c>
      <c r="K665" s="10">
        <v>1</v>
      </c>
    </row>
    <row r="666" spans="1:11" ht="14.5" x14ac:dyDescent="0.35">
      <c r="A666" s="11" t="s">
        <v>633</v>
      </c>
      <c r="B666" s="11" t="s">
        <v>189</v>
      </c>
      <c r="C666" s="11"/>
      <c r="D666" s="11" t="s">
        <v>29</v>
      </c>
      <c r="E666" s="11"/>
      <c r="F666" s="60" t="s">
        <v>204</v>
      </c>
      <c r="G666" s="44" t="s">
        <v>110</v>
      </c>
      <c r="H666" s="45">
        <v>14</v>
      </c>
      <c r="I666" s="47">
        <v>245</v>
      </c>
      <c r="J666" s="48">
        <f>H666*I666</f>
        <v>3430</v>
      </c>
      <c r="K666" s="10">
        <v>1</v>
      </c>
    </row>
    <row r="667" spans="1:11" ht="25" x14ac:dyDescent="0.35">
      <c r="A667" s="11" t="s">
        <v>633</v>
      </c>
      <c r="B667" s="11" t="s">
        <v>189</v>
      </c>
      <c r="C667" s="11"/>
      <c r="D667" s="11" t="s">
        <v>32</v>
      </c>
      <c r="E667" s="11"/>
      <c r="F667" s="60" t="s">
        <v>639</v>
      </c>
      <c r="G667" s="44" t="s">
        <v>110</v>
      </c>
      <c r="H667" s="45">
        <v>11</v>
      </c>
      <c r="I667" s="47">
        <v>450</v>
      </c>
      <c r="J667" s="48">
        <f>H667*I667</f>
        <v>4950</v>
      </c>
      <c r="K667" s="10">
        <v>1</v>
      </c>
    </row>
    <row r="668" spans="1:11" ht="13" x14ac:dyDescent="0.35">
      <c r="A668" s="11" t="s">
        <v>633</v>
      </c>
      <c r="B668" s="11" t="s">
        <v>189</v>
      </c>
      <c r="C668" s="11"/>
      <c r="D668" s="11"/>
      <c r="E668" s="11"/>
      <c r="F668" s="57" t="s">
        <v>205</v>
      </c>
      <c r="G668" s="44"/>
      <c r="H668" s="45"/>
      <c r="I668" s="47"/>
      <c r="J668" s="48"/>
      <c r="K668" s="10">
        <v>1</v>
      </c>
    </row>
    <row r="669" spans="1:11" ht="13" x14ac:dyDescent="0.35">
      <c r="A669" s="11" t="s">
        <v>633</v>
      </c>
      <c r="B669" s="11" t="s">
        <v>189</v>
      </c>
      <c r="C669" s="11"/>
      <c r="D669" s="11"/>
      <c r="E669" s="11"/>
      <c r="F669" s="57" t="s">
        <v>201</v>
      </c>
      <c r="G669" s="44"/>
      <c r="H669" s="45"/>
      <c r="I669" s="47"/>
      <c r="J669" s="48"/>
      <c r="K669" s="10">
        <v>1</v>
      </c>
    </row>
    <row r="670" spans="1:11" ht="14.5" x14ac:dyDescent="0.35">
      <c r="A670" s="11" t="s">
        <v>633</v>
      </c>
      <c r="B670" s="11" t="s">
        <v>189</v>
      </c>
      <c r="C670" s="11"/>
      <c r="D670" s="11" t="s">
        <v>36</v>
      </c>
      <c r="E670" s="11"/>
      <c r="F670" s="60" t="s">
        <v>202</v>
      </c>
      <c r="G670" s="44" t="s">
        <v>117</v>
      </c>
      <c r="H670" s="45">
        <v>5</v>
      </c>
      <c r="I670" s="47">
        <v>295</v>
      </c>
      <c r="J670" s="48">
        <f>H670*I670</f>
        <v>1475</v>
      </c>
      <c r="K670" s="10">
        <v>1</v>
      </c>
    </row>
    <row r="671" spans="1:11" ht="14.5" x14ac:dyDescent="0.35">
      <c r="A671" s="11" t="s">
        <v>633</v>
      </c>
      <c r="B671" s="11" t="s">
        <v>189</v>
      </c>
      <c r="C671" s="11"/>
      <c r="D671" s="11" t="s">
        <v>39</v>
      </c>
      <c r="E671" s="11"/>
      <c r="F671" s="60" t="s">
        <v>203</v>
      </c>
      <c r="G671" s="44" t="s">
        <v>110</v>
      </c>
      <c r="H671" s="45">
        <v>339</v>
      </c>
      <c r="I671" s="47">
        <v>285</v>
      </c>
      <c r="J671" s="48">
        <f>H671*I671</f>
        <v>96615</v>
      </c>
      <c r="K671" s="10">
        <v>1</v>
      </c>
    </row>
    <row r="672" spans="1:11" ht="14.5" x14ac:dyDescent="0.35">
      <c r="A672" s="11" t="s">
        <v>633</v>
      </c>
      <c r="B672" s="11" t="s">
        <v>189</v>
      </c>
      <c r="C672" s="11"/>
      <c r="D672" s="11" t="s">
        <v>42</v>
      </c>
      <c r="E672" s="11"/>
      <c r="F672" s="60" t="s">
        <v>206</v>
      </c>
      <c r="G672" s="44" t="s">
        <v>110</v>
      </c>
      <c r="H672" s="45">
        <v>29</v>
      </c>
      <c r="I672" s="47">
        <v>285</v>
      </c>
      <c r="J672" s="48">
        <f>H672*I672</f>
        <v>8265</v>
      </c>
      <c r="K672" s="10">
        <v>1</v>
      </c>
    </row>
    <row r="673" spans="1:11" ht="14.5" x14ac:dyDescent="0.35">
      <c r="A673" s="11" t="s">
        <v>633</v>
      </c>
      <c r="B673" s="11" t="s">
        <v>189</v>
      </c>
      <c r="C673" s="11"/>
      <c r="D673" s="11" t="s">
        <v>45</v>
      </c>
      <c r="E673" s="11"/>
      <c r="F673" s="60" t="s">
        <v>204</v>
      </c>
      <c r="G673" s="44" t="s">
        <v>110</v>
      </c>
      <c r="H673" s="45">
        <v>153</v>
      </c>
      <c r="I673" s="47">
        <v>245</v>
      </c>
      <c r="J673" s="48">
        <f>H673*I673</f>
        <v>37485</v>
      </c>
      <c r="K673" s="10">
        <v>1</v>
      </c>
    </row>
    <row r="674" spans="1:11" ht="25" x14ac:dyDescent="0.35">
      <c r="A674" s="11" t="s">
        <v>633</v>
      </c>
      <c r="B674" s="11" t="s">
        <v>189</v>
      </c>
      <c r="C674" s="11"/>
      <c r="D674" s="11" t="s">
        <v>48</v>
      </c>
      <c r="E674" s="11"/>
      <c r="F674" s="60" t="s">
        <v>639</v>
      </c>
      <c r="G674" s="44" t="s">
        <v>110</v>
      </c>
      <c r="H674" s="45">
        <v>40</v>
      </c>
      <c r="I674" s="47">
        <v>450</v>
      </c>
      <c r="J674" s="48">
        <f>H674*I674</f>
        <v>18000</v>
      </c>
      <c r="K674" s="10">
        <v>1</v>
      </c>
    </row>
    <row r="675" spans="1:11" ht="26" x14ac:dyDescent="0.35">
      <c r="A675" s="11" t="s">
        <v>633</v>
      </c>
      <c r="B675" s="11" t="s">
        <v>189</v>
      </c>
      <c r="C675" s="11"/>
      <c r="D675" s="11"/>
      <c r="E675" s="11"/>
      <c r="F675" s="57" t="s">
        <v>207</v>
      </c>
      <c r="G675" s="44"/>
      <c r="H675" s="45"/>
      <c r="I675" s="47"/>
      <c r="J675" s="48"/>
      <c r="K675" s="10">
        <v>1</v>
      </c>
    </row>
    <row r="676" spans="1:11" x14ac:dyDescent="0.35">
      <c r="A676" s="11" t="s">
        <v>633</v>
      </c>
      <c r="B676" s="11" t="s">
        <v>189</v>
      </c>
      <c r="C676" s="11"/>
      <c r="D676" s="11" t="s">
        <v>51</v>
      </c>
      <c r="E676" s="11"/>
      <c r="F676" s="60" t="s">
        <v>208</v>
      </c>
      <c r="G676" s="44" t="s">
        <v>186</v>
      </c>
      <c r="H676" s="45">
        <v>68</v>
      </c>
      <c r="I676" s="47">
        <v>95</v>
      </c>
      <c r="J676" s="48">
        <f>H676*I676</f>
        <v>6460</v>
      </c>
      <c r="K676" s="10">
        <v>1</v>
      </c>
    </row>
    <row r="677" spans="1:11" ht="26" x14ac:dyDescent="0.35">
      <c r="A677" s="11" t="s">
        <v>633</v>
      </c>
      <c r="B677" s="11" t="s">
        <v>189</v>
      </c>
      <c r="C677" s="11"/>
      <c r="D677" s="11"/>
      <c r="E677" s="11"/>
      <c r="F677" s="57" t="s">
        <v>209</v>
      </c>
      <c r="G677" s="44"/>
      <c r="H677" s="58"/>
      <c r="I677" s="47"/>
      <c r="J677" s="48"/>
      <c r="K677" s="10">
        <v>1</v>
      </c>
    </row>
    <row r="678" spans="1:11" ht="25" x14ac:dyDescent="0.35">
      <c r="A678" s="11" t="s">
        <v>633</v>
      </c>
      <c r="B678" s="11" t="s">
        <v>189</v>
      </c>
      <c r="C678" s="11"/>
      <c r="D678" s="11" t="s">
        <v>53</v>
      </c>
      <c r="E678" s="11"/>
      <c r="F678" s="60" t="s">
        <v>211</v>
      </c>
      <c r="G678" s="44" t="s">
        <v>186</v>
      </c>
      <c r="H678" s="58">
        <v>68</v>
      </c>
      <c r="I678" s="47">
        <v>95</v>
      </c>
      <c r="J678" s="48">
        <f>H678*I678</f>
        <v>6460</v>
      </c>
      <c r="K678" s="10">
        <v>1</v>
      </c>
    </row>
    <row r="679" spans="1:11" ht="13" x14ac:dyDescent="0.35">
      <c r="A679" s="11" t="s">
        <v>633</v>
      </c>
      <c r="B679" s="11" t="s">
        <v>189</v>
      </c>
      <c r="C679" s="11"/>
      <c r="D679" s="11"/>
      <c r="E679" s="11"/>
      <c r="F679" s="57" t="s">
        <v>212</v>
      </c>
      <c r="G679" s="44"/>
      <c r="H679" s="58"/>
      <c r="I679" s="47"/>
      <c r="J679" s="48"/>
      <c r="K679" s="10">
        <v>1</v>
      </c>
    </row>
    <row r="680" spans="1:11" x14ac:dyDescent="0.35">
      <c r="A680" s="11" t="s">
        <v>633</v>
      </c>
      <c r="B680" s="11" t="s">
        <v>189</v>
      </c>
      <c r="C680" s="11"/>
      <c r="D680" s="11" t="s">
        <v>55</v>
      </c>
      <c r="E680" s="11"/>
      <c r="F680" s="60" t="s">
        <v>213</v>
      </c>
      <c r="G680" s="44" t="s">
        <v>186</v>
      </c>
      <c r="H680" s="58">
        <v>108</v>
      </c>
      <c r="I680" s="47">
        <v>50</v>
      </c>
      <c r="J680" s="48">
        <f>H680*I680</f>
        <v>5400</v>
      </c>
      <c r="K680" s="10">
        <v>1</v>
      </c>
    </row>
    <row r="681" spans="1:11" ht="13" x14ac:dyDescent="0.35">
      <c r="A681" s="11" t="s">
        <v>633</v>
      </c>
      <c r="B681" s="11" t="s">
        <v>189</v>
      </c>
      <c r="C681" s="11"/>
      <c r="D681" s="11"/>
      <c r="E681" s="11"/>
      <c r="F681" s="57" t="s">
        <v>214</v>
      </c>
      <c r="G681" s="44"/>
      <c r="H681" s="45"/>
      <c r="I681" s="47"/>
      <c r="J681" s="48"/>
      <c r="K681" s="10">
        <v>1</v>
      </c>
    </row>
    <row r="682" spans="1:11" x14ac:dyDescent="0.35">
      <c r="A682" s="11" t="s">
        <v>633</v>
      </c>
      <c r="B682" s="11" t="s">
        <v>189</v>
      </c>
      <c r="C682" s="11"/>
      <c r="D682" s="11"/>
      <c r="E682" s="11"/>
      <c r="F682" s="62" t="s">
        <v>215</v>
      </c>
      <c r="G682" s="44"/>
      <c r="H682" s="45"/>
      <c r="I682" s="47"/>
      <c r="J682" s="48"/>
      <c r="K682" s="10">
        <v>1</v>
      </c>
    </row>
    <row r="683" spans="1:11" ht="13" x14ac:dyDescent="0.35">
      <c r="A683" s="11" t="s">
        <v>633</v>
      </c>
      <c r="B683" s="11" t="s">
        <v>189</v>
      </c>
      <c r="C683" s="11"/>
      <c r="D683" s="11"/>
      <c r="E683" s="11"/>
      <c r="F683" s="57" t="s">
        <v>216</v>
      </c>
      <c r="G683" s="44"/>
      <c r="H683" s="45"/>
      <c r="I683" s="47"/>
      <c r="J683" s="48"/>
      <c r="K683" s="10">
        <v>1</v>
      </c>
    </row>
    <row r="684" spans="1:11" ht="14.5" x14ac:dyDescent="0.35">
      <c r="A684" s="11" t="s">
        <v>633</v>
      </c>
      <c r="B684" s="11" t="s">
        <v>189</v>
      </c>
      <c r="C684" s="11"/>
      <c r="D684" s="11" t="s">
        <v>58</v>
      </c>
      <c r="E684" s="11"/>
      <c r="F684" s="60" t="s">
        <v>217</v>
      </c>
      <c r="G684" s="44" t="s">
        <v>110</v>
      </c>
      <c r="H684" s="45">
        <v>23</v>
      </c>
      <c r="I684" s="47">
        <v>550</v>
      </c>
      <c r="J684" s="48">
        <f>H684*I684</f>
        <v>12650</v>
      </c>
      <c r="K684" s="10">
        <v>1</v>
      </c>
    </row>
    <row r="685" spans="1:11" ht="14.5" x14ac:dyDescent="0.35">
      <c r="A685" s="11" t="s">
        <v>633</v>
      </c>
      <c r="B685" s="11" t="s">
        <v>189</v>
      </c>
      <c r="C685" s="11"/>
      <c r="D685" s="11" t="s">
        <v>87</v>
      </c>
      <c r="E685" s="11"/>
      <c r="F685" s="60" t="s">
        <v>218</v>
      </c>
      <c r="G685" s="44" t="s">
        <v>110</v>
      </c>
      <c r="H685" s="45">
        <v>226</v>
      </c>
      <c r="I685" s="47">
        <v>550</v>
      </c>
      <c r="J685" s="48">
        <f>H685*I685</f>
        <v>124300</v>
      </c>
      <c r="K685" s="10">
        <v>1</v>
      </c>
    </row>
    <row r="686" spans="1:11" x14ac:dyDescent="0.35">
      <c r="A686" s="11" t="s">
        <v>633</v>
      </c>
      <c r="B686" s="11" t="s">
        <v>189</v>
      </c>
      <c r="C686" s="11"/>
      <c r="D686" s="11" t="s">
        <v>90</v>
      </c>
      <c r="E686" s="11"/>
      <c r="F686" s="60" t="s">
        <v>219</v>
      </c>
      <c r="G686" s="44" t="s">
        <v>186</v>
      </c>
      <c r="H686" s="45">
        <v>53</v>
      </c>
      <c r="I686" s="47">
        <v>285</v>
      </c>
      <c r="J686" s="48">
        <f>H686*I686</f>
        <v>15105</v>
      </c>
      <c r="K686" s="10">
        <v>1</v>
      </c>
    </row>
    <row r="687" spans="1:11" ht="13" x14ac:dyDescent="0.35">
      <c r="A687" s="11" t="s">
        <v>633</v>
      </c>
      <c r="B687" s="11" t="s">
        <v>189</v>
      </c>
      <c r="C687" s="11"/>
      <c r="D687" s="11"/>
      <c r="E687" s="11"/>
      <c r="F687" s="57" t="s">
        <v>220</v>
      </c>
      <c r="G687" s="44"/>
      <c r="H687" s="45"/>
      <c r="I687" s="47"/>
      <c r="J687" s="48"/>
      <c r="K687" s="10">
        <v>1</v>
      </c>
    </row>
    <row r="688" spans="1:11" ht="13" x14ac:dyDescent="0.35">
      <c r="A688" s="11" t="s">
        <v>633</v>
      </c>
      <c r="B688" s="11" t="s">
        <v>189</v>
      </c>
      <c r="C688" s="11"/>
      <c r="D688" s="11"/>
      <c r="E688" s="11"/>
      <c r="F688" s="57" t="s">
        <v>221</v>
      </c>
      <c r="G688" s="44"/>
      <c r="H688" s="45"/>
      <c r="I688" s="47"/>
      <c r="J688" s="48"/>
      <c r="K688" s="10">
        <v>1</v>
      </c>
    </row>
    <row r="689" spans="1:11" x14ac:dyDescent="0.35">
      <c r="A689" s="11" t="s">
        <v>633</v>
      </c>
      <c r="B689" s="11" t="s">
        <v>189</v>
      </c>
      <c r="C689" s="11"/>
      <c r="D689" s="11" t="s">
        <v>187</v>
      </c>
      <c r="E689" s="11"/>
      <c r="F689" s="60" t="s">
        <v>222</v>
      </c>
      <c r="G689" s="44" t="s">
        <v>186</v>
      </c>
      <c r="H689" s="45">
        <v>387</v>
      </c>
      <c r="I689" s="47">
        <v>10</v>
      </c>
      <c r="J689" s="48">
        <f>H689*I689</f>
        <v>3870</v>
      </c>
      <c r="K689" s="10">
        <v>1</v>
      </c>
    </row>
    <row r="690" spans="1:11" x14ac:dyDescent="0.35">
      <c r="A690" s="11" t="s">
        <v>633</v>
      </c>
      <c r="B690" s="11" t="s">
        <v>189</v>
      </c>
      <c r="C690" s="11"/>
      <c r="D690" s="11" t="s">
        <v>484</v>
      </c>
      <c r="E690" s="11"/>
      <c r="F690" s="60" t="s">
        <v>223</v>
      </c>
      <c r="G690" s="44" t="s">
        <v>186</v>
      </c>
      <c r="H690" s="45">
        <v>2276</v>
      </c>
      <c r="I690" s="47">
        <v>15</v>
      </c>
      <c r="J690" s="48">
        <f>H690*I690</f>
        <v>34140</v>
      </c>
      <c r="K690" s="10">
        <v>1</v>
      </c>
    </row>
    <row r="691" spans="1:11" x14ac:dyDescent="0.35">
      <c r="A691" s="11" t="s">
        <v>633</v>
      </c>
      <c r="B691" s="11" t="s">
        <v>189</v>
      </c>
      <c r="C691" s="11"/>
      <c r="D691" s="11" t="s">
        <v>487</v>
      </c>
      <c r="E691" s="11"/>
      <c r="F691" s="60" t="s">
        <v>640</v>
      </c>
      <c r="G691" s="44" t="s">
        <v>186</v>
      </c>
      <c r="H691" s="45">
        <v>200</v>
      </c>
      <c r="I691" s="47">
        <v>15</v>
      </c>
      <c r="J691" s="48">
        <f>H691*I691</f>
        <v>3000</v>
      </c>
      <c r="K691" s="10">
        <v>1</v>
      </c>
    </row>
    <row r="692" spans="1:11" s="71" customFormat="1" ht="13" x14ac:dyDescent="0.35">
      <c r="A692" s="11" t="s">
        <v>633</v>
      </c>
      <c r="B692" s="11" t="s">
        <v>224</v>
      </c>
      <c r="C692" s="11"/>
      <c r="D692" s="11"/>
      <c r="E692" s="11"/>
      <c r="F692" s="43" t="s">
        <v>634</v>
      </c>
      <c r="G692" s="44"/>
      <c r="H692" s="45"/>
      <c r="I692" s="47"/>
      <c r="J692" s="48"/>
      <c r="K692" s="10">
        <v>1</v>
      </c>
    </row>
    <row r="693" spans="1:11" s="71" customFormat="1" ht="13" x14ac:dyDescent="0.35">
      <c r="A693" s="11" t="s">
        <v>633</v>
      </c>
      <c r="B693" s="11" t="s">
        <v>224</v>
      </c>
      <c r="C693" s="11"/>
      <c r="D693" s="11"/>
      <c r="E693" s="11"/>
      <c r="F693" s="43" t="s">
        <v>635</v>
      </c>
      <c r="G693" s="44"/>
      <c r="H693" s="45"/>
      <c r="I693" s="47"/>
      <c r="J693" s="48"/>
      <c r="K693" s="10">
        <v>1</v>
      </c>
    </row>
    <row r="694" spans="1:11" s="71" customFormat="1" ht="13" x14ac:dyDescent="0.35">
      <c r="A694" s="11" t="s">
        <v>633</v>
      </c>
      <c r="B694" s="11" t="s">
        <v>224</v>
      </c>
      <c r="C694" s="11"/>
      <c r="D694" s="11"/>
      <c r="E694" s="11"/>
      <c r="F694" s="43" t="s">
        <v>225</v>
      </c>
      <c r="G694" s="44"/>
      <c r="H694" s="45"/>
      <c r="I694" s="47"/>
      <c r="J694" s="48"/>
      <c r="K694" s="10">
        <v>1</v>
      </c>
    </row>
    <row r="695" spans="1:11" s="71" customFormat="1" ht="13" x14ac:dyDescent="0.35">
      <c r="A695" s="11" t="s">
        <v>633</v>
      </c>
      <c r="B695" s="11" t="s">
        <v>224</v>
      </c>
      <c r="C695" s="11"/>
      <c r="D695" s="11"/>
      <c r="E695" s="11"/>
      <c r="F695" s="43" t="s">
        <v>226</v>
      </c>
      <c r="G695" s="44"/>
      <c r="H695" s="45"/>
      <c r="I695" s="47"/>
      <c r="J695" s="48"/>
      <c r="K695" s="10">
        <v>1</v>
      </c>
    </row>
    <row r="696" spans="1:11" ht="13" x14ac:dyDescent="0.35">
      <c r="A696" s="11" t="s">
        <v>633</v>
      </c>
      <c r="B696" s="11" t="s">
        <v>224</v>
      </c>
      <c r="C696" s="11"/>
      <c r="D696" s="11"/>
      <c r="E696" s="11"/>
      <c r="F696" s="57" t="s">
        <v>100</v>
      </c>
      <c r="G696" s="44"/>
      <c r="H696" s="45"/>
      <c r="I696" s="47"/>
      <c r="J696" s="48"/>
      <c r="K696" s="10">
        <v>1</v>
      </c>
    </row>
    <row r="697" spans="1:11" x14ac:dyDescent="0.35">
      <c r="A697" s="11" t="s">
        <v>633</v>
      </c>
      <c r="B697" s="11" t="s">
        <v>224</v>
      </c>
      <c r="C697" s="11"/>
      <c r="D697" s="11"/>
      <c r="E697" s="11"/>
      <c r="F697" s="60" t="s">
        <v>101</v>
      </c>
      <c r="G697" s="44"/>
      <c r="H697" s="45"/>
      <c r="I697" s="47"/>
      <c r="J697" s="48"/>
      <c r="K697" s="10">
        <v>1</v>
      </c>
    </row>
    <row r="698" spans="1:11" s="71" customFormat="1" ht="13" x14ac:dyDescent="0.35">
      <c r="A698" s="11" t="s">
        <v>633</v>
      </c>
      <c r="B698" s="11" t="s">
        <v>224</v>
      </c>
      <c r="C698" s="11"/>
      <c r="D698" s="11"/>
      <c r="E698" s="11"/>
      <c r="F698" s="57" t="s">
        <v>102</v>
      </c>
      <c r="G698" s="44"/>
      <c r="H698" s="45"/>
      <c r="I698" s="47"/>
      <c r="J698" s="48"/>
      <c r="K698" s="10">
        <v>1</v>
      </c>
    </row>
    <row r="699" spans="1:11" ht="62.5" x14ac:dyDescent="0.35">
      <c r="A699" s="11" t="s">
        <v>633</v>
      </c>
      <c r="B699" s="11" t="s">
        <v>224</v>
      </c>
      <c r="C699" s="11"/>
      <c r="D699" s="11"/>
      <c r="E699" s="11"/>
      <c r="F699" s="60" t="s">
        <v>227</v>
      </c>
      <c r="G699" s="44"/>
      <c r="H699" s="45"/>
      <c r="I699" s="47"/>
      <c r="J699" s="48"/>
      <c r="K699" s="10">
        <v>1</v>
      </c>
    </row>
    <row r="700" spans="1:11" ht="25" x14ac:dyDescent="0.35">
      <c r="A700" s="11" t="s">
        <v>633</v>
      </c>
      <c r="B700" s="11" t="s">
        <v>224</v>
      </c>
      <c r="C700" s="11"/>
      <c r="D700" s="11"/>
      <c r="E700" s="11"/>
      <c r="F700" s="60" t="s">
        <v>228</v>
      </c>
      <c r="G700" s="44"/>
      <c r="H700" s="45"/>
      <c r="I700" s="47"/>
      <c r="J700" s="48"/>
      <c r="K700" s="10">
        <v>1</v>
      </c>
    </row>
    <row r="701" spans="1:11" ht="13" x14ac:dyDescent="0.35">
      <c r="A701" s="11" t="s">
        <v>633</v>
      </c>
      <c r="B701" s="11" t="s">
        <v>224</v>
      </c>
      <c r="C701" s="11"/>
      <c r="D701" s="11"/>
      <c r="E701" s="11"/>
      <c r="F701" s="57" t="s">
        <v>229</v>
      </c>
      <c r="G701" s="44"/>
      <c r="H701" s="45"/>
      <c r="I701" s="47"/>
      <c r="J701" s="48"/>
      <c r="K701" s="10">
        <v>1</v>
      </c>
    </row>
    <row r="702" spans="1:11" ht="26" x14ac:dyDescent="0.35">
      <c r="A702" s="11" t="s">
        <v>633</v>
      </c>
      <c r="B702" s="11" t="s">
        <v>224</v>
      </c>
      <c r="C702" s="11"/>
      <c r="D702" s="11"/>
      <c r="E702" s="11"/>
      <c r="F702" s="57" t="s">
        <v>230</v>
      </c>
      <c r="G702" s="44"/>
      <c r="H702" s="45"/>
      <c r="I702" s="47"/>
      <c r="J702" s="48"/>
      <c r="K702" s="10">
        <v>1</v>
      </c>
    </row>
    <row r="703" spans="1:11" ht="14.5" x14ac:dyDescent="0.35">
      <c r="A703" s="11" t="s">
        <v>633</v>
      </c>
      <c r="B703" s="11" t="s">
        <v>224</v>
      </c>
      <c r="C703" s="11"/>
      <c r="D703" s="11" t="s">
        <v>20</v>
      </c>
      <c r="E703" s="11"/>
      <c r="F703" s="60" t="s">
        <v>231</v>
      </c>
      <c r="G703" s="44" t="s">
        <v>110</v>
      </c>
      <c r="H703" s="45">
        <v>173</v>
      </c>
      <c r="I703" s="47">
        <v>65</v>
      </c>
      <c r="J703" s="48">
        <f>H703*I703</f>
        <v>11245</v>
      </c>
      <c r="K703" s="10">
        <v>1</v>
      </c>
    </row>
    <row r="704" spans="1:11" ht="39" x14ac:dyDescent="0.35">
      <c r="A704" s="11" t="s">
        <v>633</v>
      </c>
      <c r="B704" s="11" t="s">
        <v>224</v>
      </c>
      <c r="C704" s="11"/>
      <c r="D704" s="11"/>
      <c r="E704" s="11"/>
      <c r="F704" s="57" t="s">
        <v>232</v>
      </c>
      <c r="G704" s="44"/>
      <c r="H704" s="45"/>
      <c r="I704" s="47"/>
      <c r="J704" s="48"/>
      <c r="K704" s="10">
        <v>1</v>
      </c>
    </row>
    <row r="705" spans="1:11" ht="14.5" x14ac:dyDescent="0.35">
      <c r="A705" s="11" t="s">
        <v>633</v>
      </c>
      <c r="B705" s="11" t="s">
        <v>224</v>
      </c>
      <c r="C705" s="11"/>
      <c r="D705" s="11" t="s">
        <v>26</v>
      </c>
      <c r="E705" s="11"/>
      <c r="F705" s="60" t="s">
        <v>641</v>
      </c>
      <c r="G705" s="44" t="s">
        <v>110</v>
      </c>
      <c r="H705" s="45">
        <v>295</v>
      </c>
      <c r="I705" s="47">
        <v>65</v>
      </c>
      <c r="J705" s="48">
        <f>H705*I705</f>
        <v>19175</v>
      </c>
      <c r="K705" s="10">
        <v>1</v>
      </c>
    </row>
    <row r="706" spans="1:11" ht="14.5" x14ac:dyDescent="0.35">
      <c r="A706" s="11" t="s">
        <v>633</v>
      </c>
      <c r="B706" s="11" t="s">
        <v>224</v>
      </c>
      <c r="C706" s="11"/>
      <c r="D706" s="11" t="s">
        <v>29</v>
      </c>
      <c r="E706" s="11"/>
      <c r="F706" s="60" t="s">
        <v>642</v>
      </c>
      <c r="G706" s="44" t="s">
        <v>110</v>
      </c>
      <c r="H706" s="45">
        <v>78</v>
      </c>
      <c r="I706" s="47">
        <v>65</v>
      </c>
      <c r="J706" s="48">
        <f>H706*I706</f>
        <v>5070</v>
      </c>
      <c r="K706" s="10">
        <v>1</v>
      </c>
    </row>
    <row r="707" spans="1:11" ht="13" x14ac:dyDescent="0.35">
      <c r="A707" s="11" t="s">
        <v>633</v>
      </c>
      <c r="B707" s="11" t="s">
        <v>235</v>
      </c>
      <c r="C707" s="11"/>
      <c r="D707" s="11"/>
      <c r="E707" s="11"/>
      <c r="F707" s="43" t="s">
        <v>634</v>
      </c>
      <c r="G707" s="44"/>
      <c r="H707" s="58"/>
      <c r="I707" s="47"/>
      <c r="J707" s="48"/>
      <c r="K707" s="10">
        <v>1</v>
      </c>
    </row>
    <row r="708" spans="1:11" ht="13" x14ac:dyDescent="0.35">
      <c r="A708" s="11" t="s">
        <v>633</v>
      </c>
      <c r="B708" s="11" t="s">
        <v>235</v>
      </c>
      <c r="C708" s="11"/>
      <c r="D708" s="11"/>
      <c r="E708" s="11"/>
      <c r="F708" s="43" t="s">
        <v>635</v>
      </c>
      <c r="G708" s="44"/>
      <c r="H708" s="58"/>
      <c r="I708" s="47"/>
      <c r="J708" s="48"/>
      <c r="K708" s="10">
        <v>1</v>
      </c>
    </row>
    <row r="709" spans="1:11" ht="13" x14ac:dyDescent="0.35">
      <c r="A709" s="11" t="s">
        <v>633</v>
      </c>
      <c r="B709" s="11" t="s">
        <v>235</v>
      </c>
      <c r="C709" s="11"/>
      <c r="D709" s="11"/>
      <c r="E709" s="11"/>
      <c r="F709" s="43" t="s">
        <v>236</v>
      </c>
      <c r="G709" s="44"/>
      <c r="H709" s="58"/>
      <c r="I709" s="47"/>
      <c r="J709" s="48"/>
      <c r="K709" s="10">
        <v>1</v>
      </c>
    </row>
    <row r="710" spans="1:11" ht="13" x14ac:dyDescent="0.35">
      <c r="A710" s="11" t="s">
        <v>633</v>
      </c>
      <c r="B710" s="11" t="s">
        <v>235</v>
      </c>
      <c r="C710" s="11"/>
      <c r="D710" s="11"/>
      <c r="E710" s="11"/>
      <c r="F710" s="43" t="s">
        <v>237</v>
      </c>
      <c r="G710" s="44"/>
      <c r="H710" s="58"/>
      <c r="I710" s="47"/>
      <c r="J710" s="48"/>
      <c r="K710" s="10">
        <v>1</v>
      </c>
    </row>
    <row r="711" spans="1:11" ht="13" x14ac:dyDescent="0.35">
      <c r="A711" s="11" t="s">
        <v>633</v>
      </c>
      <c r="B711" s="11" t="s">
        <v>235</v>
      </c>
      <c r="C711" s="11"/>
      <c r="D711" s="50"/>
      <c r="E711" s="50"/>
      <c r="F711" s="57" t="s">
        <v>100</v>
      </c>
      <c r="G711" s="51"/>
      <c r="H711" s="72"/>
      <c r="I711" s="54"/>
      <c r="J711" s="55"/>
      <c r="K711" s="10">
        <v>1</v>
      </c>
    </row>
    <row r="712" spans="1:11" ht="13" x14ac:dyDescent="0.35">
      <c r="A712" s="11" t="s">
        <v>633</v>
      </c>
      <c r="B712" s="11" t="s">
        <v>235</v>
      </c>
      <c r="C712" s="11"/>
      <c r="D712" s="50"/>
      <c r="E712" s="50"/>
      <c r="F712" s="60" t="s">
        <v>101</v>
      </c>
      <c r="G712" s="51"/>
      <c r="H712" s="74"/>
      <c r="I712" s="54"/>
      <c r="J712" s="55"/>
      <c r="K712" s="10">
        <v>1</v>
      </c>
    </row>
    <row r="713" spans="1:11" ht="13" x14ac:dyDescent="0.35">
      <c r="A713" s="11" t="s">
        <v>633</v>
      </c>
      <c r="B713" s="11" t="s">
        <v>235</v>
      </c>
      <c r="C713" s="11"/>
      <c r="D713" s="11"/>
      <c r="E713" s="11"/>
      <c r="F713" s="57" t="s">
        <v>643</v>
      </c>
      <c r="G713" s="44"/>
      <c r="H713" s="58"/>
      <c r="I713" s="47"/>
      <c r="J713" s="48"/>
      <c r="K713" s="10">
        <v>1</v>
      </c>
    </row>
    <row r="714" spans="1:11" ht="14.5" x14ac:dyDescent="0.35">
      <c r="A714" s="11" t="s">
        <v>633</v>
      </c>
      <c r="B714" s="11" t="s">
        <v>235</v>
      </c>
      <c r="C714" s="11"/>
      <c r="D714" s="11" t="s">
        <v>20</v>
      </c>
      <c r="E714" s="11"/>
      <c r="F714" s="60" t="s">
        <v>644</v>
      </c>
      <c r="G714" s="44" t="s">
        <v>110</v>
      </c>
      <c r="H714" s="58">
        <v>295</v>
      </c>
      <c r="I714" s="47">
        <v>395</v>
      </c>
      <c r="J714" s="48">
        <f>H714*I714</f>
        <v>116525</v>
      </c>
      <c r="K714" s="10">
        <v>1</v>
      </c>
    </row>
    <row r="715" spans="1:11" s="84" customFormat="1" ht="13" x14ac:dyDescent="0.35">
      <c r="A715" s="11" t="s">
        <v>633</v>
      </c>
      <c r="B715" s="11" t="s">
        <v>235</v>
      </c>
      <c r="C715" s="11"/>
      <c r="D715" s="76"/>
      <c r="E715" s="77"/>
      <c r="F715" s="87" t="s">
        <v>243</v>
      </c>
      <c r="G715" s="78"/>
      <c r="H715" s="79"/>
      <c r="I715" s="81"/>
      <c r="J715" s="82"/>
      <c r="K715" s="10">
        <v>1</v>
      </c>
    </row>
    <row r="716" spans="1:11" s="84" customFormat="1" x14ac:dyDescent="0.35">
      <c r="A716" s="11" t="s">
        <v>633</v>
      </c>
      <c r="B716" s="11" t="s">
        <v>235</v>
      </c>
      <c r="C716" s="11"/>
      <c r="D716" s="11" t="s">
        <v>26</v>
      </c>
      <c r="E716" s="77"/>
      <c r="F716" s="88" t="s">
        <v>244</v>
      </c>
      <c r="G716" s="78" t="s">
        <v>245</v>
      </c>
      <c r="H716" s="79">
        <v>295</v>
      </c>
      <c r="I716" s="81">
        <v>145</v>
      </c>
      <c r="J716" s="82">
        <f>H716*I716</f>
        <v>42775</v>
      </c>
      <c r="K716" s="10">
        <v>1</v>
      </c>
    </row>
    <row r="717" spans="1:11" ht="13" x14ac:dyDescent="0.35">
      <c r="A717" s="11" t="s">
        <v>633</v>
      </c>
      <c r="B717" s="11" t="s">
        <v>235</v>
      </c>
      <c r="C717" s="11"/>
      <c r="D717" s="11"/>
      <c r="E717" s="11"/>
      <c r="F717" s="57" t="s">
        <v>241</v>
      </c>
      <c r="G717" s="44"/>
      <c r="H717" s="58"/>
      <c r="I717" s="47"/>
      <c r="J717" s="48"/>
      <c r="K717" s="10">
        <v>1</v>
      </c>
    </row>
    <row r="718" spans="1:11" x14ac:dyDescent="0.35">
      <c r="A718" s="11" t="s">
        <v>633</v>
      </c>
      <c r="B718" s="11" t="s">
        <v>235</v>
      </c>
      <c r="C718" s="11"/>
      <c r="D718" s="11" t="s">
        <v>29</v>
      </c>
      <c r="E718" s="11"/>
      <c r="F718" s="60" t="s">
        <v>242</v>
      </c>
      <c r="G718" s="44" t="s">
        <v>186</v>
      </c>
      <c r="H718" s="85">
        <v>74</v>
      </c>
      <c r="I718" s="47">
        <v>185</v>
      </c>
      <c r="J718" s="48">
        <f>I718*H718</f>
        <v>13690</v>
      </c>
      <c r="K718" s="10">
        <v>1</v>
      </c>
    </row>
    <row r="719" spans="1:11" ht="13" x14ac:dyDescent="0.35">
      <c r="A719" s="11" t="s">
        <v>633</v>
      </c>
      <c r="B719" s="11" t="s">
        <v>246</v>
      </c>
      <c r="C719" s="11"/>
      <c r="D719" s="11"/>
      <c r="E719" s="11"/>
      <c r="F719" s="43" t="s">
        <v>634</v>
      </c>
      <c r="G719" s="44"/>
      <c r="H719" s="45"/>
      <c r="I719" s="47"/>
      <c r="J719" s="48"/>
      <c r="K719" s="10">
        <v>1</v>
      </c>
    </row>
    <row r="720" spans="1:11" ht="13" x14ac:dyDescent="0.35">
      <c r="A720" s="11" t="s">
        <v>633</v>
      </c>
      <c r="B720" s="11" t="s">
        <v>246</v>
      </c>
      <c r="C720" s="11"/>
      <c r="D720" s="11"/>
      <c r="E720" s="11"/>
      <c r="F720" s="43" t="s">
        <v>635</v>
      </c>
      <c r="G720" s="44"/>
      <c r="H720" s="45"/>
      <c r="I720" s="47"/>
      <c r="J720" s="48"/>
      <c r="K720" s="10">
        <v>1</v>
      </c>
    </row>
    <row r="721" spans="1:11" ht="13" x14ac:dyDescent="0.35">
      <c r="A721" s="11" t="s">
        <v>633</v>
      </c>
      <c r="B721" s="11" t="s">
        <v>246</v>
      </c>
      <c r="C721" s="11"/>
      <c r="D721" s="11"/>
      <c r="E721" s="11"/>
      <c r="F721" s="43" t="s">
        <v>247</v>
      </c>
      <c r="G721" s="44"/>
      <c r="H721" s="45"/>
      <c r="I721" s="47"/>
      <c r="J721" s="48"/>
      <c r="K721" s="10">
        <v>1</v>
      </c>
    </row>
    <row r="722" spans="1:11" ht="13" x14ac:dyDescent="0.35">
      <c r="A722" s="11" t="s">
        <v>633</v>
      </c>
      <c r="B722" s="11" t="s">
        <v>246</v>
      </c>
      <c r="C722" s="11"/>
      <c r="D722" s="11"/>
      <c r="E722" s="11"/>
      <c r="F722" s="43" t="s">
        <v>248</v>
      </c>
      <c r="G722" s="44"/>
      <c r="H722" s="45"/>
      <c r="I722" s="47"/>
      <c r="J722" s="48"/>
      <c r="K722" s="10">
        <v>1</v>
      </c>
    </row>
    <row r="723" spans="1:11" ht="13" x14ac:dyDescent="0.35">
      <c r="A723" s="11" t="s">
        <v>633</v>
      </c>
      <c r="B723" s="11" t="s">
        <v>246</v>
      </c>
      <c r="C723" s="11"/>
      <c r="D723" s="11"/>
      <c r="E723" s="11"/>
      <c r="F723" s="57" t="s">
        <v>100</v>
      </c>
      <c r="G723" s="44"/>
      <c r="H723" s="45"/>
      <c r="I723" s="47"/>
      <c r="J723" s="48"/>
      <c r="K723" s="10">
        <v>1</v>
      </c>
    </row>
    <row r="724" spans="1:11" x14ac:dyDescent="0.35">
      <c r="A724" s="11" t="s">
        <v>633</v>
      </c>
      <c r="B724" s="11" t="s">
        <v>246</v>
      </c>
      <c r="C724" s="11"/>
      <c r="D724" s="11"/>
      <c r="E724" s="11"/>
      <c r="F724" s="60" t="s">
        <v>101</v>
      </c>
      <c r="G724" s="44"/>
      <c r="H724" s="45"/>
      <c r="I724" s="47"/>
      <c r="J724" s="48"/>
      <c r="K724" s="10">
        <v>1</v>
      </c>
    </row>
    <row r="725" spans="1:11" ht="13" x14ac:dyDescent="0.35">
      <c r="A725" s="11" t="s">
        <v>633</v>
      </c>
      <c r="B725" s="11" t="s">
        <v>246</v>
      </c>
      <c r="C725" s="11"/>
      <c r="D725" s="11"/>
      <c r="E725" s="11"/>
      <c r="F725" s="57" t="s">
        <v>102</v>
      </c>
      <c r="G725" s="44"/>
      <c r="H725" s="45"/>
      <c r="I725" s="47"/>
      <c r="J725" s="48"/>
      <c r="K725" s="10">
        <v>1</v>
      </c>
    </row>
    <row r="726" spans="1:11" x14ac:dyDescent="0.35">
      <c r="A726" s="11" t="s">
        <v>633</v>
      </c>
      <c r="B726" s="11" t="s">
        <v>246</v>
      </c>
      <c r="C726" s="11"/>
      <c r="D726" s="11"/>
      <c r="E726" s="11"/>
      <c r="F726" s="62" t="s">
        <v>249</v>
      </c>
      <c r="G726" s="44"/>
      <c r="H726" s="45"/>
      <c r="I726" s="47"/>
      <c r="J726" s="48"/>
      <c r="K726" s="10">
        <v>1</v>
      </c>
    </row>
    <row r="727" spans="1:11" ht="25" x14ac:dyDescent="0.35">
      <c r="A727" s="11" t="s">
        <v>633</v>
      </c>
      <c r="B727" s="11" t="s">
        <v>246</v>
      </c>
      <c r="C727" s="11"/>
      <c r="D727" s="11"/>
      <c r="E727" s="11"/>
      <c r="F727" s="60" t="s">
        <v>250</v>
      </c>
      <c r="G727" s="44"/>
      <c r="H727" s="45"/>
      <c r="I727" s="47"/>
      <c r="J727" s="48"/>
      <c r="K727" s="10">
        <v>1</v>
      </c>
    </row>
    <row r="728" spans="1:11" ht="37.5" x14ac:dyDescent="0.35">
      <c r="A728" s="11" t="s">
        <v>633</v>
      </c>
      <c r="B728" s="11" t="s">
        <v>246</v>
      </c>
      <c r="C728" s="11"/>
      <c r="D728" s="11"/>
      <c r="E728" s="11"/>
      <c r="F728" s="60" t="s">
        <v>251</v>
      </c>
      <c r="G728" s="44"/>
      <c r="H728" s="45"/>
      <c r="I728" s="47"/>
      <c r="J728" s="48"/>
      <c r="K728" s="10">
        <v>1</v>
      </c>
    </row>
    <row r="729" spans="1:11" x14ac:dyDescent="0.35">
      <c r="A729" s="11" t="s">
        <v>633</v>
      </c>
      <c r="B729" s="11" t="s">
        <v>246</v>
      </c>
      <c r="C729" s="11"/>
      <c r="D729" s="11"/>
      <c r="E729" s="11"/>
      <c r="F729" s="62" t="s">
        <v>252</v>
      </c>
      <c r="G729" s="44"/>
      <c r="H729" s="45"/>
      <c r="I729" s="47"/>
      <c r="J729" s="48"/>
      <c r="K729" s="10">
        <v>1</v>
      </c>
    </row>
    <row r="730" spans="1:11" ht="25" x14ac:dyDescent="0.35">
      <c r="A730" s="11" t="s">
        <v>633</v>
      </c>
      <c r="B730" s="11" t="s">
        <v>246</v>
      </c>
      <c r="C730" s="11"/>
      <c r="D730" s="11"/>
      <c r="E730" s="11"/>
      <c r="F730" s="60" t="s">
        <v>253</v>
      </c>
      <c r="G730" s="44"/>
      <c r="H730" s="45"/>
      <c r="I730" s="47"/>
      <c r="J730" s="48"/>
      <c r="K730" s="10">
        <v>1</v>
      </c>
    </row>
    <row r="731" spans="1:11" ht="25" x14ac:dyDescent="0.35">
      <c r="A731" s="11" t="s">
        <v>633</v>
      </c>
      <c r="B731" s="11" t="s">
        <v>246</v>
      </c>
      <c r="C731" s="11"/>
      <c r="D731" s="11"/>
      <c r="E731" s="11"/>
      <c r="F731" s="60" t="s">
        <v>254</v>
      </c>
      <c r="G731" s="44"/>
      <c r="H731" s="45"/>
      <c r="I731" s="47"/>
      <c r="J731" s="48"/>
      <c r="K731" s="10">
        <v>1</v>
      </c>
    </row>
    <row r="732" spans="1:11" x14ac:dyDescent="0.35">
      <c r="A732" s="11" t="s">
        <v>633</v>
      </c>
      <c r="B732" s="11" t="s">
        <v>246</v>
      </c>
      <c r="C732" s="11"/>
      <c r="D732" s="11"/>
      <c r="E732" s="11"/>
      <c r="F732" s="62" t="s">
        <v>255</v>
      </c>
      <c r="G732" s="44"/>
      <c r="H732" s="45"/>
      <c r="I732" s="47"/>
      <c r="J732" s="48"/>
      <c r="K732" s="10">
        <v>1</v>
      </c>
    </row>
    <row r="733" spans="1:11" ht="25" x14ac:dyDescent="0.35">
      <c r="A733" s="11" t="s">
        <v>633</v>
      </c>
      <c r="B733" s="11" t="s">
        <v>246</v>
      </c>
      <c r="C733" s="11"/>
      <c r="D733" s="11"/>
      <c r="E733" s="11"/>
      <c r="F733" s="60" t="s">
        <v>256</v>
      </c>
      <c r="G733" s="44"/>
      <c r="H733" s="45"/>
      <c r="I733" s="47"/>
      <c r="J733" s="48"/>
      <c r="K733" s="10">
        <v>1</v>
      </c>
    </row>
    <row r="734" spans="1:11" ht="37.5" x14ac:dyDescent="0.35">
      <c r="A734" s="11" t="s">
        <v>633</v>
      </c>
      <c r="B734" s="11" t="s">
        <v>246</v>
      </c>
      <c r="C734" s="11"/>
      <c r="D734" s="11"/>
      <c r="E734" s="11"/>
      <c r="F734" s="60" t="s">
        <v>257</v>
      </c>
      <c r="G734" s="44"/>
      <c r="H734" s="45"/>
      <c r="I734" s="47"/>
      <c r="J734" s="48"/>
      <c r="K734" s="10">
        <v>1</v>
      </c>
    </row>
    <row r="735" spans="1:11" ht="13" x14ac:dyDescent="0.35">
      <c r="A735" s="11" t="s">
        <v>633</v>
      </c>
      <c r="B735" s="11" t="s">
        <v>246</v>
      </c>
      <c r="C735" s="11"/>
      <c r="D735" s="11"/>
      <c r="E735" s="11"/>
      <c r="F735" s="57" t="s">
        <v>258</v>
      </c>
      <c r="G735" s="44"/>
      <c r="H735" s="45"/>
      <c r="I735" s="47"/>
      <c r="J735" s="48"/>
      <c r="K735" s="10">
        <v>1</v>
      </c>
    </row>
    <row r="736" spans="1:11" ht="26" x14ac:dyDescent="0.35">
      <c r="A736" s="11" t="s">
        <v>633</v>
      </c>
      <c r="B736" s="11" t="s">
        <v>246</v>
      </c>
      <c r="C736" s="11"/>
      <c r="D736" s="11"/>
      <c r="E736" s="11"/>
      <c r="F736" s="57" t="s">
        <v>259</v>
      </c>
      <c r="G736" s="44"/>
      <c r="H736" s="63"/>
      <c r="I736" s="47"/>
      <c r="J736" s="48"/>
      <c r="K736" s="10">
        <v>1</v>
      </c>
    </row>
    <row r="737" spans="1:11" x14ac:dyDescent="0.35">
      <c r="A737" s="11" t="s">
        <v>633</v>
      </c>
      <c r="B737" s="11" t="s">
        <v>246</v>
      </c>
      <c r="C737" s="11"/>
      <c r="D737" s="11" t="s">
        <v>20</v>
      </c>
      <c r="E737" s="11"/>
      <c r="F737" s="60" t="s">
        <v>260</v>
      </c>
      <c r="G737" s="44" t="s">
        <v>186</v>
      </c>
      <c r="H737" s="63">
        <v>106</v>
      </c>
      <c r="I737" s="47">
        <v>75</v>
      </c>
      <c r="J737" s="48">
        <f>H737*I737</f>
        <v>7950</v>
      </c>
      <c r="K737" s="10">
        <v>1</v>
      </c>
    </row>
    <row r="738" spans="1:11" ht="13" x14ac:dyDescent="0.35">
      <c r="A738" s="11" t="s">
        <v>633</v>
      </c>
      <c r="B738" s="11" t="s">
        <v>246</v>
      </c>
      <c r="C738" s="11"/>
      <c r="D738" s="11"/>
      <c r="E738" s="11"/>
      <c r="F738" s="57" t="s">
        <v>261</v>
      </c>
      <c r="G738" s="44"/>
      <c r="H738" s="45"/>
      <c r="I738" s="47"/>
      <c r="J738" s="48"/>
      <c r="K738" s="10">
        <v>1</v>
      </c>
    </row>
    <row r="739" spans="1:11" ht="13" x14ac:dyDescent="0.35">
      <c r="A739" s="11" t="s">
        <v>633</v>
      </c>
      <c r="B739" s="11" t="s">
        <v>246</v>
      </c>
      <c r="C739" s="11"/>
      <c r="D739" s="11"/>
      <c r="E739" s="11"/>
      <c r="F739" s="57" t="s">
        <v>262</v>
      </c>
      <c r="G739" s="44"/>
      <c r="H739" s="58"/>
      <c r="I739" s="47"/>
      <c r="J739" s="48"/>
      <c r="K739" s="10">
        <v>1</v>
      </c>
    </row>
    <row r="740" spans="1:11" ht="25" x14ac:dyDescent="0.35">
      <c r="A740" s="11" t="s">
        <v>633</v>
      </c>
      <c r="B740" s="11" t="s">
        <v>246</v>
      </c>
      <c r="C740" s="11"/>
      <c r="D740" s="11" t="s">
        <v>26</v>
      </c>
      <c r="E740" s="11"/>
      <c r="F740" s="60" t="s">
        <v>645</v>
      </c>
      <c r="G740" s="44" t="s">
        <v>175</v>
      </c>
      <c r="H740" s="58">
        <v>2</v>
      </c>
      <c r="I740" s="47">
        <v>2000</v>
      </c>
      <c r="J740" s="48">
        <f>H740*I740</f>
        <v>4000</v>
      </c>
      <c r="K740" s="10">
        <v>1</v>
      </c>
    </row>
    <row r="741" spans="1:11" ht="25" x14ac:dyDescent="0.35">
      <c r="A741" s="11" t="s">
        <v>633</v>
      </c>
      <c r="B741" s="11" t="s">
        <v>246</v>
      </c>
      <c r="C741" s="11"/>
      <c r="D741" s="11" t="s">
        <v>29</v>
      </c>
      <c r="E741" s="11"/>
      <c r="F741" s="60" t="s">
        <v>264</v>
      </c>
      <c r="G741" s="44" t="s">
        <v>175</v>
      </c>
      <c r="H741" s="58">
        <v>13</v>
      </c>
      <c r="I741" s="47">
        <v>2000</v>
      </c>
      <c r="J741" s="48">
        <f>H741*I741</f>
        <v>26000</v>
      </c>
      <c r="K741" s="10">
        <v>1</v>
      </c>
    </row>
    <row r="742" spans="1:11" ht="25" x14ac:dyDescent="0.35">
      <c r="A742" s="11" t="s">
        <v>633</v>
      </c>
      <c r="B742" s="11" t="s">
        <v>246</v>
      </c>
      <c r="C742" s="11"/>
      <c r="D742" s="11" t="s">
        <v>32</v>
      </c>
      <c r="E742" s="11"/>
      <c r="F742" s="60" t="s">
        <v>646</v>
      </c>
      <c r="G742" s="44" t="s">
        <v>175</v>
      </c>
      <c r="H742" s="58">
        <v>1</v>
      </c>
      <c r="I742" s="47">
        <v>2000</v>
      </c>
      <c r="J742" s="48">
        <f>H742*I742</f>
        <v>2000</v>
      </c>
      <c r="K742" s="10">
        <v>1</v>
      </c>
    </row>
    <row r="743" spans="1:11" ht="13" x14ac:dyDescent="0.35">
      <c r="A743" s="11" t="s">
        <v>633</v>
      </c>
      <c r="B743" s="11" t="s">
        <v>246</v>
      </c>
      <c r="C743" s="11"/>
      <c r="D743" s="11"/>
      <c r="E743" s="11"/>
      <c r="F743" s="57" t="s">
        <v>265</v>
      </c>
      <c r="G743" s="44"/>
      <c r="H743" s="58"/>
      <c r="I743" s="47"/>
      <c r="J743" s="48"/>
      <c r="K743" s="10">
        <v>1</v>
      </c>
    </row>
    <row r="744" spans="1:11" ht="13" x14ac:dyDescent="0.35">
      <c r="A744" s="11" t="s">
        <v>633</v>
      </c>
      <c r="B744" s="11" t="s">
        <v>246</v>
      </c>
      <c r="C744" s="11"/>
      <c r="D744" s="11"/>
      <c r="E744" s="11"/>
      <c r="F744" s="57" t="s">
        <v>266</v>
      </c>
      <c r="G744" s="44"/>
      <c r="H744" s="58"/>
      <c r="I744" s="47"/>
      <c r="J744" s="48"/>
      <c r="K744" s="10">
        <v>1</v>
      </c>
    </row>
    <row r="745" spans="1:11" ht="75" x14ac:dyDescent="0.35">
      <c r="A745" s="11" t="s">
        <v>633</v>
      </c>
      <c r="B745" s="11" t="s">
        <v>246</v>
      </c>
      <c r="C745" s="11"/>
      <c r="D745" s="11" t="s">
        <v>36</v>
      </c>
      <c r="E745" s="11"/>
      <c r="F745" s="60" t="s">
        <v>267</v>
      </c>
      <c r="G745" s="44" t="s">
        <v>186</v>
      </c>
      <c r="H745" s="58">
        <v>345</v>
      </c>
      <c r="I745" s="47">
        <v>75</v>
      </c>
      <c r="J745" s="48">
        <f>H745*I745</f>
        <v>25875</v>
      </c>
      <c r="K745" s="10">
        <v>1</v>
      </c>
    </row>
    <row r="746" spans="1:11" ht="13" x14ac:dyDescent="0.35">
      <c r="A746" s="11" t="s">
        <v>633</v>
      </c>
      <c r="B746" s="11" t="s">
        <v>246</v>
      </c>
      <c r="C746" s="11"/>
      <c r="D746" s="89"/>
      <c r="E746" s="89"/>
      <c r="F746" s="90" t="s">
        <v>268</v>
      </c>
      <c r="G746" s="91"/>
      <c r="H746" s="92"/>
      <c r="I746" s="94"/>
      <c r="J746" s="95"/>
      <c r="K746" s="10">
        <v>1</v>
      </c>
    </row>
    <row r="747" spans="1:11" ht="25" x14ac:dyDescent="0.35">
      <c r="A747" s="11" t="s">
        <v>633</v>
      </c>
      <c r="B747" s="11" t="s">
        <v>246</v>
      </c>
      <c r="C747" s="11"/>
      <c r="D747" s="89" t="s">
        <v>39</v>
      </c>
      <c r="E747" s="89"/>
      <c r="F747" s="98" t="s">
        <v>647</v>
      </c>
      <c r="G747" s="91" t="s">
        <v>468</v>
      </c>
      <c r="H747" s="92">
        <v>1</v>
      </c>
      <c r="I747" s="94">
        <v>45000</v>
      </c>
      <c r="J747" s="95">
        <f>H747*I747</f>
        <v>45000</v>
      </c>
      <c r="K747" s="10">
        <v>1</v>
      </c>
    </row>
    <row r="748" spans="1:11" ht="13" x14ac:dyDescent="0.35">
      <c r="A748" s="11" t="s">
        <v>633</v>
      </c>
      <c r="B748" s="11" t="s">
        <v>277</v>
      </c>
      <c r="C748" s="11"/>
      <c r="D748" s="11"/>
      <c r="E748" s="11"/>
      <c r="F748" s="43" t="s">
        <v>634</v>
      </c>
      <c r="G748" s="44"/>
      <c r="H748" s="45"/>
      <c r="I748" s="47"/>
      <c r="J748" s="48"/>
      <c r="K748" s="10">
        <v>1</v>
      </c>
    </row>
    <row r="749" spans="1:11" ht="13" x14ac:dyDescent="0.35">
      <c r="A749" s="11" t="s">
        <v>633</v>
      </c>
      <c r="B749" s="11" t="s">
        <v>277</v>
      </c>
      <c r="C749" s="11"/>
      <c r="D749" s="11"/>
      <c r="E749" s="11"/>
      <c r="F749" s="43" t="s">
        <v>635</v>
      </c>
      <c r="G749" s="44"/>
      <c r="H749" s="45"/>
      <c r="I749" s="47"/>
      <c r="J749" s="48"/>
      <c r="K749" s="10">
        <v>1</v>
      </c>
    </row>
    <row r="750" spans="1:11" ht="13" x14ac:dyDescent="0.35">
      <c r="A750" s="11" t="s">
        <v>633</v>
      </c>
      <c r="B750" s="11" t="s">
        <v>277</v>
      </c>
      <c r="C750" s="11"/>
      <c r="D750" s="11"/>
      <c r="E750" s="11"/>
      <c r="F750" s="43" t="s">
        <v>278</v>
      </c>
      <c r="G750" s="44"/>
      <c r="H750" s="45"/>
      <c r="I750" s="47"/>
      <c r="J750" s="48"/>
      <c r="K750" s="10">
        <v>1</v>
      </c>
    </row>
    <row r="751" spans="1:11" ht="13" x14ac:dyDescent="0.35">
      <c r="A751" s="11" t="s">
        <v>633</v>
      </c>
      <c r="B751" s="11" t="s">
        <v>277</v>
      </c>
      <c r="C751" s="11"/>
      <c r="D751" s="11"/>
      <c r="E751" s="11"/>
      <c r="F751" s="43" t="s">
        <v>279</v>
      </c>
      <c r="G751" s="44"/>
      <c r="H751" s="45"/>
      <c r="I751" s="47"/>
      <c r="J751" s="48"/>
      <c r="K751" s="10">
        <v>1</v>
      </c>
    </row>
    <row r="752" spans="1:11" ht="13" x14ac:dyDescent="0.35">
      <c r="A752" s="11" t="s">
        <v>633</v>
      </c>
      <c r="B752" s="11" t="s">
        <v>277</v>
      </c>
      <c r="C752" s="11"/>
      <c r="D752" s="11"/>
      <c r="E752" s="11"/>
      <c r="F752" s="57" t="s">
        <v>100</v>
      </c>
      <c r="G752" s="44"/>
      <c r="H752" s="45"/>
      <c r="I752" s="47"/>
      <c r="J752" s="48"/>
      <c r="K752" s="10">
        <v>1</v>
      </c>
    </row>
    <row r="753" spans="1:11" x14ac:dyDescent="0.35">
      <c r="A753" s="11" t="s">
        <v>633</v>
      </c>
      <c r="B753" s="11" t="s">
        <v>277</v>
      </c>
      <c r="C753" s="11"/>
      <c r="D753" s="11"/>
      <c r="E753" s="11"/>
      <c r="F753" s="60" t="s">
        <v>101</v>
      </c>
      <c r="G753" s="44"/>
      <c r="H753" s="45"/>
      <c r="I753" s="47"/>
      <c r="J753" s="48"/>
      <c r="K753" s="10">
        <v>1</v>
      </c>
    </row>
    <row r="754" spans="1:11" ht="13" x14ac:dyDescent="0.35">
      <c r="A754" s="11" t="s">
        <v>633</v>
      </c>
      <c r="B754" s="11" t="s">
        <v>277</v>
      </c>
      <c r="C754" s="11"/>
      <c r="D754" s="11"/>
      <c r="E754" s="11"/>
      <c r="F754" s="57" t="s">
        <v>102</v>
      </c>
      <c r="G754" s="44"/>
      <c r="H754" s="45"/>
      <c r="I754" s="47"/>
      <c r="J754" s="48"/>
      <c r="K754" s="10">
        <v>1</v>
      </c>
    </row>
    <row r="755" spans="1:11" x14ac:dyDescent="0.35">
      <c r="A755" s="11" t="s">
        <v>633</v>
      </c>
      <c r="B755" s="11" t="s">
        <v>277</v>
      </c>
      <c r="C755" s="11"/>
      <c r="D755" s="11"/>
      <c r="E755" s="11"/>
      <c r="F755" s="62" t="s">
        <v>280</v>
      </c>
      <c r="G755" s="44"/>
      <c r="H755" s="45"/>
      <c r="I755" s="47"/>
      <c r="J755" s="48"/>
      <c r="K755" s="10">
        <v>1</v>
      </c>
    </row>
    <row r="756" spans="1:11" ht="25" x14ac:dyDescent="0.35">
      <c r="A756" s="11" t="s">
        <v>633</v>
      </c>
      <c r="B756" s="11" t="s">
        <v>277</v>
      </c>
      <c r="C756" s="11"/>
      <c r="D756" s="11"/>
      <c r="E756" s="11"/>
      <c r="F756" s="60" t="s">
        <v>281</v>
      </c>
      <c r="G756" s="44"/>
      <c r="H756" s="45"/>
      <c r="I756" s="47"/>
      <c r="J756" s="48"/>
      <c r="K756" s="10">
        <v>1</v>
      </c>
    </row>
    <row r="757" spans="1:11" ht="37.5" x14ac:dyDescent="0.35">
      <c r="A757" s="11" t="s">
        <v>633</v>
      </c>
      <c r="B757" s="11" t="s">
        <v>277</v>
      </c>
      <c r="C757" s="11"/>
      <c r="D757" s="11"/>
      <c r="E757" s="11"/>
      <c r="F757" s="60" t="s">
        <v>282</v>
      </c>
      <c r="G757" s="44"/>
      <c r="H757" s="45"/>
      <c r="I757" s="47"/>
      <c r="J757" s="48"/>
      <c r="K757" s="10">
        <v>1</v>
      </c>
    </row>
    <row r="758" spans="1:11" x14ac:dyDescent="0.35">
      <c r="A758" s="11" t="s">
        <v>633</v>
      </c>
      <c r="B758" s="11" t="s">
        <v>277</v>
      </c>
      <c r="C758" s="11"/>
      <c r="D758" s="11"/>
      <c r="E758" s="11"/>
      <c r="F758" s="62" t="s">
        <v>283</v>
      </c>
      <c r="G758" s="44"/>
      <c r="H758" s="45"/>
      <c r="I758" s="47"/>
      <c r="J758" s="48"/>
      <c r="K758" s="10">
        <v>1</v>
      </c>
    </row>
    <row r="759" spans="1:11" x14ac:dyDescent="0.35">
      <c r="A759" s="11" t="s">
        <v>633</v>
      </c>
      <c r="B759" s="11" t="s">
        <v>277</v>
      </c>
      <c r="C759" s="11"/>
      <c r="D759" s="11"/>
      <c r="E759" s="11"/>
      <c r="F759" s="60" t="s">
        <v>284</v>
      </c>
      <c r="G759" s="44"/>
      <c r="H759" s="45"/>
      <c r="I759" s="47"/>
      <c r="J759" s="48"/>
      <c r="K759" s="10">
        <v>1</v>
      </c>
    </row>
    <row r="760" spans="1:11" ht="62.5" x14ac:dyDescent="0.35">
      <c r="A760" s="11" t="s">
        <v>633</v>
      </c>
      <c r="B760" s="11" t="s">
        <v>277</v>
      </c>
      <c r="C760" s="11"/>
      <c r="D760" s="11"/>
      <c r="E760" s="11"/>
      <c r="F760" s="60" t="s">
        <v>285</v>
      </c>
      <c r="G760" s="44"/>
      <c r="H760" s="45"/>
      <c r="I760" s="47"/>
      <c r="J760" s="48"/>
      <c r="K760" s="10">
        <v>1</v>
      </c>
    </row>
    <row r="761" spans="1:11" x14ac:dyDescent="0.35">
      <c r="A761" s="11" t="s">
        <v>633</v>
      </c>
      <c r="B761" s="11" t="s">
        <v>277</v>
      </c>
      <c r="C761" s="11"/>
      <c r="D761" s="11"/>
      <c r="E761" s="11"/>
      <c r="F761" s="62" t="s">
        <v>286</v>
      </c>
      <c r="G761" s="44"/>
      <c r="H761" s="45"/>
      <c r="I761" s="47"/>
      <c r="J761" s="48"/>
      <c r="K761" s="10">
        <v>1</v>
      </c>
    </row>
    <row r="762" spans="1:11" ht="25" x14ac:dyDescent="0.35">
      <c r="A762" s="11" t="s">
        <v>633</v>
      </c>
      <c r="B762" s="11" t="s">
        <v>277</v>
      </c>
      <c r="C762" s="11"/>
      <c r="D762" s="11"/>
      <c r="E762" s="11"/>
      <c r="F762" s="60" t="s">
        <v>287</v>
      </c>
      <c r="G762" s="44"/>
      <c r="H762" s="45"/>
      <c r="I762" s="47"/>
      <c r="J762" s="48"/>
      <c r="K762" s="10">
        <v>1</v>
      </c>
    </row>
    <row r="763" spans="1:11" ht="13" x14ac:dyDescent="0.35">
      <c r="A763" s="11" t="s">
        <v>633</v>
      </c>
      <c r="B763" s="11" t="s">
        <v>277</v>
      </c>
      <c r="C763" s="11"/>
      <c r="D763" s="11"/>
      <c r="E763" s="11"/>
      <c r="F763" s="57" t="s">
        <v>288</v>
      </c>
      <c r="G763" s="44"/>
      <c r="H763" s="45"/>
      <c r="I763" s="47"/>
      <c r="J763" s="48"/>
      <c r="K763" s="10">
        <v>1</v>
      </c>
    </row>
    <row r="764" spans="1:11" ht="13" x14ac:dyDescent="0.35">
      <c r="A764" s="11" t="s">
        <v>633</v>
      </c>
      <c r="B764" s="11" t="s">
        <v>277</v>
      </c>
      <c r="C764" s="11"/>
      <c r="D764" s="11"/>
      <c r="E764" s="11"/>
      <c r="F764" s="57" t="s">
        <v>289</v>
      </c>
      <c r="G764" s="44"/>
      <c r="H764" s="45"/>
      <c r="I764" s="47"/>
      <c r="J764" s="48"/>
      <c r="K764" s="10">
        <v>1</v>
      </c>
    </row>
    <row r="765" spans="1:11" ht="14.5" x14ac:dyDescent="0.35">
      <c r="A765" s="11" t="s">
        <v>633</v>
      </c>
      <c r="B765" s="11" t="s">
        <v>277</v>
      </c>
      <c r="C765" s="11"/>
      <c r="D765" s="11" t="s">
        <v>20</v>
      </c>
      <c r="E765" s="11"/>
      <c r="F765" s="60" t="s">
        <v>290</v>
      </c>
      <c r="G765" s="44" t="s">
        <v>110</v>
      </c>
      <c r="H765" s="45">
        <v>295</v>
      </c>
      <c r="I765" s="47">
        <v>185</v>
      </c>
      <c r="J765" s="48">
        <f>H765*I765</f>
        <v>54575</v>
      </c>
      <c r="K765" s="10">
        <v>1</v>
      </c>
    </row>
    <row r="766" spans="1:11" x14ac:dyDescent="0.35">
      <c r="A766" s="11" t="s">
        <v>633</v>
      </c>
      <c r="B766" s="11" t="s">
        <v>277</v>
      </c>
      <c r="C766" s="11"/>
      <c r="D766" s="11" t="s">
        <v>26</v>
      </c>
      <c r="E766" s="11"/>
      <c r="F766" s="60" t="s">
        <v>291</v>
      </c>
      <c r="G766" s="44" t="s">
        <v>175</v>
      </c>
      <c r="H766" s="45">
        <v>4</v>
      </c>
      <c r="I766" s="47">
        <v>500</v>
      </c>
      <c r="J766" s="48">
        <f>H766*I766</f>
        <v>2000</v>
      </c>
      <c r="K766" s="10">
        <v>1</v>
      </c>
    </row>
    <row r="767" spans="1:11" ht="13" x14ac:dyDescent="0.35">
      <c r="A767" s="11" t="s">
        <v>633</v>
      </c>
      <c r="B767" s="11" t="s">
        <v>277</v>
      </c>
      <c r="C767" s="11"/>
      <c r="D767" s="89"/>
      <c r="E767" s="89"/>
      <c r="F767" s="90" t="s">
        <v>292</v>
      </c>
      <c r="G767" s="91"/>
      <c r="H767" s="92"/>
      <c r="I767" s="94"/>
      <c r="J767" s="95"/>
      <c r="K767" s="10">
        <v>1</v>
      </c>
    </row>
    <row r="768" spans="1:11" x14ac:dyDescent="0.35">
      <c r="A768" s="11" t="s">
        <v>633</v>
      </c>
      <c r="B768" s="11" t="s">
        <v>277</v>
      </c>
      <c r="C768" s="11"/>
      <c r="D768" s="89" t="s">
        <v>29</v>
      </c>
      <c r="E768" s="89"/>
      <c r="F768" s="108" t="s">
        <v>293</v>
      </c>
      <c r="G768" s="91" t="s">
        <v>186</v>
      </c>
      <c r="H768" s="92">
        <v>345</v>
      </c>
      <c r="I768" s="94">
        <v>75</v>
      </c>
      <c r="J768" s="95">
        <f>H768*I768</f>
        <v>25875</v>
      </c>
      <c r="K768" s="10">
        <v>1</v>
      </c>
    </row>
    <row r="769" spans="1:11" ht="13" x14ac:dyDescent="0.35">
      <c r="A769" s="11" t="s">
        <v>633</v>
      </c>
      <c r="B769" s="11" t="s">
        <v>277</v>
      </c>
      <c r="C769" s="11"/>
      <c r="D769" s="11"/>
      <c r="E769" s="11"/>
      <c r="F769" s="57" t="s">
        <v>294</v>
      </c>
      <c r="G769" s="44"/>
      <c r="H769" s="45"/>
      <c r="I769" s="47"/>
      <c r="J769" s="48"/>
      <c r="K769" s="10">
        <v>1</v>
      </c>
    </row>
    <row r="770" spans="1:11" ht="26" x14ac:dyDescent="0.35">
      <c r="A770" s="11" t="s">
        <v>633</v>
      </c>
      <c r="B770" s="11" t="s">
        <v>277</v>
      </c>
      <c r="C770" s="11"/>
      <c r="D770" s="11"/>
      <c r="E770" s="11"/>
      <c r="F770" s="57" t="s">
        <v>295</v>
      </c>
      <c r="G770" s="44"/>
      <c r="H770" s="45"/>
      <c r="I770" s="47"/>
      <c r="J770" s="48"/>
      <c r="K770" s="10">
        <v>1</v>
      </c>
    </row>
    <row r="771" spans="1:11" ht="14.5" x14ac:dyDescent="0.35">
      <c r="A771" s="11" t="s">
        <v>633</v>
      </c>
      <c r="B771" s="11" t="s">
        <v>277</v>
      </c>
      <c r="C771" s="11"/>
      <c r="D771" s="11" t="s">
        <v>32</v>
      </c>
      <c r="E771" s="11"/>
      <c r="F771" s="60" t="s">
        <v>648</v>
      </c>
      <c r="G771" s="44" t="s">
        <v>110</v>
      </c>
      <c r="H771" s="45">
        <f>H765</f>
        <v>295</v>
      </c>
      <c r="I771" s="47">
        <v>150</v>
      </c>
      <c r="J771" s="48">
        <f>H771*I771</f>
        <v>44250</v>
      </c>
      <c r="K771" s="10">
        <v>1</v>
      </c>
    </row>
    <row r="772" spans="1:11" ht="13" x14ac:dyDescent="0.35">
      <c r="A772" s="11" t="s">
        <v>633</v>
      </c>
      <c r="B772" s="11" t="s">
        <v>297</v>
      </c>
      <c r="C772" s="11"/>
      <c r="D772" s="11"/>
      <c r="E772" s="11"/>
      <c r="F772" s="43" t="s">
        <v>634</v>
      </c>
      <c r="G772" s="44"/>
      <c r="H772" s="45"/>
      <c r="I772" s="47"/>
      <c r="J772" s="48"/>
      <c r="K772" s="10">
        <v>1</v>
      </c>
    </row>
    <row r="773" spans="1:11" ht="13" x14ac:dyDescent="0.35">
      <c r="A773" s="11" t="s">
        <v>633</v>
      </c>
      <c r="B773" s="11" t="s">
        <v>297</v>
      </c>
      <c r="C773" s="11"/>
      <c r="D773" s="11"/>
      <c r="E773" s="11"/>
      <c r="F773" s="43" t="s">
        <v>635</v>
      </c>
      <c r="G773" s="44"/>
      <c r="H773" s="45"/>
      <c r="I773" s="47"/>
      <c r="J773" s="48"/>
      <c r="K773" s="10">
        <v>1</v>
      </c>
    </row>
    <row r="774" spans="1:11" ht="13" x14ac:dyDescent="0.35">
      <c r="A774" s="11" t="s">
        <v>633</v>
      </c>
      <c r="B774" s="11" t="s">
        <v>297</v>
      </c>
      <c r="C774" s="11"/>
      <c r="D774" s="11"/>
      <c r="E774" s="11"/>
      <c r="F774" s="43" t="s">
        <v>298</v>
      </c>
      <c r="G774" s="44"/>
      <c r="H774" s="45"/>
      <c r="I774" s="47"/>
      <c r="J774" s="48"/>
      <c r="K774" s="10">
        <v>1</v>
      </c>
    </row>
    <row r="775" spans="1:11" ht="13" x14ac:dyDescent="0.35">
      <c r="A775" s="11" t="s">
        <v>633</v>
      </c>
      <c r="B775" s="11" t="s">
        <v>297</v>
      </c>
      <c r="C775" s="11"/>
      <c r="D775" s="11"/>
      <c r="E775" s="11"/>
      <c r="F775" s="43" t="s">
        <v>299</v>
      </c>
      <c r="G775" s="44"/>
      <c r="H775" s="45"/>
      <c r="I775" s="47"/>
      <c r="J775" s="48"/>
      <c r="K775" s="10">
        <v>1</v>
      </c>
    </row>
    <row r="776" spans="1:11" ht="13" x14ac:dyDescent="0.35">
      <c r="A776" s="11" t="s">
        <v>633</v>
      </c>
      <c r="B776" s="11" t="s">
        <v>297</v>
      </c>
      <c r="C776" s="11"/>
      <c r="D776" s="11"/>
      <c r="E776" s="11"/>
      <c r="F776" s="57" t="s">
        <v>100</v>
      </c>
      <c r="G776" s="44"/>
      <c r="H776" s="45"/>
      <c r="I776" s="47"/>
      <c r="J776" s="48"/>
      <c r="K776" s="10">
        <v>1</v>
      </c>
    </row>
    <row r="777" spans="1:11" x14ac:dyDescent="0.35">
      <c r="A777" s="11" t="s">
        <v>633</v>
      </c>
      <c r="B777" s="11" t="s">
        <v>297</v>
      </c>
      <c r="C777" s="11"/>
      <c r="D777" s="11"/>
      <c r="E777" s="11"/>
      <c r="F777" s="60" t="s">
        <v>101</v>
      </c>
      <c r="G777" s="44"/>
      <c r="H777" s="45"/>
      <c r="I777" s="47"/>
      <c r="J777" s="48"/>
      <c r="K777" s="10">
        <v>1</v>
      </c>
    </row>
    <row r="778" spans="1:11" ht="13" x14ac:dyDescent="0.35">
      <c r="A778" s="11" t="s">
        <v>633</v>
      </c>
      <c r="B778" s="11" t="s">
        <v>297</v>
      </c>
      <c r="C778" s="11"/>
      <c r="D778" s="11"/>
      <c r="E778" s="11"/>
      <c r="F778" s="57" t="s">
        <v>102</v>
      </c>
      <c r="G778" s="44"/>
      <c r="H778" s="45"/>
      <c r="I778" s="47"/>
      <c r="J778" s="48"/>
      <c r="K778" s="10">
        <v>1</v>
      </c>
    </row>
    <row r="779" spans="1:11" ht="50" x14ac:dyDescent="0.35">
      <c r="A779" s="11" t="s">
        <v>633</v>
      </c>
      <c r="B779" s="11" t="s">
        <v>297</v>
      </c>
      <c r="C779" s="11"/>
      <c r="D779" s="11"/>
      <c r="E779" s="11"/>
      <c r="F779" s="60" t="s">
        <v>300</v>
      </c>
      <c r="G779" s="44"/>
      <c r="H779" s="45"/>
      <c r="I779" s="47"/>
      <c r="J779" s="48"/>
      <c r="K779" s="10">
        <v>1</v>
      </c>
    </row>
    <row r="780" spans="1:11" ht="13" x14ac:dyDescent="0.35">
      <c r="A780" s="11" t="s">
        <v>633</v>
      </c>
      <c r="B780" s="11" t="s">
        <v>297</v>
      </c>
      <c r="C780" s="11"/>
      <c r="D780" s="11"/>
      <c r="E780" s="11"/>
      <c r="F780" s="57" t="s">
        <v>301</v>
      </c>
      <c r="G780" s="44"/>
      <c r="H780" s="45"/>
      <c r="I780" s="47"/>
      <c r="J780" s="48"/>
      <c r="K780" s="10">
        <v>1</v>
      </c>
    </row>
    <row r="781" spans="1:11" ht="26" x14ac:dyDescent="0.35">
      <c r="A781" s="11" t="s">
        <v>633</v>
      </c>
      <c r="B781" s="11" t="s">
        <v>297</v>
      </c>
      <c r="C781" s="11"/>
      <c r="D781" s="11"/>
      <c r="E781" s="11"/>
      <c r="F781" s="109" t="s">
        <v>302</v>
      </c>
      <c r="G781" s="44"/>
      <c r="H781" s="45"/>
      <c r="I781" s="47"/>
      <c r="J781" s="48"/>
      <c r="K781" s="10">
        <v>1</v>
      </c>
    </row>
    <row r="782" spans="1:11" ht="14.5" x14ac:dyDescent="0.35">
      <c r="A782" s="11" t="s">
        <v>633</v>
      </c>
      <c r="B782" s="11" t="s">
        <v>297</v>
      </c>
      <c r="C782" s="11"/>
      <c r="D782" s="11" t="s">
        <v>20</v>
      </c>
      <c r="E782" s="11"/>
      <c r="F782" s="67" t="s">
        <v>303</v>
      </c>
      <c r="G782" s="110" t="s">
        <v>110</v>
      </c>
      <c r="H782" s="45">
        <v>290</v>
      </c>
      <c r="I782" s="47">
        <v>400</v>
      </c>
      <c r="J782" s="48">
        <f>H782*I782</f>
        <v>116000</v>
      </c>
      <c r="K782" s="10">
        <v>1</v>
      </c>
    </row>
    <row r="783" spans="1:11" ht="13" x14ac:dyDescent="0.35">
      <c r="A783" s="11" t="s">
        <v>633</v>
      </c>
      <c r="B783" s="11" t="s">
        <v>297</v>
      </c>
      <c r="C783" s="11"/>
      <c r="D783" s="11"/>
      <c r="E783" s="11"/>
      <c r="F783" s="57" t="s">
        <v>304</v>
      </c>
      <c r="G783" s="110"/>
      <c r="H783" s="45"/>
      <c r="I783" s="47"/>
      <c r="J783" s="48"/>
      <c r="K783" s="10">
        <v>1</v>
      </c>
    </row>
    <row r="784" spans="1:11" ht="14.5" x14ac:dyDescent="0.25">
      <c r="A784" s="11" t="s">
        <v>633</v>
      </c>
      <c r="B784" s="11" t="s">
        <v>297</v>
      </c>
      <c r="C784" s="11"/>
      <c r="D784" s="11" t="s">
        <v>26</v>
      </c>
      <c r="E784" s="11"/>
      <c r="F784" s="111" t="s">
        <v>305</v>
      </c>
      <c r="G784" s="110" t="s">
        <v>110</v>
      </c>
      <c r="H784" s="45">
        <f>H782</f>
        <v>290</v>
      </c>
      <c r="I784" s="47">
        <v>30</v>
      </c>
      <c r="J784" s="48">
        <f>H784*I784</f>
        <v>8700</v>
      </c>
      <c r="K784" s="10">
        <v>1</v>
      </c>
    </row>
    <row r="785" spans="1:11" ht="13" x14ac:dyDescent="0.35">
      <c r="A785" s="11" t="s">
        <v>633</v>
      </c>
      <c r="B785" s="11" t="s">
        <v>306</v>
      </c>
      <c r="C785" s="11"/>
      <c r="D785" s="11"/>
      <c r="E785" s="11"/>
      <c r="F785" s="43" t="s">
        <v>634</v>
      </c>
      <c r="G785" s="44"/>
      <c r="H785" s="45"/>
      <c r="I785" s="47"/>
      <c r="J785" s="48"/>
      <c r="K785" s="10">
        <v>1</v>
      </c>
    </row>
    <row r="786" spans="1:11" ht="13" x14ac:dyDescent="0.35">
      <c r="A786" s="11" t="s">
        <v>633</v>
      </c>
      <c r="B786" s="11" t="s">
        <v>306</v>
      </c>
      <c r="C786" s="11"/>
      <c r="D786" s="11"/>
      <c r="E786" s="11"/>
      <c r="F786" s="43" t="s">
        <v>635</v>
      </c>
      <c r="G786" s="44"/>
      <c r="H786" s="45"/>
      <c r="I786" s="47"/>
      <c r="J786" s="48"/>
      <c r="K786" s="10">
        <v>1</v>
      </c>
    </row>
    <row r="787" spans="1:11" ht="13" x14ac:dyDescent="0.35">
      <c r="A787" s="11" t="s">
        <v>633</v>
      </c>
      <c r="B787" s="11" t="s">
        <v>306</v>
      </c>
      <c r="C787" s="11"/>
      <c r="D787" s="11"/>
      <c r="E787" s="11"/>
      <c r="F787" s="43" t="s">
        <v>307</v>
      </c>
      <c r="G787" s="44"/>
      <c r="H787" s="45"/>
      <c r="I787" s="47"/>
      <c r="J787" s="48"/>
      <c r="K787" s="10">
        <v>1</v>
      </c>
    </row>
    <row r="788" spans="1:11" ht="13" x14ac:dyDescent="0.35">
      <c r="A788" s="11" t="s">
        <v>633</v>
      </c>
      <c r="B788" s="11" t="s">
        <v>306</v>
      </c>
      <c r="C788" s="11"/>
      <c r="D788" s="89"/>
      <c r="E788" s="89"/>
      <c r="F788" s="100" t="s">
        <v>308</v>
      </c>
      <c r="G788" s="91"/>
      <c r="H788" s="92"/>
      <c r="I788" s="94"/>
      <c r="J788" s="95"/>
      <c r="K788" s="10">
        <v>1</v>
      </c>
    </row>
    <row r="789" spans="1:11" ht="13" x14ac:dyDescent="0.35">
      <c r="A789" s="11" t="s">
        <v>633</v>
      </c>
      <c r="B789" s="11" t="s">
        <v>306</v>
      </c>
      <c r="C789" s="11"/>
      <c r="D789" s="89"/>
      <c r="E789" s="89"/>
      <c r="F789" s="90" t="s">
        <v>100</v>
      </c>
      <c r="G789" s="91"/>
      <c r="H789" s="92"/>
      <c r="I789" s="94"/>
      <c r="J789" s="95"/>
      <c r="K789" s="10">
        <v>1</v>
      </c>
    </row>
    <row r="790" spans="1:11" x14ac:dyDescent="0.35">
      <c r="A790" s="11" t="s">
        <v>633</v>
      </c>
      <c r="B790" s="11" t="s">
        <v>306</v>
      </c>
      <c r="C790" s="11"/>
      <c r="D790" s="89"/>
      <c r="E790" s="89"/>
      <c r="F790" s="108" t="s">
        <v>101</v>
      </c>
      <c r="G790" s="91"/>
      <c r="H790" s="92"/>
      <c r="I790" s="94"/>
      <c r="J790" s="95"/>
      <c r="K790" s="10">
        <v>1</v>
      </c>
    </row>
    <row r="791" spans="1:11" ht="13" x14ac:dyDescent="0.35">
      <c r="A791" s="11" t="s">
        <v>633</v>
      </c>
      <c r="B791" s="11" t="s">
        <v>306</v>
      </c>
      <c r="C791" s="11"/>
      <c r="D791" s="89"/>
      <c r="E791" s="89"/>
      <c r="F791" s="100" t="s">
        <v>309</v>
      </c>
      <c r="G791" s="91"/>
      <c r="H791" s="92"/>
      <c r="I791" s="94"/>
      <c r="J791" s="95"/>
      <c r="K791" s="10">
        <v>1</v>
      </c>
    </row>
    <row r="792" spans="1:11" x14ac:dyDescent="0.35">
      <c r="A792" s="11" t="s">
        <v>633</v>
      </c>
      <c r="B792" s="11" t="s">
        <v>306</v>
      </c>
      <c r="C792" s="11"/>
      <c r="D792" s="89" t="s">
        <v>20</v>
      </c>
      <c r="E792" s="89"/>
      <c r="F792" s="108" t="s">
        <v>310</v>
      </c>
      <c r="G792" s="91" t="s">
        <v>175</v>
      </c>
      <c r="H792" s="92">
        <f>8+26+2</f>
        <v>36</v>
      </c>
      <c r="I792" s="94">
        <v>200</v>
      </c>
      <c r="J792" s="95">
        <f>H792*I792</f>
        <v>7200</v>
      </c>
      <c r="K792" s="10">
        <v>1</v>
      </c>
    </row>
    <row r="793" spans="1:11" x14ac:dyDescent="0.35">
      <c r="A793" s="11" t="s">
        <v>633</v>
      </c>
      <c r="B793" s="11" t="s">
        <v>306</v>
      </c>
      <c r="C793" s="11"/>
      <c r="D793" s="89" t="s">
        <v>26</v>
      </c>
      <c r="E793" s="89"/>
      <c r="F793" s="108" t="s">
        <v>311</v>
      </c>
      <c r="G793" s="91" t="s">
        <v>175</v>
      </c>
      <c r="H793" s="92">
        <v>36</v>
      </c>
      <c r="I793" s="94">
        <v>200</v>
      </c>
      <c r="J793" s="95">
        <f>H793*I793</f>
        <v>7200</v>
      </c>
      <c r="K793" s="10">
        <v>1</v>
      </c>
    </row>
    <row r="794" spans="1:11" ht="13" x14ac:dyDescent="0.35">
      <c r="A794" s="11" t="s">
        <v>633</v>
      </c>
      <c r="B794" s="11" t="s">
        <v>306</v>
      </c>
      <c r="C794" s="11"/>
      <c r="D794" s="89"/>
      <c r="E794" s="89"/>
      <c r="F794" s="90" t="s">
        <v>312</v>
      </c>
      <c r="G794" s="91"/>
      <c r="H794" s="92"/>
      <c r="I794" s="94"/>
      <c r="J794" s="95"/>
      <c r="K794" s="10">
        <v>1</v>
      </c>
    </row>
    <row r="795" spans="1:11" x14ac:dyDescent="0.35">
      <c r="A795" s="11" t="s">
        <v>633</v>
      </c>
      <c r="B795" s="11" t="s">
        <v>306</v>
      </c>
      <c r="C795" s="11"/>
      <c r="D795" s="89" t="s">
        <v>29</v>
      </c>
      <c r="E795" s="89"/>
      <c r="F795" s="98" t="s">
        <v>313</v>
      </c>
      <c r="G795" s="112" t="s">
        <v>175</v>
      </c>
      <c r="H795" s="45">
        <v>18</v>
      </c>
      <c r="I795" s="94">
        <v>500</v>
      </c>
      <c r="J795" s="95">
        <f>H795*I795</f>
        <v>9000</v>
      </c>
      <c r="K795" s="10">
        <v>1</v>
      </c>
    </row>
    <row r="796" spans="1:11" x14ac:dyDescent="0.35">
      <c r="A796" s="11" t="s">
        <v>633</v>
      </c>
      <c r="B796" s="11" t="s">
        <v>306</v>
      </c>
      <c r="C796" s="11"/>
      <c r="D796" s="89" t="s">
        <v>32</v>
      </c>
      <c r="E796" s="89"/>
      <c r="F796" s="108" t="s">
        <v>314</v>
      </c>
      <c r="G796" s="112" t="s">
        <v>175</v>
      </c>
      <c r="H796" s="45">
        <v>18</v>
      </c>
      <c r="I796" s="94">
        <v>500</v>
      </c>
      <c r="J796" s="95">
        <f>H796*I796</f>
        <v>9000</v>
      </c>
      <c r="K796" s="10">
        <v>1</v>
      </c>
    </row>
    <row r="797" spans="1:11" x14ac:dyDescent="0.35">
      <c r="A797" s="11" t="s">
        <v>633</v>
      </c>
      <c r="B797" s="11" t="s">
        <v>306</v>
      </c>
      <c r="C797" s="11"/>
      <c r="D797" s="89" t="s">
        <v>36</v>
      </c>
      <c r="E797" s="89"/>
      <c r="F797" s="108" t="s">
        <v>649</v>
      </c>
      <c r="G797" s="112" t="s">
        <v>175</v>
      </c>
      <c r="H797" s="45">
        <v>16</v>
      </c>
      <c r="I797" s="94">
        <v>500</v>
      </c>
      <c r="J797" s="95">
        <f>H797*I797</f>
        <v>8000</v>
      </c>
      <c r="K797" s="10">
        <v>1</v>
      </c>
    </row>
    <row r="798" spans="1:11" ht="13" x14ac:dyDescent="0.35">
      <c r="A798" s="11" t="s">
        <v>633</v>
      </c>
      <c r="B798" s="11" t="s">
        <v>306</v>
      </c>
      <c r="C798" s="11"/>
      <c r="D798" s="89"/>
      <c r="E798" s="89"/>
      <c r="F798" s="90" t="s">
        <v>316</v>
      </c>
      <c r="G798" s="112"/>
      <c r="H798" s="45"/>
      <c r="I798" s="94"/>
      <c r="J798" s="95"/>
      <c r="K798" s="10">
        <v>1</v>
      </c>
    </row>
    <row r="799" spans="1:11" x14ac:dyDescent="0.35">
      <c r="A799" s="11" t="s">
        <v>633</v>
      </c>
      <c r="B799" s="11" t="s">
        <v>306</v>
      </c>
      <c r="C799" s="11"/>
      <c r="D799" s="89" t="s">
        <v>39</v>
      </c>
      <c r="E799" s="89"/>
      <c r="F799" s="108" t="s">
        <v>317</v>
      </c>
      <c r="G799" s="112" t="s">
        <v>175</v>
      </c>
      <c r="H799" s="45">
        <v>18</v>
      </c>
      <c r="I799" s="94">
        <v>850</v>
      </c>
      <c r="J799" s="95">
        <f>H799*I799</f>
        <v>15300</v>
      </c>
      <c r="K799" s="10">
        <v>1</v>
      </c>
    </row>
    <row r="800" spans="1:11" x14ac:dyDescent="0.35">
      <c r="A800" s="11" t="s">
        <v>633</v>
      </c>
      <c r="B800" s="11" t="s">
        <v>306</v>
      </c>
      <c r="C800" s="11"/>
      <c r="D800" s="89" t="s">
        <v>42</v>
      </c>
      <c r="E800" s="89"/>
      <c r="F800" s="108" t="s">
        <v>318</v>
      </c>
      <c r="G800" s="112" t="s">
        <v>175</v>
      </c>
      <c r="H800" s="45">
        <v>18</v>
      </c>
      <c r="I800" s="94">
        <v>850</v>
      </c>
      <c r="J800" s="95">
        <f>H800*I800</f>
        <v>15300</v>
      </c>
      <c r="K800" s="10">
        <v>1</v>
      </c>
    </row>
    <row r="801" spans="1:11" ht="13" x14ac:dyDescent="0.35">
      <c r="A801" s="11" t="s">
        <v>633</v>
      </c>
      <c r="B801" s="11" t="s">
        <v>306</v>
      </c>
      <c r="C801" s="11"/>
      <c r="D801" s="89"/>
      <c r="E801" s="89"/>
      <c r="F801" s="90" t="s">
        <v>650</v>
      </c>
      <c r="G801" s="112"/>
      <c r="H801" s="45"/>
      <c r="I801" s="94"/>
      <c r="J801" s="95"/>
      <c r="K801" s="10">
        <v>1</v>
      </c>
    </row>
    <row r="802" spans="1:11" ht="25" x14ac:dyDescent="0.35">
      <c r="A802" s="11" t="s">
        <v>633</v>
      </c>
      <c r="B802" s="11" t="s">
        <v>306</v>
      </c>
      <c r="C802" s="11"/>
      <c r="D802" s="89" t="s">
        <v>45</v>
      </c>
      <c r="E802" s="89"/>
      <c r="F802" s="108" t="s">
        <v>651</v>
      </c>
      <c r="G802" s="112" t="s">
        <v>175</v>
      </c>
      <c r="H802" s="45">
        <v>8</v>
      </c>
      <c r="I802" s="94">
        <v>4500</v>
      </c>
      <c r="J802" s="95">
        <f>H802*I802</f>
        <v>36000</v>
      </c>
      <c r="K802" s="10">
        <v>1</v>
      </c>
    </row>
    <row r="803" spans="1:11" ht="13" x14ac:dyDescent="0.35">
      <c r="A803" s="11" t="s">
        <v>633</v>
      </c>
      <c r="B803" s="11" t="s">
        <v>306</v>
      </c>
      <c r="C803" s="11"/>
      <c r="D803" s="89"/>
      <c r="E803" s="89"/>
      <c r="F803" s="90" t="s">
        <v>319</v>
      </c>
      <c r="G803" s="112"/>
      <c r="H803" s="45"/>
      <c r="I803" s="94"/>
      <c r="J803" s="95"/>
      <c r="K803" s="10">
        <v>1</v>
      </c>
    </row>
    <row r="804" spans="1:11" x14ac:dyDescent="0.35">
      <c r="A804" s="11" t="s">
        <v>633</v>
      </c>
      <c r="B804" s="11" t="s">
        <v>306</v>
      </c>
      <c r="C804" s="11"/>
      <c r="D804" s="89" t="s">
        <v>48</v>
      </c>
      <c r="E804" s="89"/>
      <c r="F804" s="108" t="s">
        <v>320</v>
      </c>
      <c r="G804" s="112" t="s">
        <v>175</v>
      </c>
      <c r="H804" s="45">
        <v>18</v>
      </c>
      <c r="I804" s="94">
        <v>100</v>
      </c>
      <c r="J804" s="95">
        <f>H804*I804</f>
        <v>1800</v>
      </c>
      <c r="K804" s="10">
        <v>1</v>
      </c>
    </row>
    <row r="805" spans="1:11" ht="13" x14ac:dyDescent="0.3">
      <c r="A805" s="11" t="s">
        <v>633</v>
      </c>
      <c r="B805" s="11" t="s">
        <v>306</v>
      </c>
      <c r="C805" s="11"/>
      <c r="D805" s="89"/>
      <c r="E805" s="89"/>
      <c r="F805" s="97" t="s">
        <v>327</v>
      </c>
      <c r="G805" s="112"/>
      <c r="H805" s="45"/>
      <c r="I805" s="94"/>
      <c r="J805" s="95"/>
      <c r="K805" s="10">
        <v>1</v>
      </c>
    </row>
    <row r="806" spans="1:11" ht="25" x14ac:dyDescent="0.25">
      <c r="A806" s="11" t="s">
        <v>633</v>
      </c>
      <c r="B806" s="11" t="s">
        <v>306</v>
      </c>
      <c r="C806" s="11"/>
      <c r="D806" s="89"/>
      <c r="E806" s="89"/>
      <c r="F806" s="113" t="s">
        <v>328</v>
      </c>
      <c r="G806" s="112"/>
      <c r="H806" s="45"/>
      <c r="I806" s="94"/>
      <c r="J806" s="95"/>
      <c r="K806" s="10">
        <v>1</v>
      </c>
    </row>
    <row r="807" spans="1:11" x14ac:dyDescent="0.25">
      <c r="A807" s="11" t="s">
        <v>633</v>
      </c>
      <c r="B807" s="11" t="s">
        <v>306</v>
      </c>
      <c r="C807" s="11"/>
      <c r="D807" s="89" t="s">
        <v>51</v>
      </c>
      <c r="E807" s="89"/>
      <c r="F807" s="113" t="s">
        <v>329</v>
      </c>
      <c r="G807" s="112" t="s">
        <v>175</v>
      </c>
      <c r="H807" s="45">
        <v>0</v>
      </c>
      <c r="I807" s="94">
        <v>8500</v>
      </c>
      <c r="J807" s="95">
        <f>H807*I807</f>
        <v>0</v>
      </c>
      <c r="K807" s="10">
        <v>1</v>
      </c>
    </row>
    <row r="808" spans="1:11" ht="26" x14ac:dyDescent="0.35">
      <c r="A808" s="11" t="s">
        <v>633</v>
      </c>
      <c r="B808" s="11" t="s">
        <v>306</v>
      </c>
      <c r="C808" s="11"/>
      <c r="D808" s="89"/>
      <c r="E808" s="89"/>
      <c r="F808" s="90" t="s">
        <v>652</v>
      </c>
      <c r="G808" s="112"/>
      <c r="H808" s="45"/>
      <c r="I808" s="94"/>
      <c r="J808" s="95"/>
      <c r="K808" s="10">
        <v>1</v>
      </c>
    </row>
    <row r="809" spans="1:11" x14ac:dyDescent="0.35">
      <c r="A809" s="11" t="s">
        <v>633</v>
      </c>
      <c r="B809" s="11" t="s">
        <v>306</v>
      </c>
      <c r="C809" s="11"/>
      <c r="D809" s="89"/>
      <c r="E809" s="89"/>
      <c r="F809" s="191" t="s">
        <v>653</v>
      </c>
      <c r="G809" s="112"/>
      <c r="H809" s="45"/>
      <c r="I809" s="94"/>
      <c r="J809" s="95"/>
      <c r="K809" s="10">
        <v>1</v>
      </c>
    </row>
    <row r="810" spans="1:11" x14ac:dyDescent="0.35">
      <c r="A810" s="11" t="s">
        <v>633</v>
      </c>
      <c r="B810" s="11" t="s">
        <v>306</v>
      </c>
      <c r="C810" s="11"/>
      <c r="D810" s="89" t="s">
        <v>53</v>
      </c>
      <c r="E810" s="89"/>
      <c r="F810" s="108" t="s">
        <v>654</v>
      </c>
      <c r="G810" s="112" t="s">
        <v>175</v>
      </c>
      <c r="H810" s="45">
        <v>6</v>
      </c>
      <c r="I810" s="94">
        <v>4590</v>
      </c>
      <c r="J810" s="95">
        <f>H810*I810</f>
        <v>27540</v>
      </c>
      <c r="K810" s="10">
        <v>1</v>
      </c>
    </row>
    <row r="811" spans="1:11" ht="13" x14ac:dyDescent="0.35">
      <c r="A811" s="11" t="s">
        <v>633</v>
      </c>
      <c r="B811" s="11" t="s">
        <v>330</v>
      </c>
      <c r="C811" s="11"/>
      <c r="D811" s="99"/>
      <c r="E811" s="114"/>
      <c r="F811" s="43" t="s">
        <v>634</v>
      </c>
      <c r="G811" s="44"/>
      <c r="H811" s="116"/>
      <c r="I811" s="47"/>
      <c r="J811" s="48"/>
      <c r="K811" s="10">
        <v>1</v>
      </c>
    </row>
    <row r="812" spans="1:11" ht="13" x14ac:dyDescent="0.35">
      <c r="A812" s="11" t="s">
        <v>633</v>
      </c>
      <c r="B812" s="11" t="s">
        <v>330</v>
      </c>
      <c r="C812" s="11"/>
      <c r="D812" s="99"/>
      <c r="E812" s="114"/>
      <c r="F812" s="43" t="s">
        <v>635</v>
      </c>
      <c r="G812" s="44"/>
      <c r="H812" s="116"/>
      <c r="I812" s="47"/>
      <c r="J812" s="48"/>
      <c r="K812" s="10">
        <v>1</v>
      </c>
    </row>
    <row r="813" spans="1:11" ht="13" x14ac:dyDescent="0.35">
      <c r="A813" s="11" t="s">
        <v>633</v>
      </c>
      <c r="B813" s="11" t="s">
        <v>330</v>
      </c>
      <c r="C813" s="11"/>
      <c r="D813" s="99"/>
      <c r="E813" s="114"/>
      <c r="F813" s="100" t="s">
        <v>331</v>
      </c>
      <c r="G813" s="44"/>
      <c r="H813" s="116"/>
      <c r="I813" s="47"/>
      <c r="J813" s="48"/>
      <c r="K813" s="10">
        <v>1</v>
      </c>
    </row>
    <row r="814" spans="1:11" ht="13" x14ac:dyDescent="0.35">
      <c r="A814" s="11" t="s">
        <v>633</v>
      </c>
      <c r="B814" s="11" t="s">
        <v>330</v>
      </c>
      <c r="C814" s="11"/>
      <c r="D814" s="99"/>
      <c r="E814" s="114"/>
      <c r="F814" s="43" t="s">
        <v>332</v>
      </c>
      <c r="G814" s="44"/>
      <c r="H814" s="116"/>
      <c r="I814" s="47"/>
      <c r="J814" s="48"/>
      <c r="K814" s="10">
        <v>1</v>
      </c>
    </row>
    <row r="815" spans="1:11" ht="13" x14ac:dyDescent="0.35">
      <c r="A815" s="11" t="s">
        <v>633</v>
      </c>
      <c r="B815" s="11" t="s">
        <v>330</v>
      </c>
      <c r="C815" s="11"/>
      <c r="D815" s="99"/>
      <c r="E815" s="114"/>
      <c r="F815" s="57" t="s">
        <v>100</v>
      </c>
      <c r="G815" s="44"/>
      <c r="H815" s="116"/>
      <c r="I815" s="47"/>
      <c r="J815" s="48"/>
      <c r="K815" s="10">
        <v>1</v>
      </c>
    </row>
    <row r="816" spans="1:11" ht="13" x14ac:dyDescent="0.35">
      <c r="A816" s="11" t="s">
        <v>633</v>
      </c>
      <c r="B816" s="11" t="s">
        <v>330</v>
      </c>
      <c r="C816" s="11"/>
      <c r="D816" s="99"/>
      <c r="E816" s="114"/>
      <c r="F816" s="60" t="s">
        <v>101</v>
      </c>
      <c r="G816" s="44"/>
      <c r="H816" s="116"/>
      <c r="I816" s="47"/>
      <c r="J816" s="48"/>
      <c r="K816" s="10">
        <v>1</v>
      </c>
    </row>
    <row r="817" spans="1:11" ht="13" x14ac:dyDescent="0.35">
      <c r="A817" s="11" t="s">
        <v>633</v>
      </c>
      <c r="B817" s="11" t="s">
        <v>330</v>
      </c>
      <c r="C817" s="11"/>
      <c r="D817" s="99"/>
      <c r="E817" s="114"/>
      <c r="F817" s="57" t="s">
        <v>333</v>
      </c>
      <c r="G817" s="44"/>
      <c r="H817" s="116"/>
      <c r="I817" s="47"/>
      <c r="J817" s="48"/>
      <c r="K817" s="10">
        <v>1</v>
      </c>
    </row>
    <row r="818" spans="1:11" ht="25" x14ac:dyDescent="0.35">
      <c r="A818" s="11" t="s">
        <v>633</v>
      </c>
      <c r="B818" s="11" t="s">
        <v>330</v>
      </c>
      <c r="C818" s="11"/>
      <c r="D818" s="99"/>
      <c r="E818" s="114"/>
      <c r="F818" s="60" t="s">
        <v>334</v>
      </c>
      <c r="G818" s="44"/>
      <c r="H818" s="117"/>
      <c r="I818" s="47"/>
      <c r="J818" s="48"/>
      <c r="K818" s="10">
        <v>1</v>
      </c>
    </row>
    <row r="819" spans="1:11" ht="13" x14ac:dyDescent="0.35">
      <c r="A819" s="11" t="s">
        <v>633</v>
      </c>
      <c r="B819" s="11" t="s">
        <v>330</v>
      </c>
      <c r="C819" s="11"/>
      <c r="D819" s="99"/>
      <c r="E819" s="114"/>
      <c r="F819" s="62" t="s">
        <v>335</v>
      </c>
      <c r="G819" s="44"/>
      <c r="H819" s="116"/>
      <c r="I819" s="47"/>
      <c r="J819" s="48"/>
      <c r="K819" s="10">
        <v>1</v>
      </c>
    </row>
    <row r="820" spans="1:11" ht="37.5" x14ac:dyDescent="0.35">
      <c r="A820" s="11" t="s">
        <v>633</v>
      </c>
      <c r="B820" s="11" t="s">
        <v>330</v>
      </c>
      <c r="C820" s="11"/>
      <c r="D820" s="99"/>
      <c r="E820" s="114"/>
      <c r="F820" s="62" t="s">
        <v>336</v>
      </c>
      <c r="G820" s="44"/>
      <c r="H820" s="116"/>
      <c r="I820" s="47"/>
      <c r="J820" s="48"/>
      <c r="K820" s="10">
        <v>1</v>
      </c>
    </row>
    <row r="821" spans="1:11" ht="13" x14ac:dyDescent="0.35">
      <c r="A821" s="11" t="s">
        <v>633</v>
      </c>
      <c r="B821" s="11" t="s">
        <v>330</v>
      </c>
      <c r="C821" s="11"/>
      <c r="D821" s="99"/>
      <c r="E821" s="114"/>
      <c r="F821" s="57" t="s">
        <v>337</v>
      </c>
      <c r="G821" s="44"/>
      <c r="H821" s="119"/>
      <c r="I821" s="121"/>
      <c r="J821" s="48"/>
      <c r="K821" s="10">
        <v>1</v>
      </c>
    </row>
    <row r="822" spans="1:11" ht="37.5" x14ac:dyDescent="0.35">
      <c r="A822" s="11" t="s">
        <v>633</v>
      </c>
      <c r="B822" s="11" t="s">
        <v>330</v>
      </c>
      <c r="C822" s="11"/>
      <c r="D822" s="99" t="s">
        <v>20</v>
      </c>
      <c r="E822" s="114"/>
      <c r="F822" s="60" t="s">
        <v>655</v>
      </c>
      <c r="G822" s="44" t="s">
        <v>110</v>
      </c>
      <c r="H822" s="122">
        <v>295</v>
      </c>
      <c r="I822" s="121">
        <v>665</v>
      </c>
      <c r="J822" s="48">
        <f>H822*I822</f>
        <v>196175</v>
      </c>
      <c r="K822" s="10">
        <v>1</v>
      </c>
    </row>
    <row r="823" spans="1:11" s="123" customFormat="1" ht="13" x14ac:dyDescent="0.35">
      <c r="A823" s="11" t="s">
        <v>633</v>
      </c>
      <c r="B823" s="11" t="s">
        <v>339</v>
      </c>
      <c r="C823" s="11"/>
      <c r="D823" s="89"/>
      <c r="E823" s="89"/>
      <c r="F823" s="43" t="s">
        <v>634</v>
      </c>
      <c r="G823" s="91"/>
      <c r="H823" s="92"/>
      <c r="I823" s="94"/>
      <c r="J823" s="105"/>
      <c r="K823" s="10">
        <v>1</v>
      </c>
    </row>
    <row r="824" spans="1:11" ht="13" x14ac:dyDescent="0.35">
      <c r="A824" s="11" t="s">
        <v>633</v>
      </c>
      <c r="B824" s="11" t="s">
        <v>339</v>
      </c>
      <c r="C824" s="11"/>
      <c r="D824" s="89"/>
      <c r="E824" s="89"/>
      <c r="F824" s="43" t="s">
        <v>635</v>
      </c>
      <c r="G824" s="91"/>
      <c r="H824" s="92"/>
      <c r="I824" s="94"/>
      <c r="J824" s="95"/>
      <c r="K824" s="10">
        <v>1</v>
      </c>
    </row>
    <row r="825" spans="1:11" ht="13" x14ac:dyDescent="0.35">
      <c r="A825" s="11" t="s">
        <v>633</v>
      </c>
      <c r="B825" s="11" t="s">
        <v>339</v>
      </c>
      <c r="C825" s="11"/>
      <c r="D825" s="89"/>
      <c r="E825" s="89"/>
      <c r="F825" s="100" t="s">
        <v>340</v>
      </c>
      <c r="G825" s="91"/>
      <c r="H825" s="92"/>
      <c r="I825" s="94"/>
      <c r="J825" s="95"/>
      <c r="K825" s="10">
        <v>1</v>
      </c>
    </row>
    <row r="826" spans="1:11" ht="13" x14ac:dyDescent="0.35">
      <c r="A826" s="11" t="s">
        <v>633</v>
      </c>
      <c r="B826" s="11" t="s">
        <v>339</v>
      </c>
      <c r="C826" s="11"/>
      <c r="D826" s="89"/>
      <c r="E826" s="89"/>
      <c r="F826" s="100" t="s">
        <v>341</v>
      </c>
      <c r="G826" s="91"/>
      <c r="H826" s="92"/>
      <c r="I826" s="94"/>
      <c r="J826" s="95"/>
      <c r="K826" s="10">
        <v>1</v>
      </c>
    </row>
    <row r="827" spans="1:11" ht="13" x14ac:dyDescent="0.35">
      <c r="A827" s="11" t="s">
        <v>633</v>
      </c>
      <c r="B827" s="11" t="s">
        <v>339</v>
      </c>
      <c r="C827" s="11"/>
      <c r="D827" s="89"/>
      <c r="E827" s="89"/>
      <c r="F827" s="90" t="s">
        <v>100</v>
      </c>
      <c r="G827" s="91"/>
      <c r="H827" s="92"/>
      <c r="I827" s="94"/>
      <c r="J827" s="95"/>
      <c r="K827" s="10">
        <v>1</v>
      </c>
    </row>
    <row r="828" spans="1:11" x14ac:dyDescent="0.35">
      <c r="A828" s="11" t="s">
        <v>633</v>
      </c>
      <c r="B828" s="11" t="s">
        <v>339</v>
      </c>
      <c r="C828" s="11"/>
      <c r="D828" s="89"/>
      <c r="E828" s="89"/>
      <c r="F828" s="108" t="s">
        <v>101</v>
      </c>
      <c r="G828" s="91"/>
      <c r="H828" s="92"/>
      <c r="I828" s="94"/>
      <c r="J828" s="95"/>
      <c r="K828" s="10">
        <v>1</v>
      </c>
    </row>
    <row r="829" spans="1:11" ht="13" x14ac:dyDescent="0.35">
      <c r="A829" s="11" t="s">
        <v>633</v>
      </c>
      <c r="B829" s="11" t="s">
        <v>339</v>
      </c>
      <c r="C829" s="11"/>
      <c r="D829" s="89"/>
      <c r="E829" s="89"/>
      <c r="F829" s="90" t="s">
        <v>102</v>
      </c>
      <c r="G829" s="91"/>
      <c r="H829" s="92"/>
      <c r="I829" s="94"/>
      <c r="J829" s="95"/>
      <c r="K829" s="10">
        <v>1</v>
      </c>
    </row>
    <row r="830" spans="1:11" x14ac:dyDescent="0.35">
      <c r="A830" s="11" t="s">
        <v>633</v>
      </c>
      <c r="B830" s="11" t="s">
        <v>339</v>
      </c>
      <c r="C830" s="11"/>
      <c r="D830" s="89"/>
      <c r="E830" s="124"/>
      <c r="F830" s="108" t="s">
        <v>342</v>
      </c>
      <c r="G830" s="91"/>
      <c r="H830" s="45"/>
      <c r="I830" s="125"/>
      <c r="J830" s="48"/>
      <c r="K830" s="10">
        <v>1</v>
      </c>
    </row>
    <row r="831" spans="1:11" ht="37.5" x14ac:dyDescent="0.35">
      <c r="A831" s="11" t="s">
        <v>633</v>
      </c>
      <c r="B831" s="11" t="s">
        <v>339</v>
      </c>
      <c r="C831" s="11"/>
      <c r="D831" s="89"/>
      <c r="E831" s="124"/>
      <c r="F831" s="108" t="s">
        <v>343</v>
      </c>
      <c r="G831" s="91"/>
      <c r="H831" s="45"/>
      <c r="I831" s="125"/>
      <c r="J831" s="48"/>
      <c r="K831" s="10">
        <v>1</v>
      </c>
    </row>
    <row r="832" spans="1:11" ht="25" x14ac:dyDescent="0.35">
      <c r="A832" s="11" t="s">
        <v>633</v>
      </c>
      <c r="B832" s="11" t="s">
        <v>339</v>
      </c>
      <c r="C832" s="11"/>
      <c r="D832" s="89"/>
      <c r="E832" s="124"/>
      <c r="F832" s="108" t="s">
        <v>344</v>
      </c>
      <c r="G832" s="91"/>
      <c r="H832" s="45"/>
      <c r="I832" s="125"/>
      <c r="J832" s="48"/>
      <c r="K832" s="10">
        <v>1</v>
      </c>
    </row>
    <row r="833" spans="1:13" ht="13" x14ac:dyDescent="0.35">
      <c r="A833" s="11" t="s">
        <v>633</v>
      </c>
      <c r="B833" s="11" t="s">
        <v>339</v>
      </c>
      <c r="C833" s="11"/>
      <c r="D833" s="89"/>
      <c r="E833" s="89"/>
      <c r="F833" s="126" t="s">
        <v>345</v>
      </c>
      <c r="G833" s="91"/>
      <c r="H833" s="92"/>
      <c r="I833" s="94"/>
      <c r="J833" s="95"/>
      <c r="K833" s="10">
        <v>1</v>
      </c>
    </row>
    <row r="834" spans="1:13" ht="13" x14ac:dyDescent="0.35">
      <c r="A834" s="11" t="s">
        <v>633</v>
      </c>
      <c r="B834" s="11" t="s">
        <v>339</v>
      </c>
      <c r="C834" s="11"/>
      <c r="D834" s="89"/>
      <c r="E834" s="89"/>
      <c r="F834" s="90" t="s">
        <v>346</v>
      </c>
      <c r="G834" s="91"/>
      <c r="H834" s="58"/>
      <c r="I834" s="94"/>
      <c r="J834" s="95"/>
      <c r="K834" s="10">
        <v>1</v>
      </c>
    </row>
    <row r="835" spans="1:13" ht="13" x14ac:dyDescent="0.35">
      <c r="A835" s="11" t="s">
        <v>633</v>
      </c>
      <c r="B835" s="11" t="s">
        <v>339</v>
      </c>
      <c r="C835" s="11"/>
      <c r="D835" s="89"/>
      <c r="E835" s="89"/>
      <c r="F835" s="90" t="s">
        <v>347</v>
      </c>
      <c r="G835" s="91"/>
      <c r="H835" s="117"/>
      <c r="I835" s="94"/>
      <c r="J835" s="95"/>
      <c r="K835" s="10">
        <v>1</v>
      </c>
    </row>
    <row r="836" spans="1:13" x14ac:dyDescent="0.35">
      <c r="A836" s="11" t="s">
        <v>633</v>
      </c>
      <c r="B836" s="11" t="s">
        <v>339</v>
      </c>
      <c r="C836" s="11"/>
      <c r="D836" s="89" t="s">
        <v>20</v>
      </c>
      <c r="E836" s="89"/>
      <c r="F836" s="108" t="s">
        <v>656</v>
      </c>
      <c r="G836" s="91" t="s">
        <v>175</v>
      </c>
      <c r="H836" s="117">
        <v>14</v>
      </c>
      <c r="I836" s="127">
        <v>1500</v>
      </c>
      <c r="J836" s="95">
        <f>I836*H836</f>
        <v>21000</v>
      </c>
      <c r="K836" s="10">
        <v>1</v>
      </c>
    </row>
    <row r="837" spans="1:13" x14ac:dyDescent="0.35">
      <c r="A837" s="11" t="s">
        <v>633</v>
      </c>
      <c r="B837" s="11" t="s">
        <v>339</v>
      </c>
      <c r="C837" s="11"/>
      <c r="D837" s="89" t="s">
        <v>26</v>
      </c>
      <c r="E837" s="89"/>
      <c r="F837" s="108" t="s">
        <v>657</v>
      </c>
      <c r="G837" s="91" t="s">
        <v>175</v>
      </c>
      <c r="H837" s="117">
        <v>2</v>
      </c>
      <c r="I837" s="127">
        <v>2500</v>
      </c>
      <c r="J837" s="95">
        <f>I837*H837</f>
        <v>5000</v>
      </c>
      <c r="K837" s="10">
        <v>1</v>
      </c>
    </row>
    <row r="838" spans="1:13" ht="13" x14ac:dyDescent="0.35">
      <c r="A838" s="11" t="s">
        <v>633</v>
      </c>
      <c r="B838" s="11" t="s">
        <v>339</v>
      </c>
      <c r="C838" s="11"/>
      <c r="D838" s="89"/>
      <c r="E838" s="89"/>
      <c r="F838" s="126" t="s">
        <v>349</v>
      </c>
      <c r="G838" s="91"/>
      <c r="H838" s="128"/>
      <c r="I838" s="127"/>
      <c r="J838" s="95"/>
      <c r="K838" s="10">
        <v>1</v>
      </c>
    </row>
    <row r="839" spans="1:13" ht="13" x14ac:dyDescent="0.35">
      <c r="A839" s="11" t="s">
        <v>633</v>
      </c>
      <c r="B839" s="11" t="s">
        <v>339</v>
      </c>
      <c r="C839" s="11"/>
      <c r="D839" s="89"/>
      <c r="E839" s="89"/>
      <c r="F839" s="126" t="s">
        <v>350</v>
      </c>
      <c r="G839" s="91"/>
      <c r="H839" s="128"/>
      <c r="I839" s="127"/>
      <c r="J839" s="95"/>
      <c r="K839" s="10">
        <v>1</v>
      </c>
    </row>
    <row r="840" spans="1:13" ht="25" x14ac:dyDescent="0.35">
      <c r="A840" s="11" t="s">
        <v>633</v>
      </c>
      <c r="B840" s="11" t="s">
        <v>339</v>
      </c>
      <c r="C840" s="11"/>
      <c r="D840" s="89" t="s">
        <v>29</v>
      </c>
      <c r="E840" s="89"/>
      <c r="F840" s="108" t="s">
        <v>658</v>
      </c>
      <c r="G840" s="91" t="s">
        <v>175</v>
      </c>
      <c r="H840" s="128">
        <v>2</v>
      </c>
      <c r="I840" s="125">
        <v>2250</v>
      </c>
      <c r="J840" s="48">
        <f>I840*H840</f>
        <v>4500</v>
      </c>
      <c r="K840" s="10">
        <v>1</v>
      </c>
      <c r="L840" s="130"/>
      <c r="M840" s="131"/>
    </row>
    <row r="841" spans="1:13" ht="25" x14ac:dyDescent="0.35">
      <c r="A841" s="11" t="s">
        <v>633</v>
      </c>
      <c r="B841" s="11" t="s">
        <v>339</v>
      </c>
      <c r="C841" s="11"/>
      <c r="D841" s="89" t="s">
        <v>32</v>
      </c>
      <c r="E841" s="89"/>
      <c r="F841" s="108" t="s">
        <v>659</v>
      </c>
      <c r="G841" s="91" t="s">
        <v>175</v>
      </c>
      <c r="H841" s="128">
        <v>13</v>
      </c>
      <c r="I841" s="125">
        <v>3300</v>
      </c>
      <c r="J841" s="48">
        <f>I841*H841</f>
        <v>42900</v>
      </c>
      <c r="K841" s="10">
        <v>1</v>
      </c>
      <c r="L841" s="130"/>
      <c r="M841" s="131"/>
    </row>
    <row r="842" spans="1:13" ht="25" x14ac:dyDescent="0.35">
      <c r="A842" s="11" t="s">
        <v>633</v>
      </c>
      <c r="B842" s="11" t="s">
        <v>339</v>
      </c>
      <c r="C842" s="11"/>
      <c r="D842" s="89" t="s">
        <v>36</v>
      </c>
      <c r="E842" s="89"/>
      <c r="F842" s="108" t="s">
        <v>660</v>
      </c>
      <c r="G842" s="91" t="s">
        <v>175</v>
      </c>
      <c r="H842" s="128">
        <v>7</v>
      </c>
      <c r="I842" s="125">
        <v>2250</v>
      </c>
      <c r="J842" s="48">
        <f>I842*H842</f>
        <v>15750</v>
      </c>
      <c r="K842" s="10">
        <v>1</v>
      </c>
      <c r="L842" s="130"/>
      <c r="M842" s="131"/>
    </row>
    <row r="843" spans="1:13" ht="25" x14ac:dyDescent="0.35">
      <c r="A843" s="11" t="s">
        <v>633</v>
      </c>
      <c r="B843" s="11" t="s">
        <v>339</v>
      </c>
      <c r="C843" s="11"/>
      <c r="D843" s="89" t="s">
        <v>39</v>
      </c>
      <c r="E843" s="89"/>
      <c r="F843" s="108" t="s">
        <v>661</v>
      </c>
      <c r="G843" s="91" t="s">
        <v>175</v>
      </c>
      <c r="H843" s="128">
        <v>1</v>
      </c>
      <c r="I843" s="125">
        <v>2250</v>
      </c>
      <c r="J843" s="48">
        <f>I843*H843</f>
        <v>2250</v>
      </c>
      <c r="K843" s="10">
        <v>1</v>
      </c>
      <c r="L843" s="130"/>
      <c r="M843" s="131"/>
    </row>
    <row r="844" spans="1:13" ht="25" x14ac:dyDescent="0.35">
      <c r="A844" s="11" t="s">
        <v>633</v>
      </c>
      <c r="B844" s="11" t="s">
        <v>339</v>
      </c>
      <c r="C844" s="11"/>
      <c r="D844" s="89" t="s">
        <v>42</v>
      </c>
      <c r="E844" s="89"/>
      <c r="F844" s="108" t="s">
        <v>662</v>
      </c>
      <c r="G844" s="91" t="s">
        <v>175</v>
      </c>
      <c r="H844" s="128">
        <v>1</v>
      </c>
      <c r="I844" s="125">
        <v>2250</v>
      </c>
      <c r="J844" s="48">
        <f>I844*H844</f>
        <v>2250</v>
      </c>
      <c r="K844" s="10">
        <v>1</v>
      </c>
      <c r="L844" s="130"/>
      <c r="M844" s="131"/>
    </row>
    <row r="845" spans="1:13" ht="25" x14ac:dyDescent="0.35">
      <c r="A845" s="11" t="s">
        <v>633</v>
      </c>
      <c r="B845" s="11" t="s">
        <v>339</v>
      </c>
      <c r="C845" s="11"/>
      <c r="D845" s="89" t="s">
        <v>45</v>
      </c>
      <c r="E845" s="89"/>
      <c r="F845" s="108" t="s">
        <v>663</v>
      </c>
      <c r="G845" s="91" t="s">
        <v>175</v>
      </c>
      <c r="H845" s="128">
        <v>1</v>
      </c>
      <c r="I845" s="125">
        <v>2250</v>
      </c>
      <c r="J845" s="48">
        <f>I845*H845</f>
        <v>2250</v>
      </c>
      <c r="K845" s="10">
        <v>1</v>
      </c>
      <c r="L845" s="130"/>
      <c r="M845" s="131"/>
    </row>
    <row r="846" spans="1:13" ht="28.75" customHeight="1" x14ac:dyDescent="0.35">
      <c r="A846" s="11" t="s">
        <v>633</v>
      </c>
      <c r="B846" s="11" t="s">
        <v>339</v>
      </c>
      <c r="C846" s="11"/>
      <c r="D846" s="89" t="s">
        <v>48</v>
      </c>
      <c r="E846" s="89"/>
      <c r="F846" s="108" t="s">
        <v>664</v>
      </c>
      <c r="G846" s="91" t="s">
        <v>175</v>
      </c>
      <c r="H846" s="128">
        <v>1</v>
      </c>
      <c r="I846" s="125">
        <v>6650</v>
      </c>
      <c r="J846" s="48">
        <f>I846*H846</f>
        <v>6650</v>
      </c>
      <c r="K846" s="10">
        <v>1</v>
      </c>
      <c r="L846" s="130"/>
      <c r="M846" s="131"/>
    </row>
    <row r="847" spans="1:13" ht="25" x14ac:dyDescent="0.35">
      <c r="A847" s="11" t="s">
        <v>633</v>
      </c>
      <c r="B847" s="11" t="s">
        <v>339</v>
      </c>
      <c r="C847" s="11"/>
      <c r="D847" s="89" t="s">
        <v>51</v>
      </c>
      <c r="E847" s="89"/>
      <c r="F847" s="108" t="s">
        <v>665</v>
      </c>
      <c r="G847" s="91" t="s">
        <v>175</v>
      </c>
      <c r="H847" s="128">
        <v>1</v>
      </c>
      <c r="I847" s="125">
        <v>6650</v>
      </c>
      <c r="J847" s="48">
        <f>I847*H847</f>
        <v>6650</v>
      </c>
      <c r="K847" s="10">
        <v>1</v>
      </c>
      <c r="L847" s="130"/>
      <c r="M847" s="131"/>
    </row>
    <row r="848" spans="1:13" ht="25" x14ac:dyDescent="0.35">
      <c r="A848" s="11" t="s">
        <v>633</v>
      </c>
      <c r="B848" s="11" t="s">
        <v>339</v>
      </c>
      <c r="C848" s="11"/>
      <c r="D848" s="89" t="s">
        <v>53</v>
      </c>
      <c r="E848" s="89"/>
      <c r="F848" s="108" t="s">
        <v>666</v>
      </c>
      <c r="G848" s="91" t="s">
        <v>175</v>
      </c>
      <c r="H848" s="128">
        <v>1</v>
      </c>
      <c r="I848" s="125">
        <v>6650</v>
      </c>
      <c r="J848" s="48">
        <f>I848*H848</f>
        <v>6650</v>
      </c>
      <c r="K848" s="10">
        <v>1</v>
      </c>
      <c r="L848" s="130"/>
      <c r="M848" s="131"/>
    </row>
    <row r="849" spans="1:13" ht="13" x14ac:dyDescent="0.3">
      <c r="A849" s="11" t="s">
        <v>633</v>
      </c>
      <c r="B849" s="11" t="s">
        <v>339</v>
      </c>
      <c r="C849" s="11"/>
      <c r="D849" s="89"/>
      <c r="E849" s="89"/>
      <c r="F849" s="97" t="s">
        <v>353</v>
      </c>
      <c r="G849" s="112"/>
      <c r="H849" s="45"/>
      <c r="I849" s="94"/>
      <c r="J849" s="95"/>
      <c r="K849" s="10">
        <v>1</v>
      </c>
    </row>
    <row r="850" spans="1:13" ht="50" x14ac:dyDescent="0.35">
      <c r="A850" s="11" t="s">
        <v>633</v>
      </c>
      <c r="B850" s="11" t="s">
        <v>339</v>
      </c>
      <c r="C850" s="11"/>
      <c r="D850" s="89" t="s">
        <v>55</v>
      </c>
      <c r="E850" s="89"/>
      <c r="F850" s="132" t="s">
        <v>354</v>
      </c>
      <c r="G850" s="112" t="s">
        <v>175</v>
      </c>
      <c r="H850" s="45">
        <v>0</v>
      </c>
      <c r="I850" s="94">
        <v>15000</v>
      </c>
      <c r="J850" s="95">
        <f>H850*I850</f>
        <v>0</v>
      </c>
      <c r="K850" s="10">
        <v>1</v>
      </c>
    </row>
    <row r="851" spans="1:13" ht="13" x14ac:dyDescent="0.35">
      <c r="A851" s="11" t="s">
        <v>633</v>
      </c>
      <c r="B851" s="11" t="s">
        <v>339</v>
      </c>
      <c r="C851" s="11"/>
      <c r="D851" s="89"/>
      <c r="E851" s="89"/>
      <c r="F851" s="126" t="s">
        <v>355</v>
      </c>
      <c r="G851" s="91"/>
      <c r="H851" s="128"/>
      <c r="I851" s="127"/>
      <c r="J851" s="95"/>
      <c r="K851" s="10">
        <v>1</v>
      </c>
    </row>
    <row r="852" spans="1:13" ht="26" x14ac:dyDescent="0.35">
      <c r="A852" s="11" t="s">
        <v>633</v>
      </c>
      <c r="B852" s="11" t="s">
        <v>339</v>
      </c>
      <c r="C852" s="11"/>
      <c r="D852" s="89"/>
      <c r="E852" s="89"/>
      <c r="F852" s="126" t="s">
        <v>356</v>
      </c>
      <c r="G852" s="91"/>
      <c r="H852" s="128"/>
      <c r="I852" s="127"/>
      <c r="J852" s="95"/>
      <c r="K852" s="10">
        <v>1</v>
      </c>
    </row>
    <row r="853" spans="1:13" ht="25" x14ac:dyDescent="0.35">
      <c r="A853" s="11" t="s">
        <v>633</v>
      </c>
      <c r="B853" s="11" t="s">
        <v>339</v>
      </c>
      <c r="C853" s="11"/>
      <c r="D853" s="89" t="s">
        <v>58</v>
      </c>
      <c r="E853" s="89"/>
      <c r="F853" s="108" t="s">
        <v>667</v>
      </c>
      <c r="G853" s="91" t="s">
        <v>175</v>
      </c>
      <c r="H853" s="128">
        <v>2</v>
      </c>
      <c r="I853" s="125">
        <v>8500</v>
      </c>
      <c r="J853" s="48">
        <f>H853*I853</f>
        <v>17000</v>
      </c>
      <c r="K853" s="10">
        <v>1</v>
      </c>
      <c r="M853" s="131"/>
    </row>
    <row r="854" spans="1:13" ht="25" x14ac:dyDescent="0.35">
      <c r="A854" s="11" t="s">
        <v>633</v>
      </c>
      <c r="B854" s="11" t="s">
        <v>339</v>
      </c>
      <c r="C854" s="11"/>
      <c r="D854" s="89" t="s">
        <v>87</v>
      </c>
      <c r="E854" s="89"/>
      <c r="F854" s="108" t="s">
        <v>668</v>
      </c>
      <c r="G854" s="91" t="s">
        <v>175</v>
      </c>
      <c r="H854" s="128">
        <v>2</v>
      </c>
      <c r="I854" s="125">
        <v>13500</v>
      </c>
      <c r="J854" s="48">
        <f>H854*I854</f>
        <v>27000</v>
      </c>
      <c r="K854" s="10">
        <v>1</v>
      </c>
      <c r="M854" s="131"/>
    </row>
    <row r="855" spans="1:13" ht="13" x14ac:dyDescent="0.35">
      <c r="A855" s="11" t="s">
        <v>633</v>
      </c>
      <c r="B855" s="11" t="s">
        <v>339</v>
      </c>
      <c r="C855" s="11"/>
      <c r="D855" s="89"/>
      <c r="E855" s="89"/>
      <c r="F855" s="90" t="s">
        <v>669</v>
      </c>
      <c r="G855" s="91"/>
      <c r="H855" s="128"/>
      <c r="I855" s="125"/>
      <c r="J855" s="48"/>
      <c r="K855" s="10">
        <v>1</v>
      </c>
      <c r="M855" s="131"/>
    </row>
    <row r="856" spans="1:13" ht="39" x14ac:dyDescent="0.35">
      <c r="A856" s="11" t="s">
        <v>633</v>
      </c>
      <c r="B856" s="11" t="s">
        <v>339</v>
      </c>
      <c r="C856" s="11"/>
      <c r="D856" s="89"/>
      <c r="E856" s="89"/>
      <c r="F856" s="90" t="s">
        <v>670</v>
      </c>
      <c r="G856" s="91"/>
      <c r="H856" s="128"/>
      <c r="I856" s="125"/>
      <c r="J856" s="48"/>
      <c r="K856" s="10">
        <v>1</v>
      </c>
      <c r="M856" s="131"/>
    </row>
    <row r="857" spans="1:13" ht="25" x14ac:dyDescent="0.35">
      <c r="A857" s="11" t="s">
        <v>633</v>
      </c>
      <c r="B857" s="11" t="s">
        <v>339</v>
      </c>
      <c r="C857" s="11"/>
      <c r="D857" s="89" t="s">
        <v>90</v>
      </c>
      <c r="E857" s="89"/>
      <c r="F857" s="108" t="s">
        <v>671</v>
      </c>
      <c r="G857" s="91" t="s">
        <v>175</v>
      </c>
      <c r="H857" s="128">
        <v>1</v>
      </c>
      <c r="I857" s="125">
        <v>25000</v>
      </c>
      <c r="J857" s="48">
        <f>H857*I857</f>
        <v>25000</v>
      </c>
      <c r="K857" s="10">
        <v>1</v>
      </c>
      <c r="M857" s="131"/>
    </row>
    <row r="858" spans="1:13" ht="13" x14ac:dyDescent="0.35">
      <c r="A858" s="11" t="s">
        <v>633</v>
      </c>
      <c r="B858" s="11" t="s">
        <v>358</v>
      </c>
      <c r="C858" s="11"/>
      <c r="D858" s="11"/>
      <c r="E858" s="11"/>
      <c r="F858" s="43" t="s">
        <v>634</v>
      </c>
      <c r="G858" s="44"/>
      <c r="H858" s="117"/>
      <c r="I858" s="70"/>
      <c r="J858" s="48"/>
      <c r="K858" s="10">
        <v>1</v>
      </c>
    </row>
    <row r="859" spans="1:13" ht="13" x14ac:dyDescent="0.35">
      <c r="A859" s="11" t="s">
        <v>633</v>
      </c>
      <c r="B859" s="11" t="s">
        <v>358</v>
      </c>
      <c r="C859" s="11"/>
      <c r="D859" s="11"/>
      <c r="E859" s="11"/>
      <c r="F859" s="43" t="s">
        <v>635</v>
      </c>
      <c r="G859" s="44"/>
      <c r="H859" s="117"/>
      <c r="I859" s="70"/>
      <c r="J859" s="48"/>
      <c r="K859" s="10">
        <v>1</v>
      </c>
    </row>
    <row r="860" spans="1:13" ht="13" x14ac:dyDescent="0.35">
      <c r="A860" s="11" t="s">
        <v>633</v>
      </c>
      <c r="B860" s="11" t="s">
        <v>358</v>
      </c>
      <c r="C860" s="11"/>
      <c r="D860" s="11"/>
      <c r="E860" s="11"/>
      <c r="F860" s="43" t="s">
        <v>359</v>
      </c>
      <c r="G860" s="44"/>
      <c r="H860" s="117"/>
      <c r="I860" s="70"/>
      <c r="J860" s="48"/>
      <c r="K860" s="10">
        <v>1</v>
      </c>
    </row>
    <row r="861" spans="1:13" ht="13" x14ac:dyDescent="0.35">
      <c r="A861" s="11" t="s">
        <v>633</v>
      </c>
      <c r="B861" s="11" t="s">
        <v>358</v>
      </c>
      <c r="C861" s="11"/>
      <c r="D861" s="11"/>
      <c r="E861" s="11"/>
      <c r="F861" s="43" t="s">
        <v>360</v>
      </c>
      <c r="G861" s="44"/>
      <c r="H861" s="117"/>
      <c r="I861" s="70"/>
      <c r="J861" s="48"/>
      <c r="K861" s="10">
        <v>1</v>
      </c>
    </row>
    <row r="862" spans="1:13" ht="13" x14ac:dyDescent="0.35">
      <c r="A862" s="11" t="s">
        <v>633</v>
      </c>
      <c r="B862" s="11" t="s">
        <v>358</v>
      </c>
      <c r="C862" s="11"/>
      <c r="D862" s="50"/>
      <c r="E862" s="50"/>
      <c r="F862" s="57" t="s">
        <v>100</v>
      </c>
      <c r="G862" s="51"/>
      <c r="H862" s="72"/>
      <c r="I862" s="133"/>
      <c r="J862" s="55"/>
      <c r="K862" s="10">
        <v>1</v>
      </c>
    </row>
    <row r="863" spans="1:13" ht="13" x14ac:dyDescent="0.35">
      <c r="A863" s="11" t="s">
        <v>633</v>
      </c>
      <c r="B863" s="11" t="s">
        <v>358</v>
      </c>
      <c r="C863" s="11"/>
      <c r="D863" s="50"/>
      <c r="E863" s="50"/>
      <c r="F863" s="60" t="s">
        <v>101</v>
      </c>
      <c r="G863" s="51"/>
      <c r="H863" s="72"/>
      <c r="I863" s="133"/>
      <c r="J863" s="55"/>
      <c r="K863" s="10">
        <v>1</v>
      </c>
    </row>
    <row r="864" spans="1:13" ht="13" x14ac:dyDescent="0.35">
      <c r="A864" s="11" t="s">
        <v>633</v>
      </c>
      <c r="B864" s="11" t="s">
        <v>358</v>
      </c>
      <c r="C864" s="11"/>
      <c r="D864" s="11"/>
      <c r="E864" s="134"/>
      <c r="F864" s="57" t="s">
        <v>361</v>
      </c>
      <c r="G864" s="44"/>
      <c r="H864" s="117"/>
      <c r="I864" s="70"/>
      <c r="J864" s="48"/>
      <c r="K864" s="10">
        <v>1</v>
      </c>
    </row>
    <row r="865" spans="1:13" ht="13" x14ac:dyDescent="0.35">
      <c r="A865" s="11" t="s">
        <v>633</v>
      </c>
      <c r="B865" s="11" t="s">
        <v>358</v>
      </c>
      <c r="C865" s="11"/>
      <c r="D865" s="11"/>
      <c r="E865" s="134"/>
      <c r="F865" s="57" t="s">
        <v>362</v>
      </c>
      <c r="G865" s="44"/>
      <c r="H865" s="117"/>
      <c r="I865" s="70"/>
      <c r="J865" s="48"/>
      <c r="K865" s="10">
        <v>1</v>
      </c>
    </row>
    <row r="866" spans="1:13" ht="14.5" x14ac:dyDescent="0.35">
      <c r="A866" s="11" t="s">
        <v>633</v>
      </c>
      <c r="B866" s="11" t="s">
        <v>358</v>
      </c>
      <c r="C866" s="11"/>
      <c r="D866" s="11" t="s">
        <v>20</v>
      </c>
      <c r="E866" s="134"/>
      <c r="F866" s="60" t="s">
        <v>363</v>
      </c>
      <c r="G866" s="44" t="s">
        <v>110</v>
      </c>
      <c r="H866" s="135">
        <v>295</v>
      </c>
      <c r="I866" s="70">
        <v>155</v>
      </c>
      <c r="J866" s="48">
        <f>H866*I866</f>
        <v>45725</v>
      </c>
      <c r="K866" s="10">
        <v>1</v>
      </c>
    </row>
    <row r="867" spans="1:13" ht="13" x14ac:dyDescent="0.35">
      <c r="A867" s="11" t="s">
        <v>633</v>
      </c>
      <c r="B867" s="11" t="s">
        <v>358</v>
      </c>
      <c r="C867" s="11"/>
      <c r="D867" s="11"/>
      <c r="E867" s="11"/>
      <c r="F867" s="57" t="s">
        <v>364</v>
      </c>
      <c r="G867" s="44"/>
      <c r="H867" s="117"/>
      <c r="I867" s="70"/>
      <c r="J867" s="48"/>
      <c r="K867" s="10">
        <v>1</v>
      </c>
    </row>
    <row r="868" spans="1:13" ht="26" x14ac:dyDescent="0.35">
      <c r="A868" s="11" t="s">
        <v>633</v>
      </c>
      <c r="B868" s="11" t="s">
        <v>358</v>
      </c>
      <c r="C868" s="11"/>
      <c r="D868" s="11"/>
      <c r="E868" s="11"/>
      <c r="F868" s="57" t="s">
        <v>365</v>
      </c>
      <c r="G868" s="44"/>
      <c r="H868" s="117"/>
      <c r="I868" s="70"/>
      <c r="J868" s="48"/>
      <c r="K868" s="10">
        <v>1</v>
      </c>
    </row>
    <row r="869" spans="1:13" ht="14.5" x14ac:dyDescent="0.35">
      <c r="A869" s="11" t="s">
        <v>633</v>
      </c>
      <c r="B869" s="11" t="s">
        <v>358</v>
      </c>
      <c r="C869" s="11"/>
      <c r="D869" s="11" t="s">
        <v>26</v>
      </c>
      <c r="E869" s="11"/>
      <c r="F869" s="60" t="s">
        <v>366</v>
      </c>
      <c r="G869" s="44" t="s">
        <v>110</v>
      </c>
      <c r="H869" s="135">
        <v>702</v>
      </c>
      <c r="I869" s="70">
        <v>95</v>
      </c>
      <c r="J869" s="48">
        <f>H869*I869</f>
        <v>66690</v>
      </c>
      <c r="K869" s="10">
        <v>1</v>
      </c>
      <c r="L869" s="137"/>
      <c r="M869" s="138"/>
    </row>
    <row r="870" spans="1:13" ht="13" x14ac:dyDescent="0.35">
      <c r="A870" s="11" t="s">
        <v>633</v>
      </c>
      <c r="B870" s="11" t="s">
        <v>369</v>
      </c>
      <c r="C870" s="11"/>
      <c r="D870" s="11"/>
      <c r="E870" s="11"/>
      <c r="F870" s="43" t="s">
        <v>634</v>
      </c>
      <c r="G870" s="44"/>
      <c r="H870" s="116"/>
      <c r="I870" s="192"/>
      <c r="J870" s="48"/>
      <c r="K870" s="10">
        <v>1</v>
      </c>
    </row>
    <row r="871" spans="1:13" ht="13" x14ac:dyDescent="0.35">
      <c r="A871" s="11" t="s">
        <v>633</v>
      </c>
      <c r="B871" s="11" t="s">
        <v>369</v>
      </c>
      <c r="C871" s="11"/>
      <c r="D871" s="11"/>
      <c r="E871" s="11"/>
      <c r="F871" s="43" t="s">
        <v>635</v>
      </c>
      <c r="G871" s="44"/>
      <c r="H871" s="116"/>
      <c r="I871" s="192"/>
      <c r="J871" s="48"/>
      <c r="K871" s="10">
        <v>1</v>
      </c>
    </row>
    <row r="872" spans="1:13" ht="13" x14ac:dyDescent="0.35">
      <c r="A872" s="11" t="s">
        <v>633</v>
      </c>
      <c r="B872" s="11" t="s">
        <v>369</v>
      </c>
      <c r="C872" s="11"/>
      <c r="D872" s="11"/>
      <c r="E872" s="11"/>
      <c r="F872" s="43" t="s">
        <v>370</v>
      </c>
      <c r="G872" s="44"/>
      <c r="H872" s="116"/>
      <c r="I872" s="192"/>
      <c r="J872" s="48"/>
      <c r="K872" s="10">
        <v>1</v>
      </c>
    </row>
    <row r="873" spans="1:13" ht="13" x14ac:dyDescent="0.35">
      <c r="A873" s="11" t="s">
        <v>633</v>
      </c>
      <c r="B873" s="11" t="s">
        <v>369</v>
      </c>
      <c r="C873" s="11"/>
      <c r="D873" s="11"/>
      <c r="E873" s="11"/>
      <c r="F873" s="43" t="s">
        <v>371</v>
      </c>
      <c r="G873" s="44"/>
      <c r="H873" s="116"/>
      <c r="I873" s="192"/>
      <c r="J873" s="48"/>
      <c r="K873" s="10">
        <v>1</v>
      </c>
    </row>
    <row r="874" spans="1:13" ht="13" x14ac:dyDescent="0.35">
      <c r="A874" s="11" t="s">
        <v>633</v>
      </c>
      <c r="B874" s="11" t="s">
        <v>369</v>
      </c>
      <c r="C874" s="11"/>
      <c r="D874" s="11"/>
      <c r="E874" s="11"/>
      <c r="F874" s="57" t="s">
        <v>100</v>
      </c>
      <c r="G874" s="44"/>
      <c r="H874" s="116"/>
      <c r="I874" s="192"/>
      <c r="J874" s="48"/>
      <c r="K874" s="10">
        <v>1</v>
      </c>
    </row>
    <row r="875" spans="1:13" x14ac:dyDescent="0.35">
      <c r="A875" s="11" t="s">
        <v>633</v>
      </c>
      <c r="B875" s="11" t="s">
        <v>369</v>
      </c>
      <c r="C875" s="11"/>
      <c r="D875" s="11"/>
      <c r="E875" s="11"/>
      <c r="F875" s="60" t="s">
        <v>101</v>
      </c>
      <c r="G875" s="44"/>
      <c r="H875" s="116"/>
      <c r="I875" s="192"/>
      <c r="J875" s="48"/>
      <c r="K875" s="10">
        <v>1</v>
      </c>
    </row>
    <row r="876" spans="1:13" ht="13" x14ac:dyDescent="0.35">
      <c r="A876" s="11" t="s">
        <v>633</v>
      </c>
      <c r="B876" s="11" t="s">
        <v>369</v>
      </c>
      <c r="C876" s="11"/>
      <c r="D876" s="11"/>
      <c r="E876" s="11"/>
      <c r="F876" s="57" t="s">
        <v>333</v>
      </c>
      <c r="G876" s="44"/>
      <c r="H876" s="116"/>
      <c r="I876" s="192"/>
      <c r="J876" s="48"/>
      <c r="K876" s="10">
        <v>1</v>
      </c>
    </row>
    <row r="877" spans="1:13" x14ac:dyDescent="0.35">
      <c r="A877" s="11" t="s">
        <v>633</v>
      </c>
      <c r="B877" s="11" t="s">
        <v>369</v>
      </c>
      <c r="C877" s="11"/>
      <c r="D877" s="11"/>
      <c r="E877" s="11"/>
      <c r="F877" s="62" t="s">
        <v>372</v>
      </c>
      <c r="G877" s="44"/>
      <c r="H877" s="116"/>
      <c r="I877" s="192"/>
      <c r="J877" s="48"/>
      <c r="K877" s="10">
        <v>1</v>
      </c>
    </row>
    <row r="878" spans="1:13" ht="25" x14ac:dyDescent="0.35">
      <c r="A878" s="11" t="s">
        <v>633</v>
      </c>
      <c r="B878" s="11" t="s">
        <v>369</v>
      </c>
      <c r="C878" s="11"/>
      <c r="D878" s="11"/>
      <c r="E878" s="11"/>
      <c r="F878" s="60" t="s">
        <v>373</v>
      </c>
      <c r="G878" s="44"/>
      <c r="H878" s="116"/>
      <c r="I878" s="192"/>
      <c r="J878" s="48"/>
      <c r="K878" s="10">
        <v>1</v>
      </c>
    </row>
    <row r="879" spans="1:13" x14ac:dyDescent="0.35">
      <c r="A879" s="11" t="s">
        <v>633</v>
      </c>
      <c r="B879" s="11" t="s">
        <v>369</v>
      </c>
      <c r="C879" s="11"/>
      <c r="D879" s="11"/>
      <c r="E879" s="11"/>
      <c r="F879" s="62" t="s">
        <v>374</v>
      </c>
      <c r="G879" s="44"/>
      <c r="H879" s="116"/>
      <c r="I879" s="192"/>
      <c r="J879" s="48"/>
      <c r="K879" s="10">
        <v>1</v>
      </c>
    </row>
    <row r="880" spans="1:13" ht="75" x14ac:dyDescent="0.35">
      <c r="A880" s="11" t="s">
        <v>633</v>
      </c>
      <c r="B880" s="11" t="s">
        <v>369</v>
      </c>
      <c r="C880" s="11"/>
      <c r="D880" s="11"/>
      <c r="E880" s="11"/>
      <c r="F880" s="60" t="s">
        <v>375</v>
      </c>
      <c r="G880" s="44"/>
      <c r="H880" s="116"/>
      <c r="I880" s="192"/>
      <c r="J880" s="48"/>
      <c r="K880" s="10">
        <v>1</v>
      </c>
    </row>
    <row r="881" spans="1:11" x14ac:dyDescent="0.35">
      <c r="A881" s="11" t="s">
        <v>633</v>
      </c>
      <c r="B881" s="11" t="s">
        <v>369</v>
      </c>
      <c r="C881" s="11"/>
      <c r="D881" s="11"/>
      <c r="E881" s="11"/>
      <c r="F881" s="62" t="s">
        <v>376</v>
      </c>
      <c r="G881" s="44"/>
      <c r="H881" s="116"/>
      <c r="I881" s="192"/>
      <c r="J881" s="48"/>
      <c r="K881" s="10">
        <v>1</v>
      </c>
    </row>
    <row r="882" spans="1:11" ht="25" x14ac:dyDescent="0.35">
      <c r="A882" s="11" t="s">
        <v>633</v>
      </c>
      <c r="B882" s="11" t="s">
        <v>369</v>
      </c>
      <c r="C882" s="11"/>
      <c r="D882" s="11"/>
      <c r="E882" s="11"/>
      <c r="F882" s="60" t="s">
        <v>377</v>
      </c>
      <c r="G882" s="44"/>
      <c r="H882" s="116"/>
      <c r="I882" s="192"/>
      <c r="J882" s="48"/>
      <c r="K882" s="10">
        <v>1</v>
      </c>
    </row>
    <row r="883" spans="1:11" x14ac:dyDescent="0.35">
      <c r="A883" s="11" t="s">
        <v>633</v>
      </c>
      <c r="B883" s="11" t="s">
        <v>369</v>
      </c>
      <c r="C883" s="11"/>
      <c r="D883" s="11"/>
      <c r="E883" s="11"/>
      <c r="F883" s="62" t="s">
        <v>378</v>
      </c>
      <c r="G883" s="44"/>
      <c r="H883" s="116"/>
      <c r="I883" s="192"/>
      <c r="J883" s="48"/>
      <c r="K883" s="10">
        <v>1</v>
      </c>
    </row>
    <row r="884" spans="1:11" ht="37.5" x14ac:dyDescent="0.35">
      <c r="A884" s="11" t="s">
        <v>633</v>
      </c>
      <c r="B884" s="11" t="s">
        <v>369</v>
      </c>
      <c r="C884" s="11"/>
      <c r="D884" s="11"/>
      <c r="E884" s="11"/>
      <c r="F884" s="60" t="s">
        <v>379</v>
      </c>
      <c r="G884" s="44"/>
      <c r="H884" s="116"/>
      <c r="I884" s="192"/>
      <c r="J884" s="48"/>
      <c r="K884" s="10">
        <v>1</v>
      </c>
    </row>
    <row r="885" spans="1:11" x14ac:dyDescent="0.35">
      <c r="A885" s="11" t="s">
        <v>633</v>
      </c>
      <c r="B885" s="11" t="s">
        <v>369</v>
      </c>
      <c r="C885" s="11"/>
      <c r="D885" s="11"/>
      <c r="E885" s="11"/>
      <c r="F885" s="62" t="s">
        <v>380</v>
      </c>
      <c r="G885" s="44"/>
      <c r="H885" s="116"/>
      <c r="I885" s="192"/>
      <c r="J885" s="48"/>
      <c r="K885" s="10">
        <v>1</v>
      </c>
    </row>
    <row r="886" spans="1:11" ht="62.5" x14ac:dyDescent="0.35">
      <c r="A886" s="11" t="s">
        <v>633</v>
      </c>
      <c r="B886" s="11" t="s">
        <v>369</v>
      </c>
      <c r="C886" s="11"/>
      <c r="D886" s="11"/>
      <c r="E886" s="11"/>
      <c r="F886" s="60" t="s">
        <v>381</v>
      </c>
      <c r="G886" s="44"/>
      <c r="H886" s="116"/>
      <c r="I886" s="192"/>
      <c r="J886" s="48"/>
      <c r="K886" s="10">
        <v>1</v>
      </c>
    </row>
    <row r="887" spans="1:11" x14ac:dyDescent="0.35">
      <c r="A887" s="11" t="s">
        <v>633</v>
      </c>
      <c r="B887" s="11" t="s">
        <v>369</v>
      </c>
      <c r="C887" s="11"/>
      <c r="D887" s="11"/>
      <c r="E887" s="11"/>
      <c r="F887" s="62" t="s">
        <v>382</v>
      </c>
      <c r="G887" s="44"/>
      <c r="H887" s="116"/>
      <c r="I887" s="192"/>
      <c r="J887" s="48"/>
      <c r="K887" s="10">
        <v>1</v>
      </c>
    </row>
    <row r="888" spans="1:11" ht="75" x14ac:dyDescent="0.35">
      <c r="A888" s="11" t="s">
        <v>633</v>
      </c>
      <c r="B888" s="11" t="s">
        <v>369</v>
      </c>
      <c r="C888" s="11"/>
      <c r="D888" s="11"/>
      <c r="E888" s="11"/>
      <c r="F888" s="60" t="s">
        <v>383</v>
      </c>
      <c r="G888" s="44"/>
      <c r="H888" s="116"/>
      <c r="I888" s="192"/>
      <c r="J888" s="48"/>
      <c r="K888" s="10">
        <v>1</v>
      </c>
    </row>
    <row r="889" spans="1:11" x14ac:dyDescent="0.35">
      <c r="A889" s="11" t="s">
        <v>633</v>
      </c>
      <c r="B889" s="11" t="s">
        <v>369</v>
      </c>
      <c r="C889" s="11"/>
      <c r="D889" s="11"/>
      <c r="E889" s="11"/>
      <c r="F889" s="62" t="s">
        <v>384</v>
      </c>
      <c r="G889" s="44"/>
      <c r="H889" s="116"/>
      <c r="I889" s="192"/>
      <c r="J889" s="48"/>
      <c r="K889" s="10">
        <v>1</v>
      </c>
    </row>
    <row r="890" spans="1:11" ht="50" x14ac:dyDescent="0.35">
      <c r="A890" s="11" t="s">
        <v>633</v>
      </c>
      <c r="B890" s="11" t="s">
        <v>369</v>
      </c>
      <c r="C890" s="11"/>
      <c r="D890" s="11"/>
      <c r="E890" s="11"/>
      <c r="F890" s="60" t="s">
        <v>385</v>
      </c>
      <c r="G890" s="44"/>
      <c r="H890" s="116"/>
      <c r="I890" s="192"/>
      <c r="J890" s="48"/>
      <c r="K890" s="10">
        <v>1</v>
      </c>
    </row>
    <row r="891" spans="1:11" x14ac:dyDescent="0.35">
      <c r="A891" s="11" t="s">
        <v>633</v>
      </c>
      <c r="B891" s="11" t="s">
        <v>369</v>
      </c>
      <c r="C891" s="11"/>
      <c r="D891" s="11"/>
      <c r="E891" s="11"/>
      <c r="F891" s="62" t="s">
        <v>386</v>
      </c>
      <c r="G891" s="44"/>
      <c r="H891" s="116"/>
      <c r="I891" s="192"/>
      <c r="J891" s="48"/>
      <c r="K891" s="10">
        <v>1</v>
      </c>
    </row>
    <row r="892" spans="1:11" ht="37.5" x14ac:dyDescent="0.35">
      <c r="A892" s="11" t="s">
        <v>633</v>
      </c>
      <c r="B892" s="11" t="s">
        <v>369</v>
      </c>
      <c r="C892" s="11"/>
      <c r="D892" s="11"/>
      <c r="E892" s="11"/>
      <c r="F892" s="60" t="s">
        <v>387</v>
      </c>
      <c r="G892" s="44"/>
      <c r="H892" s="116"/>
      <c r="I892" s="192"/>
      <c r="J892" s="48"/>
      <c r="K892" s="10">
        <v>1</v>
      </c>
    </row>
    <row r="893" spans="1:11" x14ac:dyDescent="0.35">
      <c r="A893" s="11" t="s">
        <v>633</v>
      </c>
      <c r="B893" s="11" t="s">
        <v>369</v>
      </c>
      <c r="C893" s="11"/>
      <c r="D893" s="11"/>
      <c r="E893" s="11"/>
      <c r="F893" s="62" t="s">
        <v>388</v>
      </c>
      <c r="G893" s="44"/>
      <c r="H893" s="116"/>
      <c r="I893" s="192"/>
      <c r="J893" s="48"/>
      <c r="K893" s="10">
        <v>1</v>
      </c>
    </row>
    <row r="894" spans="1:11" ht="37.5" x14ac:dyDescent="0.35">
      <c r="A894" s="11" t="s">
        <v>633</v>
      </c>
      <c r="B894" s="11" t="s">
        <v>369</v>
      </c>
      <c r="C894" s="11"/>
      <c r="D894" s="11"/>
      <c r="E894" s="11"/>
      <c r="F894" s="60" t="s">
        <v>389</v>
      </c>
      <c r="G894" s="44"/>
      <c r="H894" s="116"/>
      <c r="I894" s="192"/>
      <c r="J894" s="48"/>
      <c r="K894" s="10">
        <v>1</v>
      </c>
    </row>
    <row r="895" spans="1:11" x14ac:dyDescent="0.35">
      <c r="A895" s="11" t="s">
        <v>633</v>
      </c>
      <c r="B895" s="11" t="s">
        <v>369</v>
      </c>
      <c r="C895" s="11"/>
      <c r="D895" s="11"/>
      <c r="E895" s="11"/>
      <c r="F895" s="62" t="s">
        <v>390</v>
      </c>
      <c r="G895" s="44"/>
      <c r="H895" s="116"/>
      <c r="I895" s="192"/>
      <c r="J895" s="48"/>
      <c r="K895" s="10">
        <v>1</v>
      </c>
    </row>
    <row r="896" spans="1:11" x14ac:dyDescent="0.35">
      <c r="A896" s="11" t="s">
        <v>633</v>
      </c>
      <c r="B896" s="11" t="s">
        <v>369</v>
      </c>
      <c r="C896" s="11"/>
      <c r="D896" s="11"/>
      <c r="E896" s="11"/>
      <c r="F896" s="60" t="s">
        <v>391</v>
      </c>
      <c r="G896" s="44"/>
      <c r="H896" s="116"/>
      <c r="I896" s="192"/>
      <c r="J896" s="48"/>
      <c r="K896" s="10">
        <v>1</v>
      </c>
    </row>
    <row r="897" spans="1:11" x14ac:dyDescent="0.35">
      <c r="A897" s="11" t="s">
        <v>633</v>
      </c>
      <c r="B897" s="11" t="s">
        <v>369</v>
      </c>
      <c r="C897" s="11"/>
      <c r="D897" s="11"/>
      <c r="E897" s="11"/>
      <c r="F897" s="62" t="s">
        <v>392</v>
      </c>
      <c r="G897" s="44"/>
      <c r="H897" s="116"/>
      <c r="I897" s="192"/>
      <c r="J897" s="48"/>
      <c r="K897" s="10">
        <v>1</v>
      </c>
    </row>
    <row r="898" spans="1:11" ht="50" x14ac:dyDescent="0.35">
      <c r="A898" s="11" t="s">
        <v>633</v>
      </c>
      <c r="B898" s="11" t="s">
        <v>369</v>
      </c>
      <c r="C898" s="11"/>
      <c r="D898" s="11"/>
      <c r="E898" s="11"/>
      <c r="F898" s="60" t="s">
        <v>393</v>
      </c>
      <c r="G898" s="44"/>
      <c r="H898" s="116"/>
      <c r="I898" s="192"/>
      <c r="J898" s="48"/>
      <c r="K898" s="10">
        <v>1</v>
      </c>
    </row>
    <row r="899" spans="1:11" ht="25" x14ac:dyDescent="0.35">
      <c r="A899" s="11" t="s">
        <v>633</v>
      </c>
      <c r="B899" s="11" t="s">
        <v>369</v>
      </c>
      <c r="C899" s="11"/>
      <c r="D899" s="11"/>
      <c r="E899" s="11"/>
      <c r="F899" s="60" t="s">
        <v>394</v>
      </c>
      <c r="G899" s="44"/>
      <c r="H899" s="116"/>
      <c r="I899" s="192"/>
      <c r="J899" s="48"/>
      <c r="K899" s="10">
        <v>1</v>
      </c>
    </row>
    <row r="900" spans="1:11" x14ac:dyDescent="0.35">
      <c r="A900" s="11" t="s">
        <v>633</v>
      </c>
      <c r="B900" s="11" t="s">
        <v>369</v>
      </c>
      <c r="C900" s="11"/>
      <c r="D900" s="11"/>
      <c r="E900" s="11"/>
      <c r="F900" s="62" t="s">
        <v>395</v>
      </c>
      <c r="G900" s="44"/>
      <c r="H900" s="116"/>
      <c r="I900" s="192"/>
      <c r="J900" s="48"/>
      <c r="K900" s="10">
        <v>1</v>
      </c>
    </row>
    <row r="901" spans="1:11" ht="25" x14ac:dyDescent="0.35">
      <c r="A901" s="11" t="s">
        <v>633</v>
      </c>
      <c r="B901" s="11" t="s">
        <v>369</v>
      </c>
      <c r="C901" s="11"/>
      <c r="D901" s="11"/>
      <c r="E901" s="11"/>
      <c r="F901" s="60" t="s">
        <v>396</v>
      </c>
      <c r="G901" s="44"/>
      <c r="H901" s="116"/>
      <c r="I901" s="192"/>
      <c r="J901" s="48"/>
      <c r="K901" s="10">
        <v>1</v>
      </c>
    </row>
    <row r="902" spans="1:11" ht="25" x14ac:dyDescent="0.35">
      <c r="A902" s="11" t="s">
        <v>633</v>
      </c>
      <c r="B902" s="11" t="s">
        <v>369</v>
      </c>
      <c r="C902" s="11"/>
      <c r="D902" s="11"/>
      <c r="E902" s="11"/>
      <c r="F902" s="60" t="s">
        <v>397</v>
      </c>
      <c r="G902" s="44"/>
      <c r="H902" s="116"/>
      <c r="I902" s="192"/>
      <c r="J902" s="48"/>
      <c r="K902" s="10">
        <v>1</v>
      </c>
    </row>
    <row r="903" spans="1:11" x14ac:dyDescent="0.35">
      <c r="A903" s="11" t="s">
        <v>633</v>
      </c>
      <c r="B903" s="11" t="s">
        <v>369</v>
      </c>
      <c r="C903" s="11"/>
      <c r="D903" s="11"/>
      <c r="E903" s="11"/>
      <c r="F903" s="62" t="s">
        <v>398</v>
      </c>
      <c r="G903" s="44"/>
      <c r="H903" s="116"/>
      <c r="I903" s="192"/>
      <c r="J903" s="48"/>
      <c r="K903" s="10">
        <v>1</v>
      </c>
    </row>
    <row r="904" spans="1:11" ht="50" x14ac:dyDescent="0.35">
      <c r="A904" s="11" t="s">
        <v>633</v>
      </c>
      <c r="B904" s="11" t="s">
        <v>369</v>
      </c>
      <c r="C904" s="11"/>
      <c r="D904" s="11"/>
      <c r="E904" s="11"/>
      <c r="F904" s="60" t="s">
        <v>399</v>
      </c>
      <c r="G904" s="44"/>
      <c r="H904" s="116"/>
      <c r="I904" s="192"/>
      <c r="J904" s="48"/>
      <c r="K904" s="10">
        <v>1</v>
      </c>
    </row>
    <row r="905" spans="1:11" ht="50" x14ac:dyDescent="0.35">
      <c r="A905" s="11" t="s">
        <v>633</v>
      </c>
      <c r="B905" s="11" t="s">
        <v>369</v>
      </c>
      <c r="C905" s="11"/>
      <c r="D905" s="11"/>
      <c r="E905" s="11"/>
      <c r="F905" s="60" t="s">
        <v>400</v>
      </c>
      <c r="G905" s="44"/>
      <c r="H905" s="116"/>
      <c r="I905" s="192"/>
      <c r="J905" s="48"/>
      <c r="K905" s="10">
        <v>1</v>
      </c>
    </row>
    <row r="906" spans="1:11" ht="37.5" x14ac:dyDescent="0.35">
      <c r="A906" s="11" t="s">
        <v>633</v>
      </c>
      <c r="B906" s="11" t="s">
        <v>369</v>
      </c>
      <c r="C906" s="11"/>
      <c r="D906" s="11"/>
      <c r="E906" s="11"/>
      <c r="F906" s="60" t="s">
        <v>401</v>
      </c>
      <c r="G906" s="44"/>
      <c r="H906" s="116"/>
      <c r="I906" s="192"/>
      <c r="J906" s="48"/>
      <c r="K906" s="10">
        <v>1</v>
      </c>
    </row>
    <row r="907" spans="1:11" ht="25" x14ac:dyDescent="0.35">
      <c r="A907" s="11" t="s">
        <v>633</v>
      </c>
      <c r="B907" s="11" t="s">
        <v>369</v>
      </c>
      <c r="C907" s="11"/>
      <c r="D907" s="11"/>
      <c r="E907" s="11"/>
      <c r="F907" s="60" t="s">
        <v>402</v>
      </c>
      <c r="G907" s="44"/>
      <c r="H907" s="116"/>
      <c r="I907" s="192"/>
      <c r="J907" s="48"/>
      <c r="K907" s="10">
        <v>1</v>
      </c>
    </row>
    <row r="908" spans="1:11" x14ac:dyDescent="0.35">
      <c r="A908" s="11" t="s">
        <v>633</v>
      </c>
      <c r="B908" s="11" t="s">
        <v>369</v>
      </c>
      <c r="C908" s="11"/>
      <c r="D908" s="11"/>
      <c r="E908" s="11"/>
      <c r="F908" s="62" t="s">
        <v>403</v>
      </c>
      <c r="G908" s="44"/>
      <c r="H908" s="116"/>
      <c r="I908" s="192"/>
      <c r="J908" s="48"/>
      <c r="K908" s="10">
        <v>1</v>
      </c>
    </row>
    <row r="909" spans="1:11" ht="62.5" x14ac:dyDescent="0.35">
      <c r="A909" s="11" t="s">
        <v>633</v>
      </c>
      <c r="B909" s="11" t="s">
        <v>369</v>
      </c>
      <c r="C909" s="11"/>
      <c r="D909" s="11"/>
      <c r="E909" s="11"/>
      <c r="F909" s="60" t="s">
        <v>404</v>
      </c>
      <c r="G909" s="44"/>
      <c r="H909" s="116"/>
      <c r="I909" s="192"/>
      <c r="J909" s="48"/>
      <c r="K909" s="10">
        <v>1</v>
      </c>
    </row>
    <row r="910" spans="1:11" ht="13" x14ac:dyDescent="0.35">
      <c r="A910" s="11" t="s">
        <v>633</v>
      </c>
      <c r="B910" s="11" t="s">
        <v>369</v>
      </c>
      <c r="C910" s="11"/>
      <c r="D910" s="11"/>
      <c r="E910" s="61"/>
      <c r="F910" s="193" t="s">
        <v>672</v>
      </c>
      <c r="G910" s="44"/>
      <c r="H910" s="194"/>
      <c r="I910" s="192"/>
      <c r="J910" s="195"/>
      <c r="K910" s="10">
        <v>1</v>
      </c>
    </row>
    <row r="911" spans="1:11" ht="13" x14ac:dyDescent="0.35">
      <c r="A911" s="11" t="s">
        <v>633</v>
      </c>
      <c r="B911" s="11" t="s">
        <v>369</v>
      </c>
      <c r="C911" s="11"/>
      <c r="D911" s="11"/>
      <c r="E911" s="61"/>
      <c r="F911" s="193" t="s">
        <v>673</v>
      </c>
      <c r="G911" s="44"/>
      <c r="H911" s="197"/>
      <c r="I911" s="192"/>
      <c r="J911" s="195"/>
      <c r="K911" s="10">
        <v>1</v>
      </c>
    </row>
    <row r="912" spans="1:11" ht="13" x14ac:dyDescent="0.35">
      <c r="A912" s="11" t="s">
        <v>633</v>
      </c>
      <c r="B912" s="11" t="s">
        <v>369</v>
      </c>
      <c r="C912" s="11"/>
      <c r="D912" s="11"/>
      <c r="E912" s="61"/>
      <c r="F912" s="193" t="s">
        <v>674</v>
      </c>
      <c r="G912" s="44"/>
      <c r="H912" s="194"/>
      <c r="I912" s="192"/>
      <c r="J912" s="195"/>
      <c r="K912" s="10">
        <v>1</v>
      </c>
    </row>
    <row r="913" spans="1:11" ht="50" x14ac:dyDescent="0.35">
      <c r="A913" s="11" t="s">
        <v>633</v>
      </c>
      <c r="B913" s="11" t="s">
        <v>369</v>
      </c>
      <c r="C913" s="11"/>
      <c r="D913" s="11" t="s">
        <v>20</v>
      </c>
      <c r="E913" s="61"/>
      <c r="F913" s="60" t="s">
        <v>675</v>
      </c>
      <c r="G913" s="44" t="s">
        <v>175</v>
      </c>
      <c r="H913" s="194">
        <v>1</v>
      </c>
      <c r="I913" s="47">
        <v>3700</v>
      </c>
      <c r="J913" s="48">
        <f>H913*I913</f>
        <v>3700</v>
      </c>
      <c r="K913" s="10">
        <v>1</v>
      </c>
    </row>
    <row r="914" spans="1:11" ht="13" x14ac:dyDescent="0.35">
      <c r="A914" s="11" t="s">
        <v>633</v>
      </c>
      <c r="B914" s="11" t="s">
        <v>369</v>
      </c>
      <c r="C914" s="11"/>
      <c r="D914" s="11"/>
      <c r="E914" s="61"/>
      <c r="F914" s="193" t="s">
        <v>676</v>
      </c>
      <c r="G914" s="44"/>
      <c r="H914" s="197"/>
      <c r="I914" s="192"/>
      <c r="J914" s="48"/>
      <c r="K914" s="10">
        <v>1</v>
      </c>
    </row>
    <row r="915" spans="1:11" ht="37.5" x14ac:dyDescent="0.35">
      <c r="A915" s="11" t="s">
        <v>633</v>
      </c>
      <c r="B915" s="11" t="s">
        <v>369</v>
      </c>
      <c r="C915" s="11"/>
      <c r="D915" s="11" t="s">
        <v>26</v>
      </c>
      <c r="E915" s="61"/>
      <c r="F915" s="198" t="s">
        <v>677</v>
      </c>
      <c r="G915" s="44" t="s">
        <v>175</v>
      </c>
      <c r="H915" s="197">
        <v>3</v>
      </c>
      <c r="I915" s="192">
        <v>1950</v>
      </c>
      <c r="J915" s="48">
        <f>I915*H915</f>
        <v>5850</v>
      </c>
      <c r="K915" s="10">
        <v>1</v>
      </c>
    </row>
    <row r="916" spans="1:11" s="205" customFormat="1" ht="25" x14ac:dyDescent="0.35">
      <c r="A916" s="11" t="s">
        <v>633</v>
      </c>
      <c r="B916" s="11" t="s">
        <v>369</v>
      </c>
      <c r="C916" s="11"/>
      <c r="D916" s="11" t="s">
        <v>29</v>
      </c>
      <c r="E916" s="199"/>
      <c r="F916" s="198" t="s">
        <v>678</v>
      </c>
      <c r="G916" s="200" t="s">
        <v>175</v>
      </c>
      <c r="H916" s="201">
        <v>3</v>
      </c>
      <c r="I916" s="192">
        <v>500</v>
      </c>
      <c r="J916" s="203">
        <f>H916*I916</f>
        <v>1500</v>
      </c>
      <c r="K916" s="10">
        <v>1</v>
      </c>
    </row>
    <row r="917" spans="1:11" s="205" customFormat="1" ht="25" x14ac:dyDescent="0.35">
      <c r="A917" s="11" t="s">
        <v>633</v>
      </c>
      <c r="B917" s="11" t="s">
        <v>369</v>
      </c>
      <c r="C917" s="11"/>
      <c r="D917" s="11" t="s">
        <v>32</v>
      </c>
      <c r="E917" s="199"/>
      <c r="F917" s="198" t="s">
        <v>679</v>
      </c>
      <c r="G917" s="200" t="s">
        <v>175</v>
      </c>
      <c r="H917" s="201">
        <v>3</v>
      </c>
      <c r="I917" s="192">
        <v>650</v>
      </c>
      <c r="J917" s="203">
        <f>H917*I917</f>
        <v>1950</v>
      </c>
      <c r="K917" s="10">
        <v>1</v>
      </c>
    </row>
    <row r="918" spans="1:11" ht="13" x14ac:dyDescent="0.35">
      <c r="A918" s="11" t="s">
        <v>633</v>
      </c>
      <c r="B918" s="11" t="s">
        <v>369</v>
      </c>
      <c r="C918" s="11"/>
      <c r="D918" s="11"/>
      <c r="E918" s="61"/>
      <c r="F918" s="193" t="s">
        <v>680</v>
      </c>
      <c r="G918" s="44"/>
      <c r="H918" s="194"/>
      <c r="I918" s="192"/>
      <c r="J918" s="48"/>
      <c r="K918" s="10">
        <v>1</v>
      </c>
    </row>
    <row r="919" spans="1:11" ht="25" x14ac:dyDescent="0.35">
      <c r="A919" s="11" t="s">
        <v>633</v>
      </c>
      <c r="B919" s="11" t="s">
        <v>369</v>
      </c>
      <c r="C919" s="11"/>
      <c r="D919" s="11" t="s">
        <v>36</v>
      </c>
      <c r="E919" s="61"/>
      <c r="F919" s="198" t="s">
        <v>681</v>
      </c>
      <c r="G919" s="44" t="s">
        <v>175</v>
      </c>
      <c r="H919" s="197">
        <v>2</v>
      </c>
      <c r="I919" s="192">
        <v>2700</v>
      </c>
      <c r="J919" s="48">
        <f>I919*H919</f>
        <v>5400</v>
      </c>
      <c r="K919" s="10">
        <v>1</v>
      </c>
    </row>
    <row r="920" spans="1:11" ht="13" x14ac:dyDescent="0.35">
      <c r="A920" s="11" t="s">
        <v>633</v>
      </c>
      <c r="B920" s="11" t="s">
        <v>369</v>
      </c>
      <c r="C920" s="11"/>
      <c r="D920" s="11"/>
      <c r="E920" s="61"/>
      <c r="F920" s="193" t="s">
        <v>682</v>
      </c>
      <c r="G920" s="44"/>
      <c r="H920" s="197"/>
      <c r="I920" s="192"/>
      <c r="J920" s="48"/>
      <c r="K920" s="10">
        <v>1</v>
      </c>
    </row>
    <row r="921" spans="1:11" ht="62.5" x14ac:dyDescent="0.35">
      <c r="A921" s="11" t="s">
        <v>633</v>
      </c>
      <c r="B921" s="11" t="s">
        <v>369</v>
      </c>
      <c r="C921" s="11"/>
      <c r="D921" s="11" t="s">
        <v>39</v>
      </c>
      <c r="E921" s="61"/>
      <c r="F921" s="198" t="s">
        <v>683</v>
      </c>
      <c r="G921" s="44" t="s">
        <v>175</v>
      </c>
      <c r="H921" s="197">
        <v>1</v>
      </c>
      <c r="I921" s="192">
        <v>7500</v>
      </c>
      <c r="J921" s="48">
        <f>I921*H921</f>
        <v>7500</v>
      </c>
      <c r="K921" s="10">
        <v>1</v>
      </c>
    </row>
    <row r="922" spans="1:11" ht="13" x14ac:dyDescent="0.35">
      <c r="A922" s="11" t="s">
        <v>633</v>
      </c>
      <c r="B922" s="11" t="s">
        <v>369</v>
      </c>
      <c r="C922" s="11"/>
      <c r="D922" s="11"/>
      <c r="E922" s="11"/>
      <c r="F922" s="43" t="s">
        <v>405</v>
      </c>
      <c r="G922" s="44"/>
      <c r="H922" s="58"/>
      <c r="I922" s="47"/>
      <c r="J922" s="48"/>
      <c r="K922" s="10">
        <v>1</v>
      </c>
    </row>
    <row r="923" spans="1:11" ht="13" x14ac:dyDescent="0.35">
      <c r="A923" s="11" t="s">
        <v>633</v>
      </c>
      <c r="B923" s="11" t="s">
        <v>369</v>
      </c>
      <c r="C923" s="11"/>
      <c r="D923" s="11"/>
      <c r="E923" s="11"/>
      <c r="F923" s="57" t="s">
        <v>406</v>
      </c>
      <c r="G923" s="44"/>
      <c r="H923" s="58"/>
      <c r="I923" s="47"/>
      <c r="J923" s="48"/>
      <c r="K923" s="10">
        <v>1</v>
      </c>
    </row>
    <row r="924" spans="1:11" ht="25" x14ac:dyDescent="0.35">
      <c r="A924" s="11" t="s">
        <v>633</v>
      </c>
      <c r="B924" s="11" t="s">
        <v>369</v>
      </c>
      <c r="C924" s="11"/>
      <c r="D924" s="11" t="s">
        <v>42</v>
      </c>
      <c r="E924" s="11"/>
      <c r="F924" s="60" t="s">
        <v>407</v>
      </c>
      <c r="G924" s="44" t="s">
        <v>186</v>
      </c>
      <c r="H924" s="58">
        <v>106</v>
      </c>
      <c r="I924" s="47">
        <v>165</v>
      </c>
      <c r="J924" s="48">
        <f>H924*I924</f>
        <v>17490</v>
      </c>
      <c r="K924" s="10">
        <v>1</v>
      </c>
    </row>
    <row r="925" spans="1:11" x14ac:dyDescent="0.35">
      <c r="A925" s="11" t="s">
        <v>633</v>
      </c>
      <c r="B925" s="11" t="s">
        <v>369</v>
      </c>
      <c r="C925" s="11"/>
      <c r="D925" s="11" t="s">
        <v>45</v>
      </c>
      <c r="E925" s="11"/>
      <c r="F925" s="60" t="s">
        <v>408</v>
      </c>
      <c r="G925" s="44" t="s">
        <v>175</v>
      </c>
      <c r="H925" s="85">
        <v>14</v>
      </c>
      <c r="I925" s="47">
        <v>350</v>
      </c>
      <c r="J925" s="48">
        <f>I925*H925</f>
        <v>4900</v>
      </c>
      <c r="K925" s="10">
        <v>1</v>
      </c>
    </row>
    <row r="926" spans="1:11" ht="25" x14ac:dyDescent="0.35">
      <c r="A926" s="11" t="s">
        <v>633</v>
      </c>
      <c r="B926" s="11" t="s">
        <v>369</v>
      </c>
      <c r="C926" s="11"/>
      <c r="D926" s="11" t="s">
        <v>48</v>
      </c>
      <c r="E926" s="61"/>
      <c r="F926" s="60" t="s">
        <v>409</v>
      </c>
      <c r="G926" s="44" t="s">
        <v>175</v>
      </c>
      <c r="H926" s="63">
        <v>14</v>
      </c>
      <c r="I926" s="47">
        <v>250</v>
      </c>
      <c r="J926" s="48">
        <f>H926*I926</f>
        <v>3500</v>
      </c>
      <c r="K926" s="10">
        <v>1</v>
      </c>
    </row>
    <row r="927" spans="1:11" ht="25" x14ac:dyDescent="0.35">
      <c r="A927" s="11" t="s">
        <v>633</v>
      </c>
      <c r="B927" s="11" t="s">
        <v>369</v>
      </c>
      <c r="C927" s="11"/>
      <c r="D927" s="11" t="s">
        <v>51</v>
      </c>
      <c r="E927" s="11"/>
      <c r="F927" s="60" t="s">
        <v>410</v>
      </c>
      <c r="G927" s="44" t="s">
        <v>186</v>
      </c>
      <c r="H927" s="58">
        <f>2.7*14</f>
        <v>37.800000000000004</v>
      </c>
      <c r="I927" s="47">
        <v>165</v>
      </c>
      <c r="J927" s="48">
        <f>H927*I927</f>
        <v>6237.0000000000009</v>
      </c>
      <c r="K927" s="10">
        <v>1</v>
      </c>
    </row>
    <row r="928" spans="1:11" x14ac:dyDescent="0.35">
      <c r="A928" s="11" t="s">
        <v>633</v>
      </c>
      <c r="B928" s="11" t="s">
        <v>369</v>
      </c>
      <c r="C928" s="11"/>
      <c r="D928" s="11" t="s">
        <v>53</v>
      </c>
      <c r="E928" s="11"/>
      <c r="F928" s="60" t="s">
        <v>411</v>
      </c>
      <c r="G928" s="44" t="s">
        <v>175</v>
      </c>
      <c r="H928" s="85">
        <v>14</v>
      </c>
      <c r="I928" s="47">
        <v>350</v>
      </c>
      <c r="J928" s="48">
        <f>I928*H928</f>
        <v>4900</v>
      </c>
      <c r="K928" s="10">
        <v>1</v>
      </c>
    </row>
    <row r="929" spans="1:11" ht="13" x14ac:dyDescent="0.35">
      <c r="A929" s="11" t="s">
        <v>633</v>
      </c>
      <c r="B929" s="11" t="s">
        <v>412</v>
      </c>
      <c r="C929" s="11"/>
      <c r="D929" s="11"/>
      <c r="E929" s="11"/>
      <c r="F929" s="43" t="s">
        <v>634</v>
      </c>
      <c r="G929" s="44"/>
      <c r="H929" s="45"/>
      <c r="I929" s="47"/>
      <c r="J929" s="48"/>
      <c r="K929" s="10">
        <v>1</v>
      </c>
    </row>
    <row r="930" spans="1:11" ht="13" x14ac:dyDescent="0.35">
      <c r="A930" s="11" t="s">
        <v>633</v>
      </c>
      <c r="B930" s="11" t="s">
        <v>412</v>
      </c>
      <c r="C930" s="11"/>
      <c r="D930" s="11"/>
      <c r="E930" s="11"/>
      <c r="F930" s="43" t="s">
        <v>635</v>
      </c>
      <c r="G930" s="44"/>
      <c r="H930" s="45"/>
      <c r="I930" s="47"/>
      <c r="J930" s="48"/>
      <c r="K930" s="10">
        <v>1</v>
      </c>
    </row>
    <row r="931" spans="1:11" ht="13" x14ac:dyDescent="0.35">
      <c r="A931" s="11" t="s">
        <v>633</v>
      </c>
      <c r="B931" s="11" t="s">
        <v>412</v>
      </c>
      <c r="C931" s="11"/>
      <c r="D931" s="11"/>
      <c r="E931" s="11"/>
      <c r="F931" s="43" t="s">
        <v>413</v>
      </c>
      <c r="G931" s="44"/>
      <c r="H931" s="45"/>
      <c r="I931" s="47"/>
      <c r="J931" s="48"/>
      <c r="K931" s="10">
        <v>1</v>
      </c>
    </row>
    <row r="932" spans="1:11" ht="13" x14ac:dyDescent="0.35">
      <c r="A932" s="11" t="s">
        <v>633</v>
      </c>
      <c r="B932" s="11" t="s">
        <v>412</v>
      </c>
      <c r="C932" s="11"/>
      <c r="D932" s="11"/>
      <c r="E932" s="11"/>
      <c r="F932" s="43" t="s">
        <v>414</v>
      </c>
      <c r="G932" s="44"/>
      <c r="H932" s="45"/>
      <c r="I932" s="47"/>
      <c r="J932" s="48"/>
      <c r="K932" s="10">
        <v>1</v>
      </c>
    </row>
    <row r="933" spans="1:11" ht="13" x14ac:dyDescent="0.35">
      <c r="A933" s="11" t="s">
        <v>633</v>
      </c>
      <c r="B933" s="11" t="s">
        <v>412</v>
      </c>
      <c r="C933" s="11"/>
      <c r="D933" s="11"/>
      <c r="E933" s="11"/>
      <c r="F933" s="57" t="s">
        <v>100</v>
      </c>
      <c r="G933" s="44"/>
      <c r="H933" s="45"/>
      <c r="I933" s="47"/>
      <c r="J933" s="48"/>
      <c r="K933" s="10">
        <v>1</v>
      </c>
    </row>
    <row r="934" spans="1:11" x14ac:dyDescent="0.35">
      <c r="A934" s="11" t="s">
        <v>633</v>
      </c>
      <c r="B934" s="11" t="s">
        <v>412</v>
      </c>
      <c r="C934" s="11"/>
      <c r="D934" s="11"/>
      <c r="E934" s="11"/>
      <c r="F934" s="60" t="s">
        <v>101</v>
      </c>
      <c r="G934" s="44"/>
      <c r="H934" s="45"/>
      <c r="I934" s="47"/>
      <c r="J934" s="48"/>
      <c r="K934" s="10">
        <v>1</v>
      </c>
    </row>
    <row r="935" spans="1:11" ht="13" x14ac:dyDescent="0.35">
      <c r="A935" s="11" t="s">
        <v>633</v>
      </c>
      <c r="B935" s="11" t="s">
        <v>412</v>
      </c>
      <c r="C935" s="11"/>
      <c r="D935" s="11"/>
      <c r="E935" s="11"/>
      <c r="F935" s="141" t="s">
        <v>684</v>
      </c>
      <c r="G935" s="44"/>
      <c r="H935" s="45"/>
      <c r="I935" s="47"/>
      <c r="J935" s="48"/>
      <c r="K935" s="10">
        <v>1</v>
      </c>
    </row>
    <row r="936" spans="1:11" ht="25" x14ac:dyDescent="0.35">
      <c r="A936" s="11" t="s">
        <v>633</v>
      </c>
      <c r="B936" s="11" t="s">
        <v>412</v>
      </c>
      <c r="C936" s="11"/>
      <c r="D936" s="11" t="s">
        <v>20</v>
      </c>
      <c r="E936" s="11"/>
      <c r="F936" s="142" t="s">
        <v>685</v>
      </c>
      <c r="G936" s="44" t="s">
        <v>110</v>
      </c>
      <c r="H936" s="45">
        <v>2</v>
      </c>
      <c r="I936" s="47">
        <v>450</v>
      </c>
      <c r="J936" s="48">
        <f>H936*I936</f>
        <v>900</v>
      </c>
      <c r="K936" s="10">
        <v>1</v>
      </c>
    </row>
    <row r="937" spans="1:11" ht="25" x14ac:dyDescent="0.35">
      <c r="A937" s="11" t="s">
        <v>633</v>
      </c>
      <c r="B937" s="11" t="s">
        <v>412</v>
      </c>
      <c r="C937" s="11"/>
      <c r="D937" s="11" t="s">
        <v>26</v>
      </c>
      <c r="E937" s="11"/>
      <c r="F937" s="142" t="s">
        <v>686</v>
      </c>
      <c r="G937" s="44" t="s">
        <v>110</v>
      </c>
      <c r="H937" s="45">
        <v>23</v>
      </c>
      <c r="I937" s="47">
        <v>450</v>
      </c>
      <c r="J937" s="48">
        <f>H937*I937</f>
        <v>10350</v>
      </c>
      <c r="K937" s="10">
        <v>1</v>
      </c>
    </row>
    <row r="938" spans="1:11" ht="25" x14ac:dyDescent="0.35">
      <c r="A938" s="11" t="s">
        <v>633</v>
      </c>
      <c r="B938" s="11" t="s">
        <v>412</v>
      </c>
      <c r="C938" s="11"/>
      <c r="D938" s="11" t="s">
        <v>29</v>
      </c>
      <c r="E938" s="11"/>
      <c r="F938" s="142" t="s">
        <v>687</v>
      </c>
      <c r="G938" s="44" t="s">
        <v>110</v>
      </c>
      <c r="H938" s="45">
        <v>4</v>
      </c>
      <c r="I938" s="47">
        <v>450</v>
      </c>
      <c r="J938" s="48">
        <f>H938*I938</f>
        <v>1800</v>
      </c>
      <c r="K938" s="10">
        <v>1</v>
      </c>
    </row>
    <row r="939" spans="1:11" ht="25" x14ac:dyDescent="0.35">
      <c r="A939" s="11" t="s">
        <v>633</v>
      </c>
      <c r="B939" s="11" t="s">
        <v>412</v>
      </c>
      <c r="C939" s="11"/>
      <c r="D939" s="11" t="s">
        <v>32</v>
      </c>
      <c r="E939" s="11"/>
      <c r="F939" s="142" t="s">
        <v>688</v>
      </c>
      <c r="G939" s="44" t="s">
        <v>110</v>
      </c>
      <c r="H939" s="45">
        <v>3</v>
      </c>
      <c r="I939" s="47">
        <v>450</v>
      </c>
      <c r="J939" s="48">
        <f>H939*I939</f>
        <v>1350</v>
      </c>
      <c r="K939" s="10">
        <v>1</v>
      </c>
    </row>
    <row r="940" spans="1:11" ht="13" x14ac:dyDescent="0.35">
      <c r="A940" s="11" t="s">
        <v>633</v>
      </c>
      <c r="B940" s="11" t="s">
        <v>418</v>
      </c>
      <c r="C940" s="11"/>
      <c r="D940" s="11"/>
      <c r="E940" s="11"/>
      <c r="F940" s="43" t="s">
        <v>634</v>
      </c>
      <c r="G940" s="44"/>
      <c r="H940" s="45"/>
      <c r="I940" s="47"/>
      <c r="J940" s="48"/>
      <c r="K940" s="10">
        <v>1</v>
      </c>
    </row>
    <row r="941" spans="1:11" ht="13" x14ac:dyDescent="0.35">
      <c r="A941" s="11" t="s">
        <v>633</v>
      </c>
      <c r="B941" s="11" t="s">
        <v>418</v>
      </c>
      <c r="C941" s="11"/>
      <c r="D941" s="11"/>
      <c r="E941" s="11"/>
      <c r="F941" s="43" t="s">
        <v>635</v>
      </c>
      <c r="G941" s="44"/>
      <c r="H941" s="45"/>
      <c r="I941" s="47"/>
      <c r="J941" s="48"/>
      <c r="K941" s="10">
        <v>1</v>
      </c>
    </row>
    <row r="942" spans="1:11" ht="13" x14ac:dyDescent="0.35">
      <c r="A942" s="11" t="s">
        <v>633</v>
      </c>
      <c r="B942" s="11" t="s">
        <v>418</v>
      </c>
      <c r="C942" s="11"/>
      <c r="D942" s="11"/>
      <c r="E942" s="11"/>
      <c r="F942" s="43" t="s">
        <v>419</v>
      </c>
      <c r="G942" s="44"/>
      <c r="H942" s="45"/>
      <c r="I942" s="47"/>
      <c r="J942" s="48"/>
      <c r="K942" s="10">
        <v>1</v>
      </c>
    </row>
    <row r="943" spans="1:11" ht="13" x14ac:dyDescent="0.35">
      <c r="A943" s="11" t="s">
        <v>633</v>
      </c>
      <c r="B943" s="11" t="s">
        <v>418</v>
      </c>
      <c r="C943" s="11"/>
      <c r="D943" s="11"/>
      <c r="E943" s="11"/>
      <c r="F943" s="43" t="s">
        <v>420</v>
      </c>
      <c r="G943" s="44"/>
      <c r="H943" s="45"/>
      <c r="I943" s="47"/>
      <c r="J943" s="48"/>
      <c r="K943" s="10">
        <v>1</v>
      </c>
    </row>
    <row r="944" spans="1:11" ht="13" x14ac:dyDescent="0.35">
      <c r="A944" s="11" t="s">
        <v>633</v>
      </c>
      <c r="B944" s="11" t="s">
        <v>418</v>
      </c>
      <c r="C944" s="11"/>
      <c r="D944" s="11"/>
      <c r="E944" s="11"/>
      <c r="F944" s="57" t="s">
        <v>100</v>
      </c>
      <c r="G944" s="44"/>
      <c r="H944" s="45"/>
      <c r="I944" s="47"/>
      <c r="J944" s="48"/>
      <c r="K944" s="10">
        <v>1</v>
      </c>
    </row>
    <row r="945" spans="1:11" x14ac:dyDescent="0.35">
      <c r="A945" s="11" t="s">
        <v>633</v>
      </c>
      <c r="B945" s="11" t="s">
        <v>418</v>
      </c>
      <c r="C945" s="11"/>
      <c r="D945" s="11"/>
      <c r="E945" s="11"/>
      <c r="F945" s="60" t="s">
        <v>101</v>
      </c>
      <c r="G945" s="44"/>
      <c r="H945" s="45"/>
      <c r="I945" s="47"/>
      <c r="J945" s="48"/>
      <c r="K945" s="10">
        <v>1</v>
      </c>
    </row>
    <row r="946" spans="1:11" ht="13" x14ac:dyDescent="0.35">
      <c r="A946" s="11" t="s">
        <v>633</v>
      </c>
      <c r="B946" s="11" t="s">
        <v>418</v>
      </c>
      <c r="C946" s="11"/>
      <c r="D946" s="11"/>
      <c r="E946" s="11"/>
      <c r="F946" s="57" t="s">
        <v>333</v>
      </c>
      <c r="G946" s="44"/>
      <c r="H946" s="45"/>
      <c r="I946" s="47"/>
      <c r="J946" s="48"/>
      <c r="K946" s="10">
        <v>1</v>
      </c>
    </row>
    <row r="947" spans="1:11" ht="112.5" x14ac:dyDescent="0.35">
      <c r="A947" s="11" t="s">
        <v>633</v>
      </c>
      <c r="B947" s="11" t="s">
        <v>418</v>
      </c>
      <c r="C947" s="11"/>
      <c r="D947" s="11"/>
      <c r="E947" s="11"/>
      <c r="F947" s="60" t="s">
        <v>421</v>
      </c>
      <c r="G947" s="44"/>
      <c r="H947" s="117"/>
      <c r="I947" s="47"/>
      <c r="J947" s="48"/>
      <c r="K947" s="10">
        <v>1</v>
      </c>
    </row>
    <row r="948" spans="1:11" x14ac:dyDescent="0.35">
      <c r="A948" s="11" t="s">
        <v>633</v>
      </c>
      <c r="B948" s="11" t="s">
        <v>418</v>
      </c>
      <c r="C948" s="11"/>
      <c r="D948" s="11"/>
      <c r="E948" s="11"/>
      <c r="F948" s="62" t="s">
        <v>422</v>
      </c>
      <c r="G948" s="44"/>
      <c r="H948" s="45"/>
      <c r="I948" s="47"/>
      <c r="J948" s="48"/>
      <c r="K948" s="10">
        <v>1</v>
      </c>
    </row>
    <row r="949" spans="1:11" x14ac:dyDescent="0.35">
      <c r="A949" s="11" t="s">
        <v>633</v>
      </c>
      <c r="B949" s="11" t="s">
        <v>418</v>
      </c>
      <c r="C949" s="11"/>
      <c r="D949" s="11"/>
      <c r="E949" s="11"/>
      <c r="F949" s="62" t="s">
        <v>423</v>
      </c>
      <c r="G949" s="44"/>
      <c r="H949" s="45"/>
      <c r="I949" s="47"/>
      <c r="J949" s="48"/>
      <c r="K949" s="10">
        <v>1</v>
      </c>
    </row>
    <row r="950" spans="1:11" ht="50" x14ac:dyDescent="0.35">
      <c r="A950" s="11" t="s">
        <v>633</v>
      </c>
      <c r="B950" s="11" t="s">
        <v>418</v>
      </c>
      <c r="C950" s="11"/>
      <c r="D950" s="11"/>
      <c r="E950" s="11"/>
      <c r="F950" s="60" t="s">
        <v>424</v>
      </c>
      <c r="G950" s="44"/>
      <c r="H950" s="45"/>
      <c r="I950" s="47"/>
      <c r="J950" s="48"/>
      <c r="K950" s="10">
        <v>1</v>
      </c>
    </row>
    <row r="951" spans="1:11" x14ac:dyDescent="0.35">
      <c r="A951" s="11" t="s">
        <v>633</v>
      </c>
      <c r="B951" s="11" t="s">
        <v>418</v>
      </c>
      <c r="C951" s="11"/>
      <c r="D951" s="11"/>
      <c r="E951" s="11"/>
      <c r="F951" s="62" t="s">
        <v>425</v>
      </c>
      <c r="G951" s="44"/>
      <c r="H951" s="45"/>
      <c r="I951" s="47"/>
      <c r="J951" s="48"/>
      <c r="K951" s="10">
        <v>1</v>
      </c>
    </row>
    <row r="952" spans="1:11" ht="25" x14ac:dyDescent="0.35">
      <c r="A952" s="11" t="s">
        <v>633</v>
      </c>
      <c r="B952" s="11" t="s">
        <v>418</v>
      </c>
      <c r="C952" s="11"/>
      <c r="D952" s="11"/>
      <c r="E952" s="11"/>
      <c r="F952" s="143" t="s">
        <v>426</v>
      </c>
      <c r="G952" s="44"/>
      <c r="H952" s="45"/>
      <c r="I952" s="47"/>
      <c r="J952" s="48"/>
      <c r="K952" s="10">
        <v>1</v>
      </c>
    </row>
    <row r="953" spans="1:11" ht="25" x14ac:dyDescent="0.35">
      <c r="A953" s="11" t="s">
        <v>633</v>
      </c>
      <c r="B953" s="11" t="s">
        <v>418</v>
      </c>
      <c r="C953" s="11"/>
      <c r="D953" s="11"/>
      <c r="E953" s="11"/>
      <c r="F953" s="143" t="s">
        <v>427</v>
      </c>
      <c r="G953" s="44"/>
      <c r="H953" s="45"/>
      <c r="I953" s="47"/>
      <c r="J953" s="48"/>
      <c r="K953" s="10">
        <v>1</v>
      </c>
    </row>
    <row r="954" spans="1:11" x14ac:dyDescent="0.35">
      <c r="A954" s="11" t="s">
        <v>633</v>
      </c>
      <c r="B954" s="11" t="s">
        <v>418</v>
      </c>
      <c r="C954" s="11"/>
      <c r="D954" s="11"/>
      <c r="E954" s="11"/>
      <c r="F954" s="62" t="s">
        <v>428</v>
      </c>
      <c r="G954" s="44"/>
      <c r="H954" s="45"/>
      <c r="I954" s="47"/>
      <c r="J954" s="48"/>
      <c r="K954" s="10">
        <v>1</v>
      </c>
    </row>
    <row r="955" spans="1:11" ht="37.5" x14ac:dyDescent="0.35">
      <c r="A955" s="11" t="s">
        <v>633</v>
      </c>
      <c r="B955" s="11" t="s">
        <v>418</v>
      </c>
      <c r="C955" s="11"/>
      <c r="D955" s="11"/>
      <c r="E955" s="11"/>
      <c r="F955" s="143" t="s">
        <v>429</v>
      </c>
      <c r="G955" s="44"/>
      <c r="H955" s="45"/>
      <c r="I955" s="47"/>
      <c r="J955" s="48"/>
      <c r="K955" s="10">
        <v>1</v>
      </c>
    </row>
    <row r="956" spans="1:11" ht="13" x14ac:dyDescent="0.35">
      <c r="A956" s="11" t="s">
        <v>633</v>
      </c>
      <c r="B956" s="11" t="s">
        <v>418</v>
      </c>
      <c r="C956" s="11"/>
      <c r="D956" s="11"/>
      <c r="E956" s="11"/>
      <c r="F956" s="57" t="s">
        <v>430</v>
      </c>
      <c r="G956" s="44"/>
      <c r="H956" s="45"/>
      <c r="I956" s="47"/>
      <c r="J956" s="48"/>
      <c r="K956" s="10">
        <v>1</v>
      </c>
    </row>
    <row r="957" spans="1:11" ht="13" x14ac:dyDescent="0.35">
      <c r="A957" s="11" t="s">
        <v>633</v>
      </c>
      <c r="B957" s="11" t="s">
        <v>418</v>
      </c>
      <c r="C957" s="11"/>
      <c r="D957" s="11"/>
      <c r="E957" s="11"/>
      <c r="F957" s="57" t="s">
        <v>431</v>
      </c>
      <c r="G957" s="44"/>
      <c r="H957" s="45"/>
      <c r="I957" s="47"/>
      <c r="J957" s="48"/>
      <c r="K957" s="10">
        <v>1</v>
      </c>
    </row>
    <row r="958" spans="1:11" ht="26" x14ac:dyDescent="0.35">
      <c r="A958" s="11" t="s">
        <v>633</v>
      </c>
      <c r="B958" s="11" t="s">
        <v>418</v>
      </c>
      <c r="C958" s="11"/>
      <c r="D958" s="11"/>
      <c r="E958" s="11"/>
      <c r="F958" s="57" t="s">
        <v>432</v>
      </c>
      <c r="G958" s="44"/>
      <c r="H958" s="45"/>
      <c r="I958" s="47"/>
      <c r="J958" s="48"/>
      <c r="K958" s="10">
        <v>1</v>
      </c>
    </row>
    <row r="959" spans="1:11" ht="14.5" x14ac:dyDescent="0.35">
      <c r="A959" s="11" t="s">
        <v>633</v>
      </c>
      <c r="B959" s="11" t="s">
        <v>418</v>
      </c>
      <c r="C959" s="11"/>
      <c r="D959" s="11" t="s">
        <v>20</v>
      </c>
      <c r="E959" s="11"/>
      <c r="F959" s="60" t="s">
        <v>433</v>
      </c>
      <c r="G959" s="44" t="s">
        <v>110</v>
      </c>
      <c r="H959" s="45">
        <f>H869</f>
        <v>702</v>
      </c>
      <c r="I959" s="47">
        <v>85</v>
      </c>
      <c r="J959" s="48">
        <f>H959*I959</f>
        <v>59670</v>
      </c>
      <c r="K959" s="10">
        <v>1</v>
      </c>
    </row>
    <row r="960" spans="1:11" ht="14.5" x14ac:dyDescent="0.35">
      <c r="A960" s="11" t="s">
        <v>633</v>
      </c>
      <c r="B960" s="11" t="s">
        <v>418</v>
      </c>
      <c r="C960" s="11"/>
      <c r="D960" s="11" t="s">
        <v>26</v>
      </c>
      <c r="E960" s="11"/>
      <c r="F960" s="60" t="s">
        <v>434</v>
      </c>
      <c r="G960" s="44" t="s">
        <v>110</v>
      </c>
      <c r="H960" s="45">
        <f>H959*0.15</f>
        <v>105.3</v>
      </c>
      <c r="I960" s="47">
        <v>85</v>
      </c>
      <c r="J960" s="48">
        <f>H960*I960</f>
        <v>8950.5</v>
      </c>
      <c r="K960" s="10">
        <v>1</v>
      </c>
    </row>
    <row r="961" spans="1:11" ht="13" x14ac:dyDescent="0.35">
      <c r="A961" s="11" t="s">
        <v>633</v>
      </c>
      <c r="B961" s="11" t="s">
        <v>418</v>
      </c>
      <c r="C961" s="11"/>
      <c r="D961" s="11"/>
      <c r="E961" s="11"/>
      <c r="F961" s="57" t="s">
        <v>689</v>
      </c>
      <c r="G961" s="44"/>
      <c r="H961" s="45"/>
      <c r="I961" s="47"/>
      <c r="J961" s="48"/>
      <c r="K961" s="10">
        <v>1</v>
      </c>
    </row>
    <row r="962" spans="1:11" ht="26" x14ac:dyDescent="0.35">
      <c r="A962" s="11" t="s">
        <v>633</v>
      </c>
      <c r="B962" s="11" t="s">
        <v>418</v>
      </c>
      <c r="C962" s="11"/>
      <c r="D962" s="11"/>
      <c r="E962" s="11"/>
      <c r="F962" s="57" t="s">
        <v>690</v>
      </c>
      <c r="G962" s="44"/>
      <c r="H962" s="45"/>
      <c r="I962" s="47"/>
      <c r="J962" s="48"/>
      <c r="K962" s="10">
        <v>1</v>
      </c>
    </row>
    <row r="963" spans="1:11" ht="14.5" x14ac:dyDescent="0.35">
      <c r="A963" s="11" t="s">
        <v>633</v>
      </c>
      <c r="B963" s="11" t="s">
        <v>418</v>
      </c>
      <c r="C963" s="11"/>
      <c r="D963" s="11" t="s">
        <v>29</v>
      </c>
      <c r="E963" s="11"/>
      <c r="F963" s="60" t="s">
        <v>691</v>
      </c>
      <c r="G963" s="44" t="s">
        <v>110</v>
      </c>
      <c r="H963" s="45">
        <v>11</v>
      </c>
      <c r="I963" s="47">
        <v>85</v>
      </c>
      <c r="J963" s="48">
        <f>H963*I963</f>
        <v>935</v>
      </c>
      <c r="K963" s="10">
        <v>1</v>
      </c>
    </row>
    <row r="964" spans="1:11" ht="13" x14ac:dyDescent="0.35">
      <c r="A964" s="11" t="s">
        <v>633</v>
      </c>
      <c r="B964" s="11" t="s">
        <v>418</v>
      </c>
      <c r="C964" s="11"/>
      <c r="D964" s="11"/>
      <c r="E964" s="11"/>
      <c r="F964" s="57" t="s">
        <v>435</v>
      </c>
      <c r="G964" s="44"/>
      <c r="H964" s="45"/>
      <c r="I964" s="47"/>
      <c r="J964" s="48"/>
      <c r="K964" s="10">
        <v>1</v>
      </c>
    </row>
    <row r="965" spans="1:11" ht="26" x14ac:dyDescent="0.35">
      <c r="A965" s="11" t="s">
        <v>633</v>
      </c>
      <c r="B965" s="11" t="s">
        <v>418</v>
      </c>
      <c r="C965" s="11"/>
      <c r="D965" s="11"/>
      <c r="E965" s="11"/>
      <c r="F965" s="57" t="s">
        <v>436</v>
      </c>
      <c r="G965" s="44"/>
      <c r="H965" s="45"/>
      <c r="I965" s="47"/>
      <c r="J965" s="48"/>
      <c r="K965" s="10">
        <v>1</v>
      </c>
    </row>
    <row r="966" spans="1:11" ht="14.5" x14ac:dyDescent="0.35">
      <c r="A966" s="11" t="s">
        <v>633</v>
      </c>
      <c r="B966" s="11" t="s">
        <v>418</v>
      </c>
      <c r="C966" s="11"/>
      <c r="D966" s="144" t="s">
        <v>32</v>
      </c>
      <c r="E966" s="144"/>
      <c r="F966" s="146" t="s">
        <v>437</v>
      </c>
      <c r="G966" s="147" t="s">
        <v>110</v>
      </c>
      <c r="H966" s="206">
        <f>H765</f>
        <v>295</v>
      </c>
      <c r="I966" s="208">
        <v>85</v>
      </c>
      <c r="J966" s="151">
        <f>H966*I966</f>
        <v>25075</v>
      </c>
      <c r="K966" s="10">
        <v>1</v>
      </c>
    </row>
    <row r="967" spans="1:11" ht="14.5" x14ac:dyDescent="0.35">
      <c r="A967" s="11" t="s">
        <v>633</v>
      </c>
      <c r="B967" s="11" t="s">
        <v>418</v>
      </c>
      <c r="C967" s="11"/>
      <c r="D967" s="11" t="s">
        <v>36</v>
      </c>
      <c r="E967" s="11"/>
      <c r="F967" s="60" t="s">
        <v>438</v>
      </c>
      <c r="G967" s="44" t="s">
        <v>110</v>
      </c>
      <c r="H967" s="45">
        <f>H768*0.3</f>
        <v>103.5</v>
      </c>
      <c r="I967" s="47">
        <v>85</v>
      </c>
      <c r="J967" s="48">
        <f>H967*I967</f>
        <v>8797.5</v>
      </c>
      <c r="K967" s="10">
        <v>1</v>
      </c>
    </row>
    <row r="968" spans="1:11" x14ac:dyDescent="0.35">
      <c r="A968" s="11" t="s">
        <v>633</v>
      </c>
      <c r="B968" s="11" t="s">
        <v>418</v>
      </c>
      <c r="C968" s="11"/>
      <c r="D968" s="11" t="s">
        <v>39</v>
      </c>
      <c r="E968" s="134"/>
      <c r="F968" s="60" t="s">
        <v>692</v>
      </c>
      <c r="G968" s="44" t="s">
        <v>186</v>
      </c>
      <c r="H968" s="209">
        <v>106</v>
      </c>
      <c r="I968" s="211">
        <v>95</v>
      </c>
      <c r="J968" s="48">
        <f>H968*I968</f>
        <v>10070</v>
      </c>
      <c r="K968" s="10">
        <v>1</v>
      </c>
    </row>
    <row r="969" spans="1:11" ht="13" x14ac:dyDescent="0.35">
      <c r="A969" s="11" t="s">
        <v>633</v>
      </c>
      <c r="B969" s="11" t="s">
        <v>418</v>
      </c>
      <c r="C969" s="11"/>
      <c r="D969" s="11"/>
      <c r="E969" s="134"/>
      <c r="F969" s="57" t="s">
        <v>440</v>
      </c>
      <c r="G969" s="44"/>
      <c r="H969" s="122"/>
      <c r="I969" s="121"/>
      <c r="J969" s="48"/>
      <c r="K969" s="10">
        <v>1</v>
      </c>
    </row>
    <row r="970" spans="1:11" ht="26" x14ac:dyDescent="0.35">
      <c r="A970" s="11" t="s">
        <v>633</v>
      </c>
      <c r="B970" s="11" t="s">
        <v>418</v>
      </c>
      <c r="C970" s="11"/>
      <c r="D970" s="11"/>
      <c r="E970" s="134"/>
      <c r="F970" s="57" t="s">
        <v>441</v>
      </c>
      <c r="G970" s="44"/>
      <c r="H970" s="122"/>
      <c r="I970" s="121"/>
      <c r="J970" s="48"/>
      <c r="K970" s="10">
        <v>1</v>
      </c>
    </row>
    <row r="971" spans="1:11" ht="14.5" x14ac:dyDescent="0.35">
      <c r="A971" s="11" t="s">
        <v>633</v>
      </c>
      <c r="B971" s="11" t="s">
        <v>418</v>
      </c>
      <c r="C971" s="11"/>
      <c r="D971" s="11" t="s">
        <v>42</v>
      </c>
      <c r="E971" s="134"/>
      <c r="F971" s="60" t="s">
        <v>442</v>
      </c>
      <c r="G971" s="44" t="s">
        <v>110</v>
      </c>
      <c r="H971" s="122">
        <v>50</v>
      </c>
      <c r="I971" s="121">
        <v>85</v>
      </c>
      <c r="J971" s="48">
        <f>H971*I971</f>
        <v>4250</v>
      </c>
      <c r="K971" s="10">
        <v>1</v>
      </c>
    </row>
    <row r="972" spans="1:11" ht="14.5" x14ac:dyDescent="0.35">
      <c r="A972" s="11" t="s">
        <v>633</v>
      </c>
      <c r="B972" s="11" t="s">
        <v>418</v>
      </c>
      <c r="C972" s="11"/>
      <c r="D972" s="11" t="s">
        <v>45</v>
      </c>
      <c r="E972" s="134"/>
      <c r="F972" s="60" t="s">
        <v>443</v>
      </c>
      <c r="G972" s="44" t="s">
        <v>110</v>
      </c>
      <c r="H972" s="122">
        <v>32</v>
      </c>
      <c r="I972" s="121">
        <v>85</v>
      </c>
      <c r="J972" s="48">
        <f>H972*I972</f>
        <v>2720</v>
      </c>
      <c r="K972" s="10">
        <v>1</v>
      </c>
    </row>
    <row r="973" spans="1:11" ht="13" x14ac:dyDescent="0.35">
      <c r="A973" s="11" t="s">
        <v>633</v>
      </c>
      <c r="B973" s="11" t="s">
        <v>418</v>
      </c>
      <c r="C973" s="11"/>
      <c r="D973" s="11"/>
      <c r="E973" s="134"/>
      <c r="F973" s="193" t="s">
        <v>693</v>
      </c>
      <c r="G973" s="44"/>
      <c r="H973" s="212"/>
      <c r="I973" s="214"/>
      <c r="J973" s="48"/>
      <c r="K973" s="10">
        <v>1</v>
      </c>
    </row>
    <row r="974" spans="1:11" ht="26" x14ac:dyDescent="0.35">
      <c r="A974" s="11" t="s">
        <v>633</v>
      </c>
      <c r="B974" s="11" t="s">
        <v>418</v>
      </c>
      <c r="C974" s="11"/>
      <c r="D974" s="11"/>
      <c r="E974" s="134"/>
      <c r="F974" s="57" t="s">
        <v>694</v>
      </c>
      <c r="G974" s="44"/>
      <c r="H974" s="212"/>
      <c r="I974" s="214"/>
      <c r="J974" s="48"/>
      <c r="K974" s="10">
        <v>1</v>
      </c>
    </row>
    <row r="975" spans="1:11" ht="14.5" x14ac:dyDescent="0.35">
      <c r="A975" s="11" t="s">
        <v>633</v>
      </c>
      <c r="B975" s="11" t="s">
        <v>418</v>
      </c>
      <c r="C975" s="11"/>
      <c r="D975" s="11" t="s">
        <v>48</v>
      </c>
      <c r="E975" s="134"/>
      <c r="F975" s="60" t="s">
        <v>695</v>
      </c>
      <c r="G975" s="44" t="s">
        <v>110</v>
      </c>
      <c r="H975" s="212">
        <v>72</v>
      </c>
      <c r="I975" s="211">
        <v>85</v>
      </c>
      <c r="J975" s="48">
        <f>H975*I975</f>
        <v>6120</v>
      </c>
      <c r="K975" s="10">
        <v>1</v>
      </c>
    </row>
    <row r="976" spans="1:11" x14ac:dyDescent="0.35">
      <c r="A976" s="11" t="s">
        <v>633</v>
      </c>
      <c r="B976" s="11" t="s">
        <v>418</v>
      </c>
      <c r="C976" s="11"/>
      <c r="D976" s="11" t="s">
        <v>51</v>
      </c>
      <c r="E976" s="134"/>
      <c r="F976" s="60" t="s">
        <v>696</v>
      </c>
      <c r="G976" s="44" t="s">
        <v>186</v>
      </c>
      <c r="H976" s="215">
        <v>320</v>
      </c>
      <c r="I976" s="211">
        <v>95</v>
      </c>
      <c r="J976" s="48">
        <f>H976*I976</f>
        <v>30400</v>
      </c>
      <c r="K976" s="10">
        <v>1</v>
      </c>
    </row>
    <row r="977" spans="1:11" ht="13" x14ac:dyDescent="0.35">
      <c r="A977" s="11" t="s">
        <v>633</v>
      </c>
      <c r="B977" s="11" t="s">
        <v>448</v>
      </c>
      <c r="C977" s="11"/>
      <c r="D977" s="217"/>
      <c r="E977" s="50"/>
      <c r="F977" s="43" t="s">
        <v>95</v>
      </c>
      <c r="G977" s="44"/>
      <c r="H977" s="45"/>
      <c r="I977" s="47"/>
      <c r="J977" s="55"/>
      <c r="K977" s="10">
        <v>1</v>
      </c>
    </row>
    <row r="978" spans="1:11" ht="13" x14ac:dyDescent="0.35">
      <c r="A978" s="11" t="s">
        <v>633</v>
      </c>
      <c r="B978" s="11" t="s">
        <v>448</v>
      </c>
      <c r="C978" s="11"/>
      <c r="D978" s="217"/>
      <c r="E978" s="50"/>
      <c r="F978" s="43" t="s">
        <v>635</v>
      </c>
      <c r="G978" s="44"/>
      <c r="H978" s="45"/>
      <c r="I978" s="47"/>
      <c r="J978" s="55"/>
      <c r="K978" s="10">
        <v>1</v>
      </c>
    </row>
    <row r="979" spans="1:11" ht="13" x14ac:dyDescent="0.35">
      <c r="A979" s="11" t="s">
        <v>633</v>
      </c>
      <c r="B979" s="11" t="s">
        <v>448</v>
      </c>
      <c r="C979" s="11"/>
      <c r="D979" s="217"/>
      <c r="E979" s="50"/>
      <c r="F979" s="43" t="s">
        <v>449</v>
      </c>
      <c r="G979" s="44"/>
      <c r="H979" s="45"/>
      <c r="I979" s="47"/>
      <c r="J979" s="55"/>
      <c r="K979" s="10">
        <v>1</v>
      </c>
    </row>
    <row r="980" spans="1:11" ht="13" x14ac:dyDescent="0.35">
      <c r="A980" s="11" t="s">
        <v>633</v>
      </c>
      <c r="B980" s="11" t="s">
        <v>448</v>
      </c>
      <c r="C980" s="11"/>
      <c r="D980" s="217"/>
      <c r="E980" s="50"/>
      <c r="F980" s="43" t="s">
        <v>697</v>
      </c>
      <c r="G980" s="44"/>
      <c r="H980" s="45"/>
      <c r="I980" s="47"/>
      <c r="J980" s="55"/>
      <c r="K980" s="10">
        <v>1</v>
      </c>
    </row>
    <row r="981" spans="1:11" ht="13" x14ac:dyDescent="0.35">
      <c r="A981" s="11" t="s">
        <v>633</v>
      </c>
      <c r="B981" s="11" t="s">
        <v>448</v>
      </c>
      <c r="C981" s="11"/>
      <c r="D981" s="217"/>
      <c r="E981" s="50"/>
      <c r="F981" s="57" t="s">
        <v>100</v>
      </c>
      <c r="G981" s="44"/>
      <c r="H981" s="45"/>
      <c r="I981" s="47"/>
      <c r="J981" s="55"/>
      <c r="K981" s="10">
        <v>1</v>
      </c>
    </row>
    <row r="982" spans="1:11" ht="13" x14ac:dyDescent="0.35">
      <c r="A982" s="11" t="s">
        <v>633</v>
      </c>
      <c r="B982" s="11" t="s">
        <v>448</v>
      </c>
      <c r="C982" s="11"/>
      <c r="D982" s="217"/>
      <c r="E982" s="50"/>
      <c r="F982" s="60" t="s">
        <v>101</v>
      </c>
      <c r="G982" s="44"/>
      <c r="H982" s="45"/>
      <c r="I982" s="47"/>
      <c r="J982" s="55"/>
      <c r="K982" s="10">
        <v>1</v>
      </c>
    </row>
    <row r="983" spans="1:11" ht="13" x14ac:dyDescent="0.3">
      <c r="A983" s="11" t="s">
        <v>633</v>
      </c>
      <c r="B983" s="11" t="s">
        <v>448</v>
      </c>
      <c r="C983" s="11"/>
      <c r="D983" s="217"/>
      <c r="E983" s="50"/>
      <c r="F983" s="218" t="s">
        <v>698</v>
      </c>
      <c r="G983" s="44"/>
      <c r="H983" s="45"/>
      <c r="I983" s="47"/>
      <c r="J983" s="55"/>
      <c r="K983" s="10">
        <v>1</v>
      </c>
    </row>
    <row r="984" spans="1:11" ht="13" x14ac:dyDescent="0.3">
      <c r="A984" s="11" t="s">
        <v>633</v>
      </c>
      <c r="B984" s="11" t="s">
        <v>448</v>
      </c>
      <c r="C984" s="11"/>
      <c r="D984" s="217"/>
      <c r="E984" s="50"/>
      <c r="F984" s="219" t="s">
        <v>699</v>
      </c>
      <c r="G984" s="44"/>
      <c r="H984" s="45"/>
      <c r="I984" s="47"/>
      <c r="J984" s="55"/>
      <c r="K984" s="10">
        <v>1</v>
      </c>
    </row>
    <row r="985" spans="1:11" ht="26" x14ac:dyDescent="0.3">
      <c r="A985" s="11" t="s">
        <v>633</v>
      </c>
      <c r="B985" s="11" t="s">
        <v>448</v>
      </c>
      <c r="C985" s="11"/>
      <c r="D985" s="217"/>
      <c r="E985" s="50"/>
      <c r="F985" s="219" t="s">
        <v>452</v>
      </c>
      <c r="G985" s="44"/>
      <c r="H985" s="45"/>
      <c r="I985" s="47"/>
      <c r="J985" s="55"/>
      <c r="K985" s="10">
        <v>1</v>
      </c>
    </row>
    <row r="986" spans="1:11" ht="50" x14ac:dyDescent="0.25">
      <c r="A986" s="11" t="s">
        <v>633</v>
      </c>
      <c r="B986" s="11" t="s">
        <v>448</v>
      </c>
      <c r="C986" s="11"/>
      <c r="D986" s="217"/>
      <c r="E986" s="50"/>
      <c r="F986" s="220" t="s">
        <v>453</v>
      </c>
      <c r="G986" s="44"/>
      <c r="H986" s="45"/>
      <c r="I986" s="47"/>
      <c r="J986" s="55"/>
      <c r="K986" s="10">
        <v>1</v>
      </c>
    </row>
    <row r="987" spans="1:11" ht="13" x14ac:dyDescent="0.3">
      <c r="A987" s="11" t="s">
        <v>633</v>
      </c>
      <c r="B987" s="11" t="s">
        <v>448</v>
      </c>
      <c r="C987" s="11"/>
      <c r="D987" s="217"/>
      <c r="E987" s="50"/>
      <c r="F987" s="218" t="s">
        <v>700</v>
      </c>
      <c r="G987" s="44"/>
      <c r="H987" s="45"/>
      <c r="I987" s="47"/>
      <c r="J987" s="55"/>
      <c r="K987" s="10">
        <v>1</v>
      </c>
    </row>
    <row r="988" spans="1:11" ht="62.5" x14ac:dyDescent="0.35">
      <c r="A988" s="11" t="s">
        <v>633</v>
      </c>
      <c r="B988" s="11" t="s">
        <v>448</v>
      </c>
      <c r="C988" s="11"/>
      <c r="D988" s="163" t="s">
        <v>20</v>
      </c>
      <c r="E988" s="50"/>
      <c r="F988" s="159" t="s">
        <v>455</v>
      </c>
      <c r="G988" s="44" t="s">
        <v>175</v>
      </c>
      <c r="H988" s="45">
        <v>1</v>
      </c>
      <c r="I988" s="47">
        <v>4000</v>
      </c>
      <c r="J988" s="48">
        <f>H988*I988</f>
        <v>4000</v>
      </c>
      <c r="K988" s="10">
        <v>1</v>
      </c>
    </row>
    <row r="989" spans="1:11" ht="13" x14ac:dyDescent="0.35">
      <c r="A989" s="11" t="s">
        <v>633</v>
      </c>
      <c r="B989" s="11" t="s">
        <v>448</v>
      </c>
      <c r="C989" s="11"/>
      <c r="D989" s="217"/>
      <c r="E989" s="50"/>
      <c r="F989" s="221" t="s">
        <v>701</v>
      </c>
      <c r="G989" s="44"/>
      <c r="H989" s="45"/>
      <c r="I989" s="47"/>
      <c r="J989" s="48"/>
      <c r="K989" s="10">
        <v>1</v>
      </c>
    </row>
    <row r="990" spans="1:11" ht="13" x14ac:dyDescent="0.35">
      <c r="A990" s="11" t="s">
        <v>633</v>
      </c>
      <c r="B990" s="11" t="s">
        <v>448</v>
      </c>
      <c r="C990" s="11"/>
      <c r="D990" s="217"/>
      <c r="E990" s="50"/>
      <c r="F990" s="221" t="s">
        <v>457</v>
      </c>
      <c r="G990" s="44"/>
      <c r="H990" s="45"/>
      <c r="I990" s="47"/>
      <c r="J990" s="48"/>
      <c r="K990" s="10">
        <v>1</v>
      </c>
    </row>
    <row r="991" spans="1:11" ht="13" x14ac:dyDescent="0.35">
      <c r="A991" s="11" t="s">
        <v>633</v>
      </c>
      <c r="B991" s="11" t="s">
        <v>448</v>
      </c>
      <c r="C991" s="11"/>
      <c r="D991" s="163" t="s">
        <v>26</v>
      </c>
      <c r="E991" s="50"/>
      <c r="F991" s="222" t="s">
        <v>458</v>
      </c>
      <c r="G991" s="44" t="s">
        <v>175</v>
      </c>
      <c r="H991" s="45">
        <v>5</v>
      </c>
      <c r="I991" s="47">
        <v>300</v>
      </c>
      <c r="J991" s="48">
        <f>H991*I991</f>
        <v>1500</v>
      </c>
      <c r="K991" s="10">
        <v>1</v>
      </c>
    </row>
    <row r="992" spans="1:11" ht="13" x14ac:dyDescent="0.35">
      <c r="A992" s="11" t="s">
        <v>633</v>
      </c>
      <c r="B992" s="11" t="s">
        <v>448</v>
      </c>
      <c r="C992" s="11"/>
      <c r="D992" s="217" t="s">
        <v>29</v>
      </c>
      <c r="E992" s="50"/>
      <c r="F992" s="222" t="s">
        <v>459</v>
      </c>
      <c r="G992" s="44" t="s">
        <v>175</v>
      </c>
      <c r="H992" s="45">
        <v>3</v>
      </c>
      <c r="I992" s="47">
        <v>400</v>
      </c>
      <c r="J992" s="48">
        <f>H992*I992</f>
        <v>1200</v>
      </c>
      <c r="K992" s="10">
        <v>1</v>
      </c>
    </row>
    <row r="993" spans="1:11" ht="13" x14ac:dyDescent="0.35">
      <c r="A993" s="11" t="s">
        <v>633</v>
      </c>
      <c r="B993" s="11" t="s">
        <v>448</v>
      </c>
      <c r="C993" s="11"/>
      <c r="D993" s="163" t="s">
        <v>32</v>
      </c>
      <c r="E993" s="50"/>
      <c r="F993" s="222" t="s">
        <v>461</v>
      </c>
      <c r="G993" s="44" t="s">
        <v>175</v>
      </c>
      <c r="H993" s="45">
        <v>1</v>
      </c>
      <c r="I993" s="47">
        <v>4500</v>
      </c>
      <c r="J993" s="48">
        <f>H993*I993</f>
        <v>4500</v>
      </c>
      <c r="K993" s="10">
        <v>1</v>
      </c>
    </row>
    <row r="994" spans="1:11" ht="13" x14ac:dyDescent="0.35">
      <c r="A994" s="11" t="s">
        <v>633</v>
      </c>
      <c r="B994" s="11" t="s">
        <v>448</v>
      </c>
      <c r="C994" s="11"/>
      <c r="D994" s="163"/>
      <c r="E994" s="50"/>
      <c r="F994" s="221" t="s">
        <v>462</v>
      </c>
      <c r="G994" s="44"/>
      <c r="H994" s="45"/>
      <c r="I994" s="47"/>
      <c r="J994" s="48"/>
      <c r="K994" s="10">
        <v>1</v>
      </c>
    </row>
    <row r="995" spans="1:11" ht="13" x14ac:dyDescent="0.35">
      <c r="A995" s="11" t="s">
        <v>633</v>
      </c>
      <c r="B995" s="11" t="s">
        <v>448</v>
      </c>
      <c r="C995" s="11"/>
      <c r="D995" s="163" t="s">
        <v>36</v>
      </c>
      <c r="E995" s="50"/>
      <c r="F995" s="222" t="s">
        <v>463</v>
      </c>
      <c r="G995" s="44" t="s">
        <v>175</v>
      </c>
      <c r="H995" s="45">
        <v>1</v>
      </c>
      <c r="I995" s="47">
        <v>1500</v>
      </c>
      <c r="J995" s="48">
        <f>H995*I995</f>
        <v>1500</v>
      </c>
      <c r="K995" s="10">
        <v>1</v>
      </c>
    </row>
    <row r="996" spans="1:11" ht="13" x14ac:dyDescent="0.35">
      <c r="A996" s="11" t="s">
        <v>633</v>
      </c>
      <c r="B996" s="11" t="s">
        <v>448</v>
      </c>
      <c r="C996" s="11"/>
      <c r="D996" s="163"/>
      <c r="E996" s="50"/>
      <c r="F996" s="221" t="s">
        <v>702</v>
      </c>
      <c r="G996" s="44"/>
      <c r="H996" s="45"/>
      <c r="I996" s="47"/>
      <c r="J996" s="48"/>
      <c r="K996" s="10">
        <v>1</v>
      </c>
    </row>
    <row r="997" spans="1:11" ht="13" x14ac:dyDescent="0.35">
      <c r="A997" s="11" t="s">
        <v>633</v>
      </c>
      <c r="B997" s="11" t="s">
        <v>448</v>
      </c>
      <c r="C997" s="11"/>
      <c r="D997" s="163"/>
      <c r="E997" s="50"/>
      <c r="F997" s="221" t="s">
        <v>466</v>
      </c>
      <c r="G997" s="44"/>
      <c r="H997" s="45"/>
      <c r="I997" s="47"/>
      <c r="J997" s="55"/>
      <c r="K997" s="10">
        <v>1</v>
      </c>
    </row>
    <row r="998" spans="1:11" ht="13" x14ac:dyDescent="0.35">
      <c r="A998" s="11" t="s">
        <v>633</v>
      </c>
      <c r="B998" s="11" t="s">
        <v>448</v>
      </c>
      <c r="C998" s="11"/>
      <c r="D998" s="163" t="s">
        <v>42</v>
      </c>
      <c r="E998" s="50"/>
      <c r="F998" s="222" t="s">
        <v>467</v>
      </c>
      <c r="G998" s="44" t="s">
        <v>703</v>
      </c>
      <c r="H998" s="45">
        <v>11</v>
      </c>
      <c r="I998" s="47">
        <v>100</v>
      </c>
      <c r="J998" s="48">
        <f>H998*I998</f>
        <v>1100</v>
      </c>
      <c r="K998" s="10">
        <v>1</v>
      </c>
    </row>
    <row r="999" spans="1:11" ht="13" x14ac:dyDescent="0.3">
      <c r="A999" s="11" t="s">
        <v>633</v>
      </c>
      <c r="B999" s="11" t="s">
        <v>448</v>
      </c>
      <c r="C999" s="11"/>
      <c r="D999" s="163"/>
      <c r="E999" s="50"/>
      <c r="F999" s="223" t="s">
        <v>704</v>
      </c>
      <c r="G999" s="44"/>
      <c r="H999" s="45"/>
      <c r="I999" s="47"/>
      <c r="J999" s="55"/>
      <c r="K999" s="10">
        <v>1</v>
      </c>
    </row>
    <row r="1000" spans="1:11" ht="13" x14ac:dyDescent="0.3">
      <c r="A1000" s="11" t="s">
        <v>633</v>
      </c>
      <c r="B1000" s="11" t="s">
        <v>448</v>
      </c>
      <c r="C1000" s="11"/>
      <c r="D1000" s="163"/>
      <c r="E1000" s="50"/>
      <c r="F1000" s="218" t="s">
        <v>705</v>
      </c>
      <c r="G1000" s="44"/>
      <c r="H1000" s="45"/>
      <c r="I1000" s="47"/>
      <c r="J1000" s="55"/>
      <c r="K1000" s="10">
        <v>1</v>
      </c>
    </row>
    <row r="1001" spans="1:11" ht="13" x14ac:dyDescent="0.25">
      <c r="A1001" s="11" t="s">
        <v>633</v>
      </c>
      <c r="B1001" s="11" t="s">
        <v>448</v>
      </c>
      <c r="C1001" s="11"/>
      <c r="D1001" s="163"/>
      <c r="E1001" s="50"/>
      <c r="F1001" s="224" t="s">
        <v>497</v>
      </c>
      <c r="G1001" s="44"/>
      <c r="H1001" s="45"/>
      <c r="I1001" s="47"/>
      <c r="J1001" s="55"/>
      <c r="K1001" s="10">
        <v>1</v>
      </c>
    </row>
    <row r="1002" spans="1:11" ht="13" x14ac:dyDescent="0.25">
      <c r="A1002" s="11" t="s">
        <v>633</v>
      </c>
      <c r="B1002" s="11" t="s">
        <v>448</v>
      </c>
      <c r="C1002" s="11"/>
      <c r="D1002" s="163"/>
      <c r="E1002" s="50"/>
      <c r="F1002" s="220" t="s">
        <v>498</v>
      </c>
      <c r="G1002" s="44"/>
      <c r="H1002" s="45"/>
      <c r="I1002" s="47"/>
      <c r="J1002" s="55"/>
      <c r="K1002" s="10">
        <v>1</v>
      </c>
    </row>
    <row r="1003" spans="1:11" ht="13" x14ac:dyDescent="0.3">
      <c r="A1003" s="11" t="s">
        <v>633</v>
      </c>
      <c r="B1003" s="11" t="s">
        <v>448</v>
      </c>
      <c r="C1003" s="11"/>
      <c r="D1003" s="163"/>
      <c r="E1003" s="50"/>
      <c r="F1003" s="218" t="s">
        <v>499</v>
      </c>
      <c r="G1003" s="44"/>
      <c r="H1003" s="45"/>
      <c r="I1003" s="47"/>
      <c r="J1003" s="55"/>
      <c r="K1003" s="10">
        <v>1</v>
      </c>
    </row>
    <row r="1004" spans="1:11" ht="13" x14ac:dyDescent="0.3">
      <c r="A1004" s="11" t="s">
        <v>633</v>
      </c>
      <c r="B1004" s="11" t="s">
        <v>448</v>
      </c>
      <c r="C1004" s="11"/>
      <c r="D1004" s="163"/>
      <c r="E1004" s="50"/>
      <c r="F1004" s="225" t="s">
        <v>706</v>
      </c>
      <c r="G1004" s="44"/>
      <c r="H1004" s="45"/>
      <c r="I1004" s="47"/>
      <c r="J1004" s="55"/>
      <c r="K1004" s="10">
        <v>1</v>
      </c>
    </row>
    <row r="1005" spans="1:11" ht="62.5" x14ac:dyDescent="0.35">
      <c r="A1005" s="11" t="s">
        <v>633</v>
      </c>
      <c r="B1005" s="11" t="s">
        <v>448</v>
      </c>
      <c r="C1005" s="11"/>
      <c r="D1005" s="226"/>
      <c r="E1005" s="227"/>
      <c r="F1005" s="159" t="s">
        <v>500</v>
      </c>
      <c r="G1005" s="228"/>
      <c r="H1005" s="229"/>
      <c r="I1005" s="231"/>
      <c r="J1005" s="232"/>
      <c r="K1005" s="10">
        <v>1</v>
      </c>
    </row>
    <row r="1006" spans="1:11" ht="13" x14ac:dyDescent="0.35">
      <c r="A1006" s="11" t="s">
        <v>633</v>
      </c>
      <c r="B1006" s="11" t="s">
        <v>448</v>
      </c>
      <c r="C1006" s="11"/>
      <c r="D1006" s="163" t="s">
        <v>48</v>
      </c>
      <c r="E1006" s="50"/>
      <c r="F1006" s="222" t="s">
        <v>502</v>
      </c>
      <c r="G1006" s="44" t="s">
        <v>186</v>
      </c>
      <c r="H1006" s="45">
        <v>1500</v>
      </c>
      <c r="I1006" s="47">
        <v>20</v>
      </c>
      <c r="J1006" s="48">
        <f>H1006*I1006</f>
        <v>30000</v>
      </c>
      <c r="K1006" s="10">
        <v>1</v>
      </c>
    </row>
    <row r="1007" spans="1:11" ht="13" x14ac:dyDescent="0.35">
      <c r="A1007" s="11" t="s">
        <v>633</v>
      </c>
      <c r="B1007" s="11" t="s">
        <v>448</v>
      </c>
      <c r="C1007" s="11"/>
      <c r="D1007" s="163" t="s">
        <v>51</v>
      </c>
      <c r="E1007" s="50"/>
      <c r="F1007" s="222" t="s">
        <v>504</v>
      </c>
      <c r="G1007" s="44" t="s">
        <v>186</v>
      </c>
      <c r="H1007" s="45">
        <v>1000</v>
      </c>
      <c r="I1007" s="47">
        <v>22</v>
      </c>
      <c r="J1007" s="48">
        <f>H1007*I1007</f>
        <v>22000</v>
      </c>
      <c r="K1007" s="10">
        <v>1</v>
      </c>
    </row>
    <row r="1008" spans="1:11" ht="37.5" x14ac:dyDescent="0.35">
      <c r="A1008" s="11" t="s">
        <v>633</v>
      </c>
      <c r="B1008" s="11" t="s">
        <v>448</v>
      </c>
      <c r="C1008" s="11"/>
      <c r="D1008" s="163"/>
      <c r="E1008" s="50"/>
      <c r="F1008" s="159" t="s">
        <v>505</v>
      </c>
      <c r="G1008" s="44"/>
      <c r="H1008" s="45"/>
      <c r="I1008" s="47"/>
      <c r="J1008" s="55"/>
      <c r="K1008" s="10">
        <v>1</v>
      </c>
    </row>
    <row r="1009" spans="1:11" ht="13" x14ac:dyDescent="0.35">
      <c r="A1009" s="11" t="s">
        <v>633</v>
      </c>
      <c r="B1009" s="11" t="s">
        <v>448</v>
      </c>
      <c r="C1009" s="11"/>
      <c r="D1009" s="163" t="s">
        <v>53</v>
      </c>
      <c r="E1009" s="50"/>
      <c r="F1009" s="222" t="s">
        <v>707</v>
      </c>
      <c r="G1009" s="44" t="s">
        <v>175</v>
      </c>
      <c r="H1009" s="45">
        <v>50</v>
      </c>
      <c r="I1009" s="47">
        <v>24</v>
      </c>
      <c r="J1009" s="48">
        <f>H1009*I1009</f>
        <v>1200</v>
      </c>
      <c r="K1009" s="10">
        <v>1</v>
      </c>
    </row>
    <row r="1010" spans="1:11" ht="25" x14ac:dyDescent="0.25">
      <c r="A1010" s="11" t="s">
        <v>633</v>
      </c>
      <c r="B1010" s="11" t="s">
        <v>448</v>
      </c>
      <c r="C1010" s="11"/>
      <c r="D1010" s="163"/>
      <c r="E1010" s="50"/>
      <c r="F1010" s="161" t="s">
        <v>508</v>
      </c>
      <c r="G1010" s="44"/>
      <c r="H1010" s="45"/>
      <c r="I1010" s="47"/>
      <c r="J1010" s="55"/>
      <c r="K1010" s="10">
        <v>1</v>
      </c>
    </row>
    <row r="1011" spans="1:11" ht="25" x14ac:dyDescent="0.25">
      <c r="A1011" s="11" t="s">
        <v>633</v>
      </c>
      <c r="B1011" s="11" t="s">
        <v>448</v>
      </c>
      <c r="C1011" s="11"/>
      <c r="D1011" s="163"/>
      <c r="E1011" s="50"/>
      <c r="F1011" s="161" t="s">
        <v>509</v>
      </c>
      <c r="G1011" s="44"/>
      <c r="H1011" s="45"/>
      <c r="I1011" s="47"/>
      <c r="J1011" s="55"/>
      <c r="K1011" s="10">
        <v>1</v>
      </c>
    </row>
    <row r="1012" spans="1:11" ht="16" customHeight="1" x14ac:dyDescent="0.25">
      <c r="A1012" s="11" t="s">
        <v>633</v>
      </c>
      <c r="B1012" s="11" t="s">
        <v>448</v>
      </c>
      <c r="C1012" s="11"/>
      <c r="D1012" s="163" t="s">
        <v>55</v>
      </c>
      <c r="E1012" s="50"/>
      <c r="F1012" s="234" t="s">
        <v>511</v>
      </c>
      <c r="G1012" s="44" t="s">
        <v>175</v>
      </c>
      <c r="H1012" s="45">
        <v>20</v>
      </c>
      <c r="I1012" s="47">
        <v>19</v>
      </c>
      <c r="J1012" s="48">
        <f>H1012*I1012</f>
        <v>380</v>
      </c>
      <c r="K1012" s="10">
        <v>1</v>
      </c>
    </row>
    <row r="1013" spans="1:11" ht="16" customHeight="1" x14ac:dyDescent="0.25">
      <c r="A1013" s="11" t="s">
        <v>633</v>
      </c>
      <c r="B1013" s="11" t="s">
        <v>448</v>
      </c>
      <c r="C1013" s="11"/>
      <c r="D1013" s="163" t="s">
        <v>58</v>
      </c>
      <c r="E1013" s="50"/>
      <c r="F1013" s="234" t="s">
        <v>513</v>
      </c>
      <c r="G1013" s="44" t="s">
        <v>175</v>
      </c>
      <c r="H1013" s="45">
        <v>80</v>
      </c>
      <c r="I1013" s="47">
        <v>20</v>
      </c>
      <c r="J1013" s="48">
        <f>H1013*I1013</f>
        <v>1600</v>
      </c>
      <c r="K1013" s="10">
        <v>1</v>
      </c>
    </row>
    <row r="1014" spans="1:11" ht="16" customHeight="1" x14ac:dyDescent="0.25">
      <c r="A1014" s="11" t="s">
        <v>633</v>
      </c>
      <c r="B1014" s="11" t="s">
        <v>448</v>
      </c>
      <c r="C1014" s="11"/>
      <c r="D1014" s="163"/>
      <c r="E1014" s="50"/>
      <c r="F1014" s="234" t="s">
        <v>708</v>
      </c>
      <c r="G1014" s="44" t="s">
        <v>175</v>
      </c>
      <c r="H1014" s="45">
        <v>5</v>
      </c>
      <c r="I1014" s="47">
        <v>350</v>
      </c>
      <c r="J1014" s="48">
        <f>H1014*I1014</f>
        <v>1750</v>
      </c>
      <c r="K1014" s="10">
        <v>1</v>
      </c>
    </row>
    <row r="1015" spans="1:11" ht="16" customHeight="1" x14ac:dyDescent="0.3">
      <c r="A1015" s="11" t="s">
        <v>633</v>
      </c>
      <c r="B1015" s="11" t="s">
        <v>448</v>
      </c>
      <c r="C1015" s="11"/>
      <c r="D1015" s="163"/>
      <c r="E1015" s="50"/>
      <c r="F1015" s="235" t="s">
        <v>514</v>
      </c>
      <c r="G1015" s="44"/>
      <c r="H1015" s="45"/>
      <c r="I1015" s="47"/>
      <c r="J1015" s="55"/>
      <c r="K1015" s="10">
        <v>1</v>
      </c>
    </row>
    <row r="1016" spans="1:11" ht="16" customHeight="1" x14ac:dyDescent="0.25">
      <c r="A1016" s="11" t="s">
        <v>633</v>
      </c>
      <c r="B1016" s="11" t="s">
        <v>448</v>
      </c>
      <c r="C1016" s="11"/>
      <c r="D1016" s="163" t="s">
        <v>87</v>
      </c>
      <c r="E1016" s="50"/>
      <c r="F1016" s="234" t="s">
        <v>516</v>
      </c>
      <c r="G1016" s="44" t="s">
        <v>175</v>
      </c>
      <c r="H1016" s="45">
        <v>5</v>
      </c>
      <c r="I1016" s="47">
        <v>25</v>
      </c>
      <c r="J1016" s="48">
        <f>H1016*I1016</f>
        <v>125</v>
      </c>
      <c r="K1016" s="10">
        <v>1</v>
      </c>
    </row>
    <row r="1017" spans="1:11" ht="16" customHeight="1" x14ac:dyDescent="0.25">
      <c r="A1017" s="11" t="s">
        <v>633</v>
      </c>
      <c r="B1017" s="11" t="s">
        <v>448</v>
      </c>
      <c r="C1017" s="11"/>
      <c r="D1017" s="163"/>
      <c r="E1017" s="50"/>
      <c r="F1017" s="234" t="s">
        <v>709</v>
      </c>
      <c r="G1017" s="44" t="s">
        <v>175</v>
      </c>
      <c r="H1017" s="45">
        <v>5</v>
      </c>
      <c r="I1017" s="47">
        <v>400</v>
      </c>
      <c r="J1017" s="48">
        <f>H1017*I1017</f>
        <v>2000</v>
      </c>
      <c r="K1017" s="10">
        <v>1</v>
      </c>
    </row>
    <row r="1018" spans="1:11" ht="16" customHeight="1" x14ac:dyDescent="0.3">
      <c r="A1018" s="11" t="s">
        <v>633</v>
      </c>
      <c r="B1018" s="11" t="s">
        <v>448</v>
      </c>
      <c r="C1018" s="11"/>
      <c r="D1018" s="163"/>
      <c r="E1018" s="50"/>
      <c r="F1018" s="235" t="s">
        <v>517</v>
      </c>
      <c r="G1018" s="44"/>
      <c r="H1018" s="45"/>
      <c r="I1018" s="47"/>
      <c r="J1018" s="55"/>
      <c r="K1018" s="10">
        <v>1</v>
      </c>
    </row>
    <row r="1019" spans="1:11" ht="16" customHeight="1" x14ac:dyDescent="0.25">
      <c r="A1019" s="11" t="s">
        <v>633</v>
      </c>
      <c r="B1019" s="11" t="s">
        <v>448</v>
      </c>
      <c r="C1019" s="11"/>
      <c r="D1019" s="163"/>
      <c r="E1019" s="50"/>
      <c r="F1019" s="224" t="s">
        <v>710</v>
      </c>
      <c r="G1019" s="44"/>
      <c r="H1019" s="45"/>
      <c r="I1019" s="47"/>
      <c r="J1019" s="55"/>
      <c r="K1019" s="10">
        <v>1</v>
      </c>
    </row>
    <row r="1020" spans="1:11" ht="16" customHeight="1" x14ac:dyDescent="0.25">
      <c r="A1020" s="11" t="s">
        <v>633</v>
      </c>
      <c r="B1020" s="11" t="s">
        <v>448</v>
      </c>
      <c r="C1020" s="11"/>
      <c r="D1020" s="163"/>
      <c r="E1020" s="50"/>
      <c r="F1020" s="224" t="s">
        <v>711</v>
      </c>
      <c r="G1020" s="44"/>
      <c r="H1020" s="45"/>
      <c r="I1020" s="47"/>
      <c r="J1020" s="55"/>
      <c r="K1020" s="10">
        <v>1</v>
      </c>
    </row>
    <row r="1021" spans="1:11" ht="16" customHeight="1" x14ac:dyDescent="0.25">
      <c r="A1021" s="11" t="s">
        <v>633</v>
      </c>
      <c r="B1021" s="11" t="s">
        <v>448</v>
      </c>
      <c r="C1021" s="11"/>
      <c r="D1021" s="163" t="s">
        <v>90</v>
      </c>
      <c r="E1021" s="50"/>
      <c r="F1021" s="236" t="s">
        <v>521</v>
      </c>
      <c r="G1021" s="44" t="s">
        <v>186</v>
      </c>
      <c r="H1021" s="45">
        <v>1950</v>
      </c>
      <c r="I1021" s="47">
        <v>10</v>
      </c>
      <c r="J1021" s="48">
        <f>H1021*I1021</f>
        <v>19500</v>
      </c>
      <c r="K1021" s="10">
        <v>1</v>
      </c>
    </row>
    <row r="1022" spans="1:11" ht="16" customHeight="1" x14ac:dyDescent="0.25">
      <c r="A1022" s="11" t="s">
        <v>633</v>
      </c>
      <c r="B1022" s="11" t="s">
        <v>448</v>
      </c>
      <c r="C1022" s="11"/>
      <c r="D1022" s="163" t="s">
        <v>187</v>
      </c>
      <c r="E1022" s="50"/>
      <c r="F1022" s="236" t="s">
        <v>523</v>
      </c>
      <c r="G1022" s="44" t="s">
        <v>186</v>
      </c>
      <c r="H1022" s="45">
        <v>600</v>
      </c>
      <c r="I1022" s="47">
        <v>12</v>
      </c>
      <c r="J1022" s="48">
        <f>H1022*I1022</f>
        <v>7200</v>
      </c>
      <c r="K1022" s="10">
        <v>1</v>
      </c>
    </row>
    <row r="1023" spans="1:11" ht="16" customHeight="1" x14ac:dyDescent="0.25">
      <c r="A1023" s="11" t="s">
        <v>633</v>
      </c>
      <c r="B1023" s="11" t="s">
        <v>448</v>
      </c>
      <c r="C1023" s="11"/>
      <c r="D1023" s="163" t="s">
        <v>484</v>
      </c>
      <c r="E1023" s="50"/>
      <c r="F1023" s="236" t="s">
        <v>525</v>
      </c>
      <c r="G1023" s="44" t="s">
        <v>186</v>
      </c>
      <c r="H1023" s="45">
        <v>300</v>
      </c>
      <c r="I1023" s="47">
        <v>21.5</v>
      </c>
      <c r="J1023" s="48">
        <f>H1023*I1023</f>
        <v>6450</v>
      </c>
      <c r="K1023" s="10">
        <v>1</v>
      </c>
    </row>
    <row r="1024" spans="1:11" ht="16" customHeight="1" x14ac:dyDescent="0.25">
      <c r="A1024" s="11" t="s">
        <v>633</v>
      </c>
      <c r="B1024" s="11" t="s">
        <v>448</v>
      </c>
      <c r="C1024" s="11"/>
      <c r="D1024" s="163"/>
      <c r="E1024" s="50"/>
      <c r="F1024" s="237" t="s">
        <v>712</v>
      </c>
      <c r="G1024" s="44"/>
      <c r="H1024" s="45"/>
      <c r="I1024" s="47"/>
      <c r="J1024" s="55"/>
      <c r="K1024" s="10">
        <v>1</v>
      </c>
    </row>
    <row r="1025" spans="1:11" ht="16" customHeight="1" x14ac:dyDescent="0.25">
      <c r="A1025" s="11" t="s">
        <v>633</v>
      </c>
      <c r="B1025" s="11" t="s">
        <v>448</v>
      </c>
      <c r="C1025" s="11"/>
      <c r="D1025" s="163"/>
      <c r="E1025" s="50"/>
      <c r="F1025" s="237" t="s">
        <v>713</v>
      </c>
      <c r="G1025" s="44"/>
      <c r="H1025" s="45"/>
      <c r="I1025" s="47"/>
      <c r="J1025" s="55"/>
      <c r="K1025" s="10">
        <v>1</v>
      </c>
    </row>
    <row r="1026" spans="1:11" ht="16" customHeight="1" x14ac:dyDescent="0.25">
      <c r="A1026" s="11" t="s">
        <v>633</v>
      </c>
      <c r="B1026" s="11" t="s">
        <v>448</v>
      </c>
      <c r="C1026" s="11"/>
      <c r="D1026" s="163" t="s">
        <v>487</v>
      </c>
      <c r="E1026" s="50"/>
      <c r="F1026" s="236" t="s">
        <v>521</v>
      </c>
      <c r="G1026" s="44" t="s">
        <v>186</v>
      </c>
      <c r="H1026" s="45">
        <v>2850</v>
      </c>
      <c r="I1026" s="47">
        <v>10</v>
      </c>
      <c r="J1026" s="48">
        <f>H1026*I1026</f>
        <v>28500</v>
      </c>
      <c r="K1026" s="10">
        <v>1</v>
      </c>
    </row>
    <row r="1027" spans="1:11" ht="13" x14ac:dyDescent="0.3">
      <c r="A1027" s="11" t="s">
        <v>633</v>
      </c>
      <c r="B1027" s="11" t="s">
        <v>448</v>
      </c>
      <c r="C1027" s="11"/>
      <c r="D1027" s="163"/>
      <c r="E1027" s="50"/>
      <c r="F1027" s="218" t="s">
        <v>530</v>
      </c>
      <c r="G1027" s="44"/>
      <c r="H1027" s="45"/>
      <c r="I1027" s="47"/>
      <c r="J1027" s="48"/>
      <c r="K1027" s="10">
        <v>1</v>
      </c>
    </row>
    <row r="1028" spans="1:11" ht="13" x14ac:dyDescent="0.25">
      <c r="A1028" s="11" t="s">
        <v>633</v>
      </c>
      <c r="B1028" s="11" t="s">
        <v>448</v>
      </c>
      <c r="C1028" s="11"/>
      <c r="D1028" s="163"/>
      <c r="E1028" s="50"/>
      <c r="F1028" s="224" t="s">
        <v>714</v>
      </c>
      <c r="G1028" s="44"/>
      <c r="H1028" s="45"/>
      <c r="I1028" s="47"/>
      <c r="J1028" s="48"/>
      <c r="K1028" s="10">
        <v>1</v>
      </c>
    </row>
    <row r="1029" spans="1:11" ht="13" x14ac:dyDescent="0.25">
      <c r="A1029" s="11" t="s">
        <v>633</v>
      </c>
      <c r="B1029" s="11" t="s">
        <v>448</v>
      </c>
      <c r="C1029" s="11"/>
      <c r="D1029" s="163"/>
      <c r="E1029" s="50"/>
      <c r="F1029" s="224" t="s">
        <v>715</v>
      </c>
      <c r="G1029" s="44"/>
      <c r="H1029" s="45"/>
      <c r="I1029" s="47"/>
      <c r="J1029" s="48"/>
      <c r="K1029" s="10">
        <v>1</v>
      </c>
    </row>
    <row r="1030" spans="1:11" ht="13" x14ac:dyDescent="0.3">
      <c r="A1030" s="11" t="s">
        <v>633</v>
      </c>
      <c r="B1030" s="11" t="s">
        <v>448</v>
      </c>
      <c r="C1030" s="11"/>
      <c r="D1030" s="163"/>
      <c r="E1030" s="50"/>
      <c r="F1030" s="218" t="s">
        <v>532</v>
      </c>
      <c r="G1030" s="44"/>
      <c r="H1030" s="45"/>
      <c r="I1030" s="47"/>
      <c r="J1030" s="48"/>
      <c r="K1030" s="10">
        <v>1</v>
      </c>
    </row>
    <row r="1031" spans="1:11" ht="13" x14ac:dyDescent="0.25">
      <c r="A1031" s="11" t="s">
        <v>633</v>
      </c>
      <c r="B1031" s="11" t="s">
        <v>448</v>
      </c>
      <c r="C1031" s="11"/>
      <c r="D1031" s="163" t="s">
        <v>489</v>
      </c>
      <c r="E1031" s="50"/>
      <c r="F1031" s="224" t="s">
        <v>716</v>
      </c>
      <c r="G1031" s="44" t="s">
        <v>175</v>
      </c>
      <c r="H1031" s="45"/>
      <c r="I1031" s="47"/>
      <c r="J1031" s="48"/>
      <c r="K1031" s="10">
        <v>1</v>
      </c>
    </row>
    <row r="1032" spans="1:11" ht="13" x14ac:dyDescent="0.25">
      <c r="A1032" s="11" t="s">
        <v>633</v>
      </c>
      <c r="B1032" s="11" t="s">
        <v>448</v>
      </c>
      <c r="C1032" s="11"/>
      <c r="D1032" s="163"/>
      <c r="E1032" s="50"/>
      <c r="F1032" s="220" t="s">
        <v>717</v>
      </c>
      <c r="G1032" s="44"/>
      <c r="H1032" s="45"/>
      <c r="I1032" s="47"/>
      <c r="J1032" s="48"/>
      <c r="K1032" s="10">
        <v>1</v>
      </c>
    </row>
    <row r="1033" spans="1:11" ht="13" x14ac:dyDescent="0.25">
      <c r="A1033" s="11" t="s">
        <v>633</v>
      </c>
      <c r="B1033" s="11" t="s">
        <v>448</v>
      </c>
      <c r="C1033" s="11"/>
      <c r="D1033" s="163" t="s">
        <v>491</v>
      </c>
      <c r="E1033" s="50"/>
      <c r="F1033" s="220" t="s">
        <v>533</v>
      </c>
      <c r="G1033" s="44" t="s">
        <v>175</v>
      </c>
      <c r="H1033" s="45">
        <v>36</v>
      </c>
      <c r="I1033" s="47">
        <v>200</v>
      </c>
      <c r="J1033" s="48">
        <f>H1033*I1033</f>
        <v>7200</v>
      </c>
      <c r="K1033" s="10">
        <v>1</v>
      </c>
    </row>
    <row r="1034" spans="1:11" ht="13" x14ac:dyDescent="0.25">
      <c r="A1034" s="11" t="s">
        <v>633</v>
      </c>
      <c r="B1034" s="11" t="s">
        <v>448</v>
      </c>
      <c r="C1034" s="11"/>
      <c r="D1034" s="163"/>
      <c r="E1034" s="50"/>
      <c r="F1034" s="220" t="s">
        <v>535</v>
      </c>
      <c r="G1034" s="44"/>
      <c r="H1034" s="45"/>
      <c r="I1034" s="47"/>
      <c r="J1034" s="55"/>
      <c r="K1034" s="10">
        <v>1</v>
      </c>
    </row>
    <row r="1035" spans="1:11" ht="13" x14ac:dyDescent="0.25">
      <c r="A1035" s="11" t="s">
        <v>633</v>
      </c>
      <c r="B1035" s="11" t="s">
        <v>448</v>
      </c>
      <c r="C1035" s="11"/>
      <c r="D1035" s="238"/>
      <c r="E1035" s="239"/>
      <c r="F1035" s="240" t="s">
        <v>537</v>
      </c>
      <c r="G1035" s="147" t="s">
        <v>175</v>
      </c>
      <c r="H1035" s="206">
        <v>20</v>
      </c>
      <c r="I1035" s="208">
        <v>350</v>
      </c>
      <c r="J1035" s="151">
        <f>H1035*I1035</f>
        <v>7000</v>
      </c>
      <c r="K1035" s="10">
        <v>1</v>
      </c>
    </row>
    <row r="1036" spans="1:11" ht="13" x14ac:dyDescent="0.25">
      <c r="A1036" s="11" t="s">
        <v>633</v>
      </c>
      <c r="B1036" s="11" t="s">
        <v>448</v>
      </c>
      <c r="C1036" s="11"/>
      <c r="D1036" s="163"/>
      <c r="E1036" s="50"/>
      <c r="F1036" s="234" t="s">
        <v>539</v>
      </c>
      <c r="G1036" s="44" t="s">
        <v>175</v>
      </c>
      <c r="H1036" s="45">
        <v>20</v>
      </c>
      <c r="I1036" s="47">
        <v>350</v>
      </c>
      <c r="J1036" s="48">
        <f>H1036*I1036</f>
        <v>7000</v>
      </c>
      <c r="K1036" s="10">
        <v>1</v>
      </c>
    </row>
    <row r="1037" spans="1:11" ht="13" x14ac:dyDescent="0.25">
      <c r="A1037" s="11" t="s">
        <v>633</v>
      </c>
      <c r="B1037" s="11" t="s">
        <v>448</v>
      </c>
      <c r="C1037" s="11"/>
      <c r="D1037" s="163"/>
      <c r="E1037" s="50"/>
      <c r="F1037" s="234" t="s">
        <v>718</v>
      </c>
      <c r="G1037" s="44" t="s">
        <v>175</v>
      </c>
      <c r="H1037" s="45"/>
      <c r="I1037" s="47"/>
      <c r="J1037" s="48"/>
      <c r="K1037" s="10">
        <v>1</v>
      </c>
    </row>
    <row r="1038" spans="1:11" ht="13" x14ac:dyDescent="0.35">
      <c r="A1038" s="11" t="s">
        <v>633</v>
      </c>
      <c r="B1038" s="11" t="s">
        <v>448</v>
      </c>
      <c r="C1038" s="11"/>
      <c r="D1038" s="163"/>
      <c r="E1038" s="50"/>
      <c r="F1038" s="222" t="s">
        <v>719</v>
      </c>
      <c r="G1038" s="44" t="s">
        <v>175</v>
      </c>
      <c r="H1038" s="45"/>
      <c r="I1038" s="47"/>
      <c r="K1038" s="10">
        <v>1</v>
      </c>
    </row>
    <row r="1039" spans="1:11" ht="13" x14ac:dyDescent="0.35">
      <c r="A1039" s="11" t="s">
        <v>633</v>
      </c>
      <c r="B1039" s="11" t="s">
        <v>448</v>
      </c>
      <c r="C1039" s="11"/>
      <c r="D1039" s="163"/>
      <c r="E1039" s="50"/>
      <c r="F1039" s="222" t="s">
        <v>541</v>
      </c>
      <c r="G1039" s="44" t="s">
        <v>175</v>
      </c>
      <c r="H1039" s="45"/>
      <c r="I1039" s="47"/>
      <c r="J1039" s="48"/>
      <c r="K1039" s="10">
        <v>1</v>
      </c>
    </row>
    <row r="1040" spans="1:11" ht="13" x14ac:dyDescent="0.35">
      <c r="A1040" s="11" t="s">
        <v>633</v>
      </c>
      <c r="B1040" s="11" t="s">
        <v>448</v>
      </c>
      <c r="C1040" s="11"/>
      <c r="D1040" s="163"/>
      <c r="E1040" s="50"/>
      <c r="F1040" s="222" t="s">
        <v>541</v>
      </c>
      <c r="G1040" s="44" t="s">
        <v>175</v>
      </c>
      <c r="H1040" s="45">
        <v>2</v>
      </c>
      <c r="I1040" s="47">
        <v>2000</v>
      </c>
      <c r="J1040" s="48">
        <f>H1040*I1040</f>
        <v>4000</v>
      </c>
      <c r="K1040" s="10">
        <v>1</v>
      </c>
    </row>
    <row r="1041" spans="1:11" ht="13" x14ac:dyDescent="0.35">
      <c r="A1041" s="11" t="s">
        <v>633</v>
      </c>
      <c r="B1041" s="11" t="s">
        <v>448</v>
      </c>
      <c r="C1041" s="11"/>
      <c r="D1041" s="163"/>
      <c r="E1041" s="50"/>
      <c r="F1041" s="222" t="s">
        <v>545</v>
      </c>
      <c r="G1041" s="44" t="s">
        <v>175</v>
      </c>
      <c r="H1041" s="45">
        <v>5</v>
      </c>
      <c r="I1041" s="47">
        <v>350</v>
      </c>
      <c r="J1041" s="48">
        <f>H1041*I1041</f>
        <v>1750</v>
      </c>
      <c r="K1041" s="10">
        <v>1</v>
      </c>
    </row>
    <row r="1042" spans="1:11" ht="13" x14ac:dyDescent="0.35">
      <c r="A1042" s="11" t="s">
        <v>633</v>
      </c>
      <c r="B1042" s="11" t="s">
        <v>448</v>
      </c>
      <c r="C1042" s="11"/>
      <c r="D1042" s="163"/>
      <c r="E1042" s="50"/>
      <c r="F1042" s="222" t="s">
        <v>547</v>
      </c>
      <c r="G1042" s="44" t="s">
        <v>175</v>
      </c>
      <c r="H1042" s="45">
        <v>5</v>
      </c>
      <c r="I1042" s="47">
        <v>400</v>
      </c>
      <c r="J1042" s="48">
        <f>H1042*I1042</f>
        <v>2000</v>
      </c>
      <c r="K1042" s="10">
        <v>1</v>
      </c>
    </row>
    <row r="1043" spans="1:11" ht="13" x14ac:dyDescent="0.3">
      <c r="A1043" s="11" t="s">
        <v>633</v>
      </c>
      <c r="B1043" s="11" t="s">
        <v>448</v>
      </c>
      <c r="C1043" s="11"/>
      <c r="D1043" s="163"/>
      <c r="E1043" s="50"/>
      <c r="F1043" s="218" t="s">
        <v>548</v>
      </c>
      <c r="G1043" s="44"/>
      <c r="H1043" s="45"/>
      <c r="I1043" s="47"/>
      <c r="J1043" s="55"/>
      <c r="K1043" s="10">
        <v>1</v>
      </c>
    </row>
    <row r="1044" spans="1:11" ht="13" x14ac:dyDescent="0.25">
      <c r="A1044" s="11" t="s">
        <v>633</v>
      </c>
      <c r="B1044" s="11" t="s">
        <v>448</v>
      </c>
      <c r="C1044" s="11"/>
      <c r="D1044" s="163" t="s">
        <v>494</v>
      </c>
      <c r="E1044" s="50"/>
      <c r="F1044" s="224" t="s">
        <v>550</v>
      </c>
      <c r="G1044" s="44" t="s">
        <v>175</v>
      </c>
      <c r="H1044" s="45">
        <v>16</v>
      </c>
      <c r="I1044" s="47">
        <v>155</v>
      </c>
      <c r="J1044" s="48">
        <f>H1044*I1044</f>
        <v>2480</v>
      </c>
      <c r="K1044" s="10">
        <v>1</v>
      </c>
    </row>
    <row r="1045" spans="1:11" ht="13" x14ac:dyDescent="0.25">
      <c r="A1045" s="11" t="s">
        <v>633</v>
      </c>
      <c r="B1045" s="11" t="s">
        <v>448</v>
      </c>
      <c r="C1045" s="11"/>
      <c r="D1045" s="163"/>
      <c r="E1045" s="50"/>
      <c r="F1045" s="224" t="s">
        <v>552</v>
      </c>
      <c r="G1045" s="44" t="s">
        <v>175</v>
      </c>
      <c r="H1045" s="45">
        <v>6</v>
      </c>
      <c r="I1045" s="47">
        <v>170</v>
      </c>
      <c r="J1045" s="48">
        <f>H1045*I1045</f>
        <v>1020</v>
      </c>
      <c r="K1045" s="10">
        <v>1</v>
      </c>
    </row>
    <row r="1046" spans="1:11" ht="13" x14ac:dyDescent="0.25">
      <c r="A1046" s="11" t="s">
        <v>633</v>
      </c>
      <c r="B1046" s="11" t="s">
        <v>448</v>
      </c>
      <c r="C1046" s="11"/>
      <c r="D1046" s="163"/>
      <c r="E1046" s="50"/>
      <c r="F1046" s="224" t="s">
        <v>554</v>
      </c>
      <c r="G1046" s="44" t="s">
        <v>175</v>
      </c>
      <c r="H1046" s="45"/>
      <c r="I1046" s="47"/>
      <c r="J1046" s="48"/>
      <c r="K1046" s="10">
        <v>1</v>
      </c>
    </row>
    <row r="1047" spans="1:11" ht="13" x14ac:dyDescent="0.25">
      <c r="A1047" s="11" t="s">
        <v>633</v>
      </c>
      <c r="B1047" s="11" t="s">
        <v>448</v>
      </c>
      <c r="C1047" s="11"/>
      <c r="D1047" s="163"/>
      <c r="E1047" s="50"/>
      <c r="F1047" s="224" t="s">
        <v>556</v>
      </c>
      <c r="G1047" s="44" t="s">
        <v>175</v>
      </c>
      <c r="H1047" s="45"/>
      <c r="I1047" s="47"/>
      <c r="J1047" s="48"/>
      <c r="K1047" s="10">
        <v>1</v>
      </c>
    </row>
    <row r="1048" spans="1:11" ht="13" x14ac:dyDescent="0.25">
      <c r="A1048" s="11" t="s">
        <v>633</v>
      </c>
      <c r="B1048" s="11" t="s">
        <v>448</v>
      </c>
      <c r="C1048" s="11"/>
      <c r="D1048" s="163"/>
      <c r="E1048" s="50"/>
      <c r="F1048" s="224" t="s">
        <v>558</v>
      </c>
      <c r="G1048" s="44" t="s">
        <v>186</v>
      </c>
      <c r="H1048" s="45">
        <v>950</v>
      </c>
      <c r="I1048" s="47">
        <v>4.2</v>
      </c>
      <c r="J1048" s="48">
        <f>H1048*I1048</f>
        <v>3990</v>
      </c>
      <c r="K1048" s="10">
        <v>1</v>
      </c>
    </row>
    <row r="1049" spans="1:11" ht="13" x14ac:dyDescent="0.25">
      <c r="A1049" s="11" t="s">
        <v>633</v>
      </c>
      <c r="B1049" s="11" t="s">
        <v>448</v>
      </c>
      <c r="C1049" s="11"/>
      <c r="D1049" s="163"/>
      <c r="E1049" s="50"/>
      <c r="F1049" s="224" t="s">
        <v>720</v>
      </c>
      <c r="G1049" s="44"/>
      <c r="H1049" s="45"/>
      <c r="I1049" s="47"/>
      <c r="J1049" s="48"/>
      <c r="K1049" s="10">
        <v>1</v>
      </c>
    </row>
    <row r="1050" spans="1:11" ht="13" x14ac:dyDescent="0.3">
      <c r="A1050" s="11" t="s">
        <v>633</v>
      </c>
      <c r="B1050" s="11" t="s">
        <v>448</v>
      </c>
      <c r="C1050" s="11"/>
      <c r="D1050" s="163"/>
      <c r="E1050" s="50"/>
      <c r="F1050" s="243" t="s">
        <v>721</v>
      </c>
      <c r="G1050" s="44"/>
      <c r="H1050" s="45"/>
      <c r="I1050" s="47"/>
      <c r="J1050" s="48"/>
      <c r="K1050" s="10">
        <v>1</v>
      </c>
    </row>
    <row r="1051" spans="1:11" ht="13" x14ac:dyDescent="0.25">
      <c r="A1051" s="11" t="s">
        <v>633</v>
      </c>
      <c r="B1051" s="11" t="s">
        <v>448</v>
      </c>
      <c r="C1051" s="11"/>
      <c r="D1051" s="163"/>
      <c r="E1051" s="50"/>
      <c r="F1051" s="224" t="s">
        <v>722</v>
      </c>
      <c r="G1051" s="44"/>
      <c r="H1051" s="45"/>
      <c r="I1051" s="47"/>
      <c r="J1051" s="48"/>
      <c r="K1051" s="10">
        <v>1</v>
      </c>
    </row>
    <row r="1052" spans="1:11" ht="13" x14ac:dyDescent="0.25">
      <c r="A1052" s="11" t="s">
        <v>633</v>
      </c>
      <c r="B1052" s="11" t="s">
        <v>448</v>
      </c>
      <c r="C1052" s="11"/>
      <c r="D1052" s="163"/>
      <c r="E1052" s="50"/>
      <c r="F1052" s="224" t="s">
        <v>723</v>
      </c>
      <c r="G1052" s="44"/>
      <c r="H1052" s="45"/>
      <c r="I1052" s="47"/>
      <c r="J1052" s="48"/>
      <c r="K1052" s="10">
        <v>1</v>
      </c>
    </row>
    <row r="1053" spans="1:11" ht="13" x14ac:dyDescent="0.25">
      <c r="A1053" s="11" t="s">
        <v>633</v>
      </c>
      <c r="B1053" s="11" t="s">
        <v>448</v>
      </c>
      <c r="C1053" s="11"/>
      <c r="D1053" s="163"/>
      <c r="E1053" s="50"/>
      <c r="F1053" s="224" t="s">
        <v>724</v>
      </c>
      <c r="G1053" s="44"/>
      <c r="H1053" s="45"/>
      <c r="I1053" s="47"/>
      <c r="J1053" s="48"/>
      <c r="K1053" s="10">
        <v>1</v>
      </c>
    </row>
    <row r="1054" spans="1:11" ht="13" x14ac:dyDescent="0.25">
      <c r="A1054" s="11" t="s">
        <v>633</v>
      </c>
      <c r="B1054" s="11" t="s">
        <v>448</v>
      </c>
      <c r="C1054" s="11"/>
      <c r="D1054" s="163"/>
      <c r="E1054" s="50"/>
      <c r="F1054" s="224" t="s">
        <v>725</v>
      </c>
      <c r="G1054" s="44"/>
      <c r="H1054" s="45"/>
      <c r="I1054" s="47"/>
      <c r="J1054" s="48"/>
      <c r="K1054" s="10">
        <v>1</v>
      </c>
    </row>
    <row r="1055" spans="1:11" ht="13" x14ac:dyDescent="0.25">
      <c r="A1055" s="11" t="s">
        <v>633</v>
      </c>
      <c r="B1055" s="11" t="s">
        <v>448</v>
      </c>
      <c r="C1055" s="11"/>
      <c r="D1055" s="163"/>
      <c r="E1055" s="50"/>
      <c r="F1055" s="224" t="s">
        <v>726</v>
      </c>
      <c r="G1055" s="44"/>
      <c r="H1055" s="45"/>
      <c r="I1055" s="47"/>
      <c r="J1055" s="48"/>
      <c r="K1055" s="10">
        <v>1</v>
      </c>
    </row>
    <row r="1056" spans="1:11" ht="13" x14ac:dyDescent="0.25">
      <c r="A1056" s="11" t="s">
        <v>633</v>
      </c>
      <c r="B1056" s="11" t="s">
        <v>448</v>
      </c>
      <c r="C1056" s="11"/>
      <c r="D1056" s="163"/>
      <c r="E1056" s="50"/>
      <c r="F1056" s="224" t="s">
        <v>727</v>
      </c>
      <c r="G1056" s="44"/>
      <c r="H1056" s="45"/>
      <c r="I1056" s="47"/>
      <c r="J1056" s="48"/>
      <c r="K1056" s="10">
        <v>1</v>
      </c>
    </row>
    <row r="1057" spans="1:11" ht="13" x14ac:dyDescent="0.25">
      <c r="A1057" s="11" t="s">
        <v>633</v>
      </c>
      <c r="B1057" s="11" t="s">
        <v>448</v>
      </c>
      <c r="C1057" s="11"/>
      <c r="D1057" s="163"/>
      <c r="E1057" s="50"/>
      <c r="F1057" s="224" t="s">
        <v>728</v>
      </c>
      <c r="G1057" s="44"/>
      <c r="H1057" s="45"/>
      <c r="I1057" s="47"/>
      <c r="J1057" s="48"/>
      <c r="K1057" s="10">
        <v>1</v>
      </c>
    </row>
    <row r="1058" spans="1:11" ht="13" x14ac:dyDescent="0.25">
      <c r="A1058" s="11" t="s">
        <v>633</v>
      </c>
      <c r="B1058" s="11" t="s">
        <v>448</v>
      </c>
      <c r="C1058" s="11"/>
      <c r="D1058" s="163"/>
      <c r="E1058" s="50"/>
      <c r="F1058" s="244" t="s">
        <v>502</v>
      </c>
      <c r="G1058" s="44" t="s">
        <v>186</v>
      </c>
      <c r="H1058" s="45">
        <v>1500</v>
      </c>
      <c r="I1058" s="47">
        <v>20</v>
      </c>
      <c r="J1058" s="48">
        <f>H1058*I1058</f>
        <v>30000</v>
      </c>
      <c r="K1058" s="10">
        <v>1</v>
      </c>
    </row>
    <row r="1059" spans="1:11" ht="13" x14ac:dyDescent="0.25">
      <c r="A1059" s="11" t="s">
        <v>633</v>
      </c>
      <c r="B1059" s="11" t="s">
        <v>448</v>
      </c>
      <c r="C1059" s="11"/>
      <c r="D1059" s="163"/>
      <c r="E1059" s="50"/>
      <c r="F1059" s="244" t="s">
        <v>504</v>
      </c>
      <c r="G1059" s="44" t="s">
        <v>186</v>
      </c>
      <c r="H1059" s="45">
        <v>1000</v>
      </c>
      <c r="I1059" s="47">
        <v>22</v>
      </c>
      <c r="J1059" s="48">
        <f>H1059*I1059</f>
        <v>22000</v>
      </c>
      <c r="K1059" s="10">
        <v>1</v>
      </c>
    </row>
    <row r="1060" spans="1:11" ht="13" x14ac:dyDescent="0.25">
      <c r="A1060" s="11" t="s">
        <v>633</v>
      </c>
      <c r="B1060" s="11" t="s">
        <v>448</v>
      </c>
      <c r="C1060" s="11"/>
      <c r="D1060" s="163"/>
      <c r="E1060" s="50"/>
      <c r="F1060" s="224" t="s">
        <v>729</v>
      </c>
      <c r="G1060" s="44"/>
      <c r="H1060" s="45"/>
      <c r="I1060" s="47"/>
      <c r="J1060" s="48"/>
      <c r="K1060" s="10">
        <v>1</v>
      </c>
    </row>
    <row r="1061" spans="1:11" ht="13" x14ac:dyDescent="0.25">
      <c r="A1061" s="11" t="s">
        <v>633</v>
      </c>
      <c r="B1061" s="11" t="s">
        <v>448</v>
      </c>
      <c r="C1061" s="11"/>
      <c r="D1061" s="163"/>
      <c r="E1061" s="50"/>
      <c r="F1061" s="224" t="s">
        <v>730</v>
      </c>
      <c r="G1061" s="44"/>
      <c r="H1061" s="45"/>
      <c r="I1061" s="47"/>
      <c r="J1061" s="48"/>
      <c r="K1061" s="10">
        <v>1</v>
      </c>
    </row>
    <row r="1062" spans="1:11" ht="13" x14ac:dyDescent="0.25">
      <c r="A1062" s="11" t="s">
        <v>633</v>
      </c>
      <c r="B1062" s="11" t="s">
        <v>448</v>
      </c>
      <c r="C1062" s="11"/>
      <c r="D1062" s="163"/>
      <c r="E1062" s="50"/>
      <c r="F1062" s="224" t="s">
        <v>731</v>
      </c>
      <c r="G1062" s="44"/>
      <c r="H1062" s="45"/>
      <c r="I1062" s="47"/>
      <c r="J1062" s="48"/>
      <c r="K1062" s="10">
        <v>1</v>
      </c>
    </row>
    <row r="1063" spans="1:11" ht="13" x14ac:dyDescent="0.25">
      <c r="A1063" s="11" t="s">
        <v>633</v>
      </c>
      <c r="B1063" s="11" t="s">
        <v>448</v>
      </c>
      <c r="C1063" s="11"/>
      <c r="D1063" s="163"/>
      <c r="E1063" s="50"/>
      <c r="F1063" s="224" t="s">
        <v>732</v>
      </c>
      <c r="G1063" s="44"/>
      <c r="H1063" s="45"/>
      <c r="I1063" s="47"/>
      <c r="J1063" s="48"/>
      <c r="K1063" s="10">
        <v>1</v>
      </c>
    </row>
    <row r="1064" spans="1:11" ht="13" x14ac:dyDescent="0.25">
      <c r="A1064" s="11" t="s">
        <v>633</v>
      </c>
      <c r="B1064" s="11" t="s">
        <v>448</v>
      </c>
      <c r="C1064" s="11"/>
      <c r="D1064" s="163"/>
      <c r="E1064" s="50"/>
      <c r="F1064" s="224" t="s">
        <v>733</v>
      </c>
      <c r="G1064" s="44"/>
      <c r="H1064" s="45"/>
      <c r="I1064" s="47"/>
      <c r="J1064" s="48"/>
      <c r="K1064" s="10">
        <v>1</v>
      </c>
    </row>
    <row r="1065" spans="1:11" ht="13" x14ac:dyDescent="0.25">
      <c r="A1065" s="11" t="s">
        <v>633</v>
      </c>
      <c r="B1065" s="11" t="s">
        <v>448</v>
      </c>
      <c r="C1065" s="11"/>
      <c r="D1065" s="163"/>
      <c r="E1065" s="50"/>
      <c r="F1065" s="224" t="s">
        <v>734</v>
      </c>
      <c r="G1065" s="44"/>
      <c r="H1065" s="45"/>
      <c r="I1065" s="47"/>
      <c r="J1065" s="48"/>
      <c r="K1065" s="10">
        <v>1</v>
      </c>
    </row>
    <row r="1066" spans="1:11" ht="13" x14ac:dyDescent="0.25">
      <c r="A1066" s="11" t="s">
        <v>633</v>
      </c>
      <c r="B1066" s="11" t="s">
        <v>448</v>
      </c>
      <c r="C1066" s="11"/>
      <c r="D1066" s="163"/>
      <c r="E1066" s="50"/>
      <c r="F1066" s="224" t="s">
        <v>735</v>
      </c>
      <c r="G1066" s="44"/>
      <c r="H1066" s="45"/>
      <c r="I1066" s="47"/>
      <c r="J1066" s="48"/>
      <c r="K1066" s="10">
        <v>1</v>
      </c>
    </row>
    <row r="1067" spans="1:11" ht="13" x14ac:dyDescent="0.25">
      <c r="A1067" s="11" t="s">
        <v>633</v>
      </c>
      <c r="B1067" s="11" t="s">
        <v>448</v>
      </c>
      <c r="C1067" s="11"/>
      <c r="D1067" s="163"/>
      <c r="E1067" s="50"/>
      <c r="F1067" s="224" t="s">
        <v>736</v>
      </c>
      <c r="G1067" s="44"/>
      <c r="H1067" s="45"/>
      <c r="I1067" s="47"/>
      <c r="J1067" s="48"/>
      <c r="K1067" s="10">
        <v>1</v>
      </c>
    </row>
    <row r="1068" spans="1:11" ht="13" x14ac:dyDescent="0.25">
      <c r="A1068" s="11" t="s">
        <v>633</v>
      </c>
      <c r="B1068" s="11" t="s">
        <v>448</v>
      </c>
      <c r="C1068" s="11"/>
      <c r="D1068" s="163"/>
      <c r="E1068" s="50"/>
      <c r="F1068" s="244" t="s">
        <v>513</v>
      </c>
      <c r="G1068" s="44" t="s">
        <v>175</v>
      </c>
      <c r="H1068" s="45">
        <v>25</v>
      </c>
      <c r="I1068" s="47">
        <v>20</v>
      </c>
      <c r="J1068" s="48">
        <f>H1068*I1068</f>
        <v>500</v>
      </c>
      <c r="K1068" s="10">
        <v>1</v>
      </c>
    </row>
    <row r="1069" spans="1:11" ht="13" x14ac:dyDescent="0.25">
      <c r="A1069" s="11" t="s">
        <v>633</v>
      </c>
      <c r="B1069" s="11" t="s">
        <v>448</v>
      </c>
      <c r="C1069" s="11"/>
      <c r="D1069" s="163"/>
      <c r="E1069" s="50"/>
      <c r="F1069" s="244" t="s">
        <v>737</v>
      </c>
      <c r="G1069" s="44" t="s">
        <v>175</v>
      </c>
      <c r="H1069" s="45">
        <v>4</v>
      </c>
      <c r="I1069" s="47">
        <v>350</v>
      </c>
      <c r="J1069" s="48">
        <f>H1069*I1069</f>
        <v>1400</v>
      </c>
      <c r="K1069" s="10">
        <v>1</v>
      </c>
    </row>
    <row r="1070" spans="1:11" ht="13" x14ac:dyDescent="0.3">
      <c r="A1070" s="11" t="s">
        <v>633</v>
      </c>
      <c r="B1070" s="11" t="s">
        <v>448</v>
      </c>
      <c r="C1070" s="11"/>
      <c r="D1070" s="163"/>
      <c r="E1070" s="50"/>
      <c r="F1070" s="218" t="s">
        <v>738</v>
      </c>
      <c r="G1070" s="44"/>
      <c r="H1070" s="45"/>
      <c r="I1070" s="47"/>
      <c r="J1070" s="48"/>
      <c r="K1070" s="10">
        <v>1</v>
      </c>
    </row>
    <row r="1071" spans="1:11" ht="13" x14ac:dyDescent="0.25">
      <c r="A1071" s="11" t="s">
        <v>633</v>
      </c>
      <c r="B1071" s="11" t="s">
        <v>448</v>
      </c>
      <c r="C1071" s="11"/>
      <c r="D1071" s="163"/>
      <c r="E1071" s="50"/>
      <c r="F1071" s="244" t="s">
        <v>513</v>
      </c>
      <c r="G1071" s="44" t="s">
        <v>175</v>
      </c>
      <c r="H1071" s="45">
        <v>40</v>
      </c>
      <c r="I1071" s="47">
        <v>25</v>
      </c>
      <c r="J1071" s="48">
        <f>H1071*I1071</f>
        <v>1000</v>
      </c>
      <c r="K1071" s="10">
        <v>1</v>
      </c>
    </row>
    <row r="1072" spans="1:11" ht="13" x14ac:dyDescent="0.3">
      <c r="A1072" s="11" t="s">
        <v>633</v>
      </c>
      <c r="B1072" s="11" t="s">
        <v>448</v>
      </c>
      <c r="C1072" s="11"/>
      <c r="D1072" s="163"/>
      <c r="E1072" s="50"/>
      <c r="F1072" s="218" t="s">
        <v>493</v>
      </c>
      <c r="G1072" s="44"/>
      <c r="H1072" s="45"/>
      <c r="I1072" s="47"/>
      <c r="J1072" s="48"/>
      <c r="K1072" s="10">
        <v>1</v>
      </c>
    </row>
    <row r="1073" spans="1:11" ht="13" x14ac:dyDescent="0.25">
      <c r="A1073" s="11" t="s">
        <v>633</v>
      </c>
      <c r="B1073" s="11" t="s">
        <v>448</v>
      </c>
      <c r="C1073" s="11"/>
      <c r="D1073" s="163"/>
      <c r="E1073" s="50"/>
      <c r="F1073" s="244" t="s">
        <v>739</v>
      </c>
      <c r="G1073" s="44" t="s">
        <v>175</v>
      </c>
      <c r="H1073" s="45">
        <v>2500</v>
      </c>
      <c r="I1073" s="47">
        <v>4.2</v>
      </c>
      <c r="J1073" s="48">
        <f>H1073*I1073</f>
        <v>10500</v>
      </c>
      <c r="K1073" s="10">
        <v>1</v>
      </c>
    </row>
    <row r="1074" spans="1:11" ht="13" x14ac:dyDescent="0.3">
      <c r="A1074" s="11" t="s">
        <v>633</v>
      </c>
      <c r="B1074" s="11" t="s">
        <v>448</v>
      </c>
      <c r="C1074" s="11"/>
      <c r="D1074" s="163"/>
      <c r="E1074" s="50"/>
      <c r="F1074" s="218" t="s">
        <v>559</v>
      </c>
      <c r="G1074" s="44"/>
      <c r="H1074" s="45"/>
      <c r="I1074" s="47"/>
      <c r="J1074" s="48"/>
      <c r="K1074" s="10">
        <v>1</v>
      </c>
    </row>
    <row r="1075" spans="1:11" ht="13" x14ac:dyDescent="0.25">
      <c r="A1075" s="11" t="s">
        <v>633</v>
      </c>
      <c r="B1075" s="11" t="s">
        <v>448</v>
      </c>
      <c r="C1075" s="11"/>
      <c r="D1075" s="163" t="s">
        <v>501</v>
      </c>
      <c r="E1075" s="50"/>
      <c r="F1075" s="224" t="s">
        <v>560</v>
      </c>
      <c r="G1075" s="44" t="s">
        <v>175</v>
      </c>
      <c r="H1075" s="45">
        <v>4</v>
      </c>
      <c r="I1075" s="47">
        <v>400</v>
      </c>
      <c r="J1075" s="48">
        <f>H1075*I1075</f>
        <v>1600</v>
      </c>
      <c r="K1075" s="10">
        <v>1</v>
      </c>
    </row>
    <row r="1076" spans="1:11" ht="13" x14ac:dyDescent="0.25">
      <c r="A1076" s="11" t="s">
        <v>633</v>
      </c>
      <c r="B1076" s="11" t="s">
        <v>448</v>
      </c>
      <c r="C1076" s="11"/>
      <c r="D1076" s="163"/>
      <c r="E1076" s="50"/>
      <c r="F1076" s="220" t="s">
        <v>562</v>
      </c>
      <c r="G1076" s="44"/>
      <c r="H1076" s="45"/>
      <c r="I1076" s="47"/>
      <c r="J1076" s="48"/>
      <c r="K1076" s="10">
        <v>1</v>
      </c>
    </row>
    <row r="1077" spans="1:11" ht="13" x14ac:dyDescent="0.3">
      <c r="A1077" s="11" t="s">
        <v>633</v>
      </c>
      <c r="B1077" s="11" t="s">
        <v>448</v>
      </c>
      <c r="C1077" s="11"/>
      <c r="D1077" s="238"/>
      <c r="E1077" s="239"/>
      <c r="F1077" s="245" t="s">
        <v>486</v>
      </c>
      <c r="G1077" s="147"/>
      <c r="H1077" s="206"/>
      <c r="I1077" s="208"/>
      <c r="J1077" s="151"/>
      <c r="K1077" s="10">
        <v>1</v>
      </c>
    </row>
    <row r="1078" spans="1:11" ht="13" x14ac:dyDescent="0.25">
      <c r="A1078" s="11" t="s">
        <v>633</v>
      </c>
      <c r="B1078" s="11" t="s">
        <v>448</v>
      </c>
      <c r="C1078" s="11"/>
      <c r="D1078" s="163"/>
      <c r="E1078" s="50"/>
      <c r="F1078" s="220" t="s">
        <v>490</v>
      </c>
      <c r="G1078" s="44" t="s">
        <v>186</v>
      </c>
      <c r="H1078" s="45">
        <v>100</v>
      </c>
      <c r="I1078" s="47">
        <v>50</v>
      </c>
      <c r="J1078" s="48">
        <f>H1078*I1078</f>
        <v>5000</v>
      </c>
      <c r="K1078" s="10">
        <v>1</v>
      </c>
    </row>
    <row r="1079" spans="1:11" ht="13" x14ac:dyDescent="0.3">
      <c r="A1079" s="11" t="s">
        <v>633</v>
      </c>
      <c r="B1079" s="11" t="s">
        <v>448</v>
      </c>
      <c r="C1079" s="11"/>
      <c r="D1079" s="163"/>
      <c r="E1079" s="50"/>
      <c r="F1079" s="218" t="s">
        <v>563</v>
      </c>
      <c r="G1079" s="44"/>
      <c r="H1079" s="45"/>
      <c r="I1079" s="47"/>
      <c r="J1079" s="48"/>
      <c r="K1079" s="10">
        <v>1</v>
      </c>
    </row>
    <row r="1080" spans="1:11" ht="13" x14ac:dyDescent="0.25">
      <c r="A1080" s="11" t="s">
        <v>633</v>
      </c>
      <c r="B1080" s="11" t="s">
        <v>448</v>
      </c>
      <c r="C1080" s="11"/>
      <c r="D1080" s="163"/>
      <c r="E1080" s="50"/>
      <c r="F1080" s="224" t="s">
        <v>740</v>
      </c>
      <c r="G1080" s="44"/>
      <c r="H1080" s="45"/>
      <c r="I1080" s="47"/>
      <c r="J1080" s="48"/>
      <c r="K1080" s="10">
        <v>1</v>
      </c>
    </row>
    <row r="1081" spans="1:11" ht="13" x14ac:dyDescent="0.25">
      <c r="A1081" s="11" t="s">
        <v>633</v>
      </c>
      <c r="B1081" s="11" t="s">
        <v>448</v>
      </c>
      <c r="C1081" s="11"/>
      <c r="D1081" s="163"/>
      <c r="E1081" s="50"/>
      <c r="F1081" s="224" t="s">
        <v>741</v>
      </c>
      <c r="G1081" s="44"/>
      <c r="H1081" s="45"/>
      <c r="I1081" s="47"/>
      <c r="J1081" s="48"/>
      <c r="K1081" s="10">
        <v>1</v>
      </c>
    </row>
    <row r="1082" spans="1:11" ht="13" x14ac:dyDescent="0.25">
      <c r="A1082" s="11" t="s">
        <v>633</v>
      </c>
      <c r="B1082" s="11" t="s">
        <v>448</v>
      </c>
      <c r="C1082" s="11"/>
      <c r="D1082" s="163"/>
      <c r="E1082" s="50"/>
      <c r="F1082" s="224" t="s">
        <v>742</v>
      </c>
      <c r="G1082" s="44"/>
      <c r="H1082" s="45"/>
      <c r="I1082" s="47"/>
      <c r="J1082" s="48"/>
      <c r="K1082" s="10">
        <v>1</v>
      </c>
    </row>
    <row r="1083" spans="1:11" ht="13" x14ac:dyDescent="0.25">
      <c r="A1083" s="11" t="s">
        <v>633</v>
      </c>
      <c r="B1083" s="11" t="s">
        <v>448</v>
      </c>
      <c r="C1083" s="11"/>
      <c r="D1083" s="163"/>
      <c r="E1083" s="50"/>
      <c r="F1083" s="224" t="s">
        <v>743</v>
      </c>
      <c r="G1083" s="44"/>
      <c r="H1083" s="45"/>
      <c r="I1083" s="47"/>
      <c r="J1083" s="48"/>
      <c r="K1083" s="10">
        <v>1</v>
      </c>
    </row>
    <row r="1084" spans="1:11" ht="13" x14ac:dyDescent="0.25">
      <c r="A1084" s="11" t="s">
        <v>633</v>
      </c>
      <c r="B1084" s="11" t="s">
        <v>448</v>
      </c>
      <c r="C1084" s="11"/>
      <c r="D1084" s="163"/>
      <c r="E1084" s="50"/>
      <c r="F1084" s="246" t="s">
        <v>566</v>
      </c>
      <c r="G1084" s="44"/>
      <c r="H1084" s="45"/>
      <c r="I1084" s="47"/>
      <c r="J1084" s="48"/>
      <c r="K1084" s="10">
        <v>1</v>
      </c>
    </row>
    <row r="1085" spans="1:11" ht="25" x14ac:dyDescent="0.25">
      <c r="A1085" s="11" t="s">
        <v>633</v>
      </c>
      <c r="B1085" s="11" t="s">
        <v>448</v>
      </c>
      <c r="C1085" s="11"/>
      <c r="D1085" s="163" t="s">
        <v>503</v>
      </c>
      <c r="E1085" s="50"/>
      <c r="F1085" s="234" t="s">
        <v>568</v>
      </c>
      <c r="G1085" s="44" t="s">
        <v>175</v>
      </c>
      <c r="H1085" s="45">
        <v>34</v>
      </c>
      <c r="I1085" s="47">
        <v>1050</v>
      </c>
      <c r="J1085" s="48">
        <f>H1085*I1085</f>
        <v>35700</v>
      </c>
      <c r="K1085" s="10">
        <v>1</v>
      </c>
    </row>
    <row r="1086" spans="1:11" ht="13" x14ac:dyDescent="0.25">
      <c r="A1086" s="11" t="s">
        <v>633</v>
      </c>
      <c r="B1086" s="11" t="s">
        <v>448</v>
      </c>
      <c r="C1086" s="11"/>
      <c r="D1086" s="163"/>
      <c r="E1086" s="50"/>
      <c r="F1086" s="247" t="s">
        <v>569</v>
      </c>
      <c r="G1086" s="44"/>
      <c r="H1086" s="45"/>
      <c r="I1086" s="47"/>
      <c r="J1086" s="48"/>
      <c r="K1086" s="10">
        <v>1</v>
      </c>
    </row>
    <row r="1087" spans="1:11" ht="25" x14ac:dyDescent="0.25">
      <c r="A1087" s="11" t="s">
        <v>633</v>
      </c>
      <c r="B1087" s="11" t="s">
        <v>448</v>
      </c>
      <c r="C1087" s="11"/>
      <c r="D1087" s="163"/>
      <c r="E1087" s="50"/>
      <c r="F1087" s="220" t="s">
        <v>744</v>
      </c>
      <c r="G1087" s="44" t="s">
        <v>175</v>
      </c>
      <c r="H1087" s="45">
        <v>12</v>
      </c>
      <c r="I1087" s="47">
        <v>1500</v>
      </c>
      <c r="J1087" s="48">
        <f>H1087*I1087</f>
        <v>18000</v>
      </c>
      <c r="K1087" s="10">
        <v>1</v>
      </c>
    </row>
    <row r="1088" spans="1:11" ht="13" x14ac:dyDescent="0.25">
      <c r="A1088" s="11" t="s">
        <v>633</v>
      </c>
      <c r="B1088" s="11" t="s">
        <v>448</v>
      </c>
      <c r="C1088" s="11"/>
      <c r="D1088" s="163"/>
      <c r="E1088" s="50"/>
      <c r="F1088" s="248" t="s">
        <v>572</v>
      </c>
      <c r="G1088" s="44"/>
      <c r="H1088" s="45"/>
      <c r="I1088" s="47"/>
      <c r="J1088" s="48"/>
      <c r="K1088" s="10">
        <v>1</v>
      </c>
    </row>
    <row r="1089" spans="1:11" ht="25" x14ac:dyDescent="0.25">
      <c r="A1089" s="11" t="s">
        <v>633</v>
      </c>
      <c r="B1089" s="11" t="s">
        <v>448</v>
      </c>
      <c r="C1089" s="11"/>
      <c r="D1089" s="163" t="s">
        <v>506</v>
      </c>
      <c r="E1089" s="50"/>
      <c r="F1089" s="234" t="s">
        <v>745</v>
      </c>
      <c r="G1089" s="44" t="s">
        <v>175</v>
      </c>
      <c r="H1089" s="45">
        <v>10</v>
      </c>
      <c r="I1089" s="47">
        <v>1980</v>
      </c>
      <c r="J1089" s="48">
        <f>H1089*I1089</f>
        <v>19800</v>
      </c>
      <c r="K1089" s="10">
        <v>1</v>
      </c>
    </row>
    <row r="1090" spans="1:11" ht="13" x14ac:dyDescent="0.3">
      <c r="A1090" s="11" t="s">
        <v>633</v>
      </c>
      <c r="B1090" s="11" t="s">
        <v>448</v>
      </c>
      <c r="C1090" s="11"/>
      <c r="D1090" s="163"/>
      <c r="E1090" s="50"/>
      <c r="F1090" s="235" t="s">
        <v>746</v>
      </c>
      <c r="G1090" s="44"/>
      <c r="H1090" s="45"/>
      <c r="I1090" s="47"/>
      <c r="J1090" s="48"/>
      <c r="K1090" s="10">
        <v>1</v>
      </c>
    </row>
    <row r="1091" spans="1:11" ht="13" x14ac:dyDescent="0.25">
      <c r="A1091" s="11" t="s">
        <v>633</v>
      </c>
      <c r="B1091" s="11" t="s">
        <v>448</v>
      </c>
      <c r="C1091" s="11"/>
      <c r="D1091" s="163" t="s">
        <v>510</v>
      </c>
      <c r="E1091" s="50"/>
      <c r="F1091" s="244" t="s">
        <v>747</v>
      </c>
      <c r="G1091" s="44" t="s">
        <v>175</v>
      </c>
      <c r="H1091" s="45">
        <v>1</v>
      </c>
      <c r="I1091" s="47">
        <v>1150</v>
      </c>
      <c r="J1091" s="48">
        <f>H1091*I1091</f>
        <v>1150</v>
      </c>
      <c r="K1091" s="10">
        <v>1</v>
      </c>
    </row>
    <row r="1092" spans="1:11" ht="13" x14ac:dyDescent="0.25">
      <c r="A1092" s="11" t="s">
        <v>633</v>
      </c>
      <c r="B1092" s="11" t="s">
        <v>448</v>
      </c>
      <c r="C1092" s="11"/>
      <c r="D1092" s="163"/>
      <c r="E1092" s="50"/>
      <c r="F1092" s="244" t="s">
        <v>748</v>
      </c>
      <c r="G1092" s="44"/>
      <c r="H1092" s="45"/>
      <c r="I1092" s="47"/>
      <c r="J1092" s="48"/>
      <c r="K1092" s="10">
        <v>1</v>
      </c>
    </row>
    <row r="1093" spans="1:11" ht="13" x14ac:dyDescent="0.25">
      <c r="A1093" s="11" t="s">
        <v>633</v>
      </c>
      <c r="B1093" s="11" t="s">
        <v>448</v>
      </c>
      <c r="C1093" s="11"/>
      <c r="D1093" s="163"/>
      <c r="E1093" s="50"/>
      <c r="F1093" s="244" t="s">
        <v>749</v>
      </c>
      <c r="G1093" s="44"/>
      <c r="H1093" s="45"/>
      <c r="I1093" s="47"/>
      <c r="J1093" s="48"/>
      <c r="K1093" s="10">
        <v>1</v>
      </c>
    </row>
    <row r="1094" spans="1:11" ht="13" x14ac:dyDescent="0.25">
      <c r="A1094" s="11" t="s">
        <v>633</v>
      </c>
      <c r="B1094" s="11" t="s">
        <v>448</v>
      </c>
      <c r="C1094" s="11"/>
      <c r="D1094" s="163"/>
      <c r="E1094" s="50"/>
      <c r="F1094" s="244" t="s">
        <v>750</v>
      </c>
      <c r="G1094" s="44"/>
      <c r="H1094" s="45"/>
      <c r="I1094" s="47"/>
      <c r="J1094" s="48"/>
      <c r="K1094" s="10">
        <v>1</v>
      </c>
    </row>
    <row r="1095" spans="1:11" ht="13" x14ac:dyDescent="0.3">
      <c r="A1095" s="11" t="s">
        <v>633</v>
      </c>
      <c r="B1095" s="11" t="s">
        <v>448</v>
      </c>
      <c r="C1095" s="11"/>
      <c r="D1095" s="163"/>
      <c r="E1095" s="50"/>
      <c r="F1095" s="218" t="s">
        <v>575</v>
      </c>
      <c r="G1095" s="44"/>
      <c r="H1095" s="45"/>
      <c r="I1095" s="47"/>
      <c r="J1095" s="48"/>
      <c r="K1095" s="10">
        <v>1</v>
      </c>
    </row>
    <row r="1096" spans="1:11" ht="37.5" x14ac:dyDescent="0.35">
      <c r="A1096" s="11" t="s">
        <v>633</v>
      </c>
      <c r="B1096" s="11" t="s">
        <v>448</v>
      </c>
      <c r="C1096" s="11"/>
      <c r="D1096" s="163"/>
      <c r="E1096" s="50"/>
      <c r="F1096" s="159" t="s">
        <v>576</v>
      </c>
      <c r="G1096" s="44"/>
      <c r="H1096" s="45"/>
      <c r="I1096" s="47"/>
      <c r="J1096" s="48"/>
      <c r="K1096" s="10">
        <v>1</v>
      </c>
    </row>
    <row r="1097" spans="1:11" ht="25" x14ac:dyDescent="0.35">
      <c r="A1097" s="11" t="s">
        <v>633</v>
      </c>
      <c r="B1097" s="11" t="s">
        <v>448</v>
      </c>
      <c r="C1097" s="11"/>
      <c r="D1097" s="163"/>
      <c r="E1097" s="50"/>
      <c r="F1097" s="159" t="s">
        <v>577</v>
      </c>
      <c r="G1097" s="44"/>
      <c r="H1097" s="45"/>
      <c r="I1097" s="47"/>
      <c r="J1097" s="55"/>
      <c r="K1097" s="10">
        <v>1</v>
      </c>
    </row>
    <row r="1098" spans="1:11" ht="13" x14ac:dyDescent="0.25">
      <c r="A1098" s="11" t="s">
        <v>633</v>
      </c>
      <c r="B1098" s="11" t="s">
        <v>448</v>
      </c>
      <c r="C1098" s="11"/>
      <c r="D1098" s="163"/>
      <c r="E1098" s="50"/>
      <c r="F1098" s="220" t="s">
        <v>578</v>
      </c>
      <c r="G1098" s="44"/>
      <c r="H1098" s="45"/>
      <c r="I1098" s="47"/>
      <c r="J1098" s="55"/>
      <c r="K1098" s="10">
        <v>1</v>
      </c>
    </row>
    <row r="1099" spans="1:11" ht="13" x14ac:dyDescent="0.25">
      <c r="A1099" s="11" t="s">
        <v>633</v>
      </c>
      <c r="B1099" s="11" t="s">
        <v>448</v>
      </c>
      <c r="C1099" s="11"/>
      <c r="D1099" s="163"/>
      <c r="E1099" s="50"/>
      <c r="F1099" s="234" t="s">
        <v>579</v>
      </c>
      <c r="G1099" s="44"/>
      <c r="H1099" s="45"/>
      <c r="I1099" s="47"/>
      <c r="J1099" s="48"/>
      <c r="K1099" s="10">
        <v>1</v>
      </c>
    </row>
    <row r="1100" spans="1:11" ht="13" x14ac:dyDescent="0.25">
      <c r="A1100" s="11" t="s">
        <v>633</v>
      </c>
      <c r="B1100" s="11" t="s">
        <v>448</v>
      </c>
      <c r="C1100" s="11"/>
      <c r="D1100" s="163"/>
      <c r="E1100" s="50"/>
      <c r="F1100" s="234" t="s">
        <v>580</v>
      </c>
      <c r="G1100" s="44"/>
      <c r="H1100" s="45"/>
      <c r="I1100" s="47"/>
      <c r="J1100" s="48"/>
      <c r="K1100" s="10">
        <v>1</v>
      </c>
    </row>
    <row r="1101" spans="1:11" ht="13" x14ac:dyDescent="0.35">
      <c r="A1101" s="11" t="s">
        <v>633</v>
      </c>
      <c r="B1101" s="11" t="s">
        <v>448</v>
      </c>
      <c r="C1101" s="11"/>
      <c r="D1101" s="163" t="s">
        <v>512</v>
      </c>
      <c r="E1101" s="50"/>
      <c r="F1101" s="187" t="s">
        <v>582</v>
      </c>
      <c r="G1101" s="44" t="s">
        <v>186</v>
      </c>
      <c r="H1101" s="45">
        <v>2</v>
      </c>
      <c r="I1101" s="47">
        <v>105</v>
      </c>
      <c r="J1101" s="48">
        <f>H1101*I1101</f>
        <v>210</v>
      </c>
      <c r="K1101" s="10">
        <v>1</v>
      </c>
    </row>
    <row r="1102" spans="1:11" ht="25" x14ac:dyDescent="0.35">
      <c r="A1102" s="11" t="s">
        <v>633</v>
      </c>
      <c r="B1102" s="11" t="s">
        <v>448</v>
      </c>
      <c r="C1102" s="11"/>
      <c r="D1102" s="163" t="s">
        <v>515</v>
      </c>
      <c r="E1102" s="50"/>
      <c r="F1102" s="187" t="s">
        <v>584</v>
      </c>
      <c r="G1102" s="44" t="s">
        <v>186</v>
      </c>
      <c r="H1102" s="45">
        <v>6</v>
      </c>
      <c r="I1102" s="47">
        <v>50</v>
      </c>
      <c r="J1102" s="48">
        <f>H1102*I1102</f>
        <v>300</v>
      </c>
      <c r="K1102" s="10">
        <v>1</v>
      </c>
    </row>
    <row r="1103" spans="1:11" ht="13" x14ac:dyDescent="0.35">
      <c r="A1103" s="11" t="s">
        <v>633</v>
      </c>
      <c r="B1103" s="11" t="s">
        <v>448</v>
      </c>
      <c r="C1103" s="11"/>
      <c r="D1103" s="163" t="s">
        <v>520</v>
      </c>
      <c r="E1103" s="50"/>
      <c r="F1103" s="187" t="s">
        <v>586</v>
      </c>
      <c r="G1103" s="44" t="s">
        <v>587</v>
      </c>
      <c r="H1103" s="45">
        <v>2</v>
      </c>
      <c r="I1103" s="47">
        <v>65</v>
      </c>
      <c r="J1103" s="48">
        <f>H1103*I1103</f>
        <v>130</v>
      </c>
      <c r="K1103" s="10">
        <v>1</v>
      </c>
    </row>
    <row r="1104" spans="1:11" ht="13" x14ac:dyDescent="0.35">
      <c r="A1104" s="11" t="s">
        <v>633</v>
      </c>
      <c r="B1104" s="11" t="s">
        <v>448</v>
      </c>
      <c r="C1104" s="11"/>
      <c r="D1104" s="163"/>
      <c r="E1104" s="50"/>
      <c r="F1104" s="249" t="s">
        <v>517</v>
      </c>
      <c r="G1104" s="44"/>
      <c r="H1104" s="45"/>
      <c r="I1104" s="47"/>
      <c r="J1104" s="48"/>
      <c r="K1104" s="10">
        <v>1</v>
      </c>
    </row>
    <row r="1105" spans="1:11" ht="13" x14ac:dyDescent="0.35">
      <c r="A1105" s="11" t="s">
        <v>633</v>
      </c>
      <c r="B1105" s="11" t="s">
        <v>448</v>
      </c>
      <c r="C1105" s="11"/>
      <c r="D1105" s="163" t="s">
        <v>522</v>
      </c>
      <c r="E1105" s="50"/>
      <c r="F1105" s="187" t="s">
        <v>589</v>
      </c>
      <c r="G1105" s="44" t="s">
        <v>186</v>
      </c>
      <c r="H1105" s="45">
        <v>10</v>
      </c>
      <c r="I1105" s="47">
        <v>200</v>
      </c>
      <c r="J1105" s="48">
        <f>H1105*I1105</f>
        <v>2000</v>
      </c>
      <c r="K1105" s="10">
        <v>1</v>
      </c>
    </row>
    <row r="1106" spans="1:11" ht="13" x14ac:dyDescent="0.35">
      <c r="A1106" s="11" t="s">
        <v>633</v>
      </c>
      <c r="B1106" s="11" t="s">
        <v>448</v>
      </c>
      <c r="C1106" s="11"/>
      <c r="D1106" s="163" t="s">
        <v>524</v>
      </c>
      <c r="E1106" s="50"/>
      <c r="F1106" s="187" t="s">
        <v>591</v>
      </c>
      <c r="G1106" s="44" t="s">
        <v>186</v>
      </c>
      <c r="H1106" s="45">
        <v>10</v>
      </c>
      <c r="I1106" s="47">
        <v>65</v>
      </c>
      <c r="J1106" s="48">
        <f>H1106*I1106</f>
        <v>650</v>
      </c>
      <c r="K1106" s="10">
        <v>1</v>
      </c>
    </row>
    <row r="1107" spans="1:11" ht="13" x14ac:dyDescent="0.35">
      <c r="A1107" s="11" t="s">
        <v>633</v>
      </c>
      <c r="B1107" s="11" t="s">
        <v>448</v>
      </c>
      <c r="C1107" s="11"/>
      <c r="D1107" s="163" t="s">
        <v>528</v>
      </c>
      <c r="E1107" s="50"/>
      <c r="F1107" s="187" t="s">
        <v>593</v>
      </c>
      <c r="G1107" s="44" t="s">
        <v>186</v>
      </c>
      <c r="H1107" s="45">
        <v>10</v>
      </c>
      <c r="I1107" s="47">
        <v>55</v>
      </c>
      <c r="J1107" s="48">
        <f>H1107*I1107</f>
        <v>550</v>
      </c>
      <c r="K1107" s="10">
        <v>1</v>
      </c>
    </row>
    <row r="1108" spans="1:11" ht="37.5" x14ac:dyDescent="0.35">
      <c r="A1108" s="11" t="s">
        <v>633</v>
      </c>
      <c r="B1108" s="11" t="s">
        <v>448</v>
      </c>
      <c r="C1108" s="11"/>
      <c r="D1108" s="163" t="s">
        <v>534</v>
      </c>
      <c r="E1108" s="50"/>
      <c r="F1108" s="187" t="s">
        <v>595</v>
      </c>
      <c r="G1108" s="44" t="s">
        <v>175</v>
      </c>
      <c r="H1108" s="45">
        <v>1</v>
      </c>
      <c r="I1108" s="47">
        <v>150</v>
      </c>
      <c r="J1108" s="48">
        <f>H1108*I1108</f>
        <v>150</v>
      </c>
      <c r="K1108" s="10">
        <v>1</v>
      </c>
    </row>
    <row r="1109" spans="1:11" ht="13" x14ac:dyDescent="0.35">
      <c r="A1109" s="11" t="s">
        <v>633</v>
      </c>
      <c r="B1109" s="11" t="s">
        <v>448</v>
      </c>
      <c r="C1109" s="11"/>
      <c r="D1109" s="163" t="s">
        <v>536</v>
      </c>
      <c r="E1109" s="50"/>
      <c r="F1109" s="187" t="s">
        <v>598</v>
      </c>
      <c r="G1109" s="44" t="s">
        <v>186</v>
      </c>
      <c r="H1109" s="45">
        <v>1</v>
      </c>
      <c r="I1109" s="47">
        <v>700</v>
      </c>
      <c r="J1109" s="48">
        <f>H1109*I1109</f>
        <v>700</v>
      </c>
      <c r="K1109" s="10">
        <v>1</v>
      </c>
    </row>
    <row r="1110" spans="1:11" ht="13" x14ac:dyDescent="0.35">
      <c r="A1110" s="11" t="s">
        <v>633</v>
      </c>
      <c r="B1110" s="11" t="s">
        <v>448</v>
      </c>
      <c r="C1110" s="11"/>
      <c r="D1110" s="163" t="s">
        <v>538</v>
      </c>
      <c r="E1110" s="50"/>
      <c r="F1110" s="187" t="s">
        <v>600</v>
      </c>
      <c r="G1110" s="44" t="s">
        <v>175</v>
      </c>
      <c r="H1110" s="45">
        <v>2</v>
      </c>
      <c r="I1110" s="47">
        <v>130</v>
      </c>
      <c r="J1110" s="48">
        <f>H1110*I1110</f>
        <v>260</v>
      </c>
      <c r="K1110" s="10">
        <v>1</v>
      </c>
    </row>
    <row r="1111" spans="1:11" ht="13" x14ac:dyDescent="0.35">
      <c r="A1111" s="11" t="s">
        <v>633</v>
      </c>
      <c r="B1111" s="11" t="s">
        <v>448</v>
      </c>
      <c r="C1111" s="11"/>
      <c r="D1111" s="163" t="s">
        <v>540</v>
      </c>
      <c r="E1111" s="50"/>
      <c r="F1111" s="187" t="s">
        <v>602</v>
      </c>
      <c r="G1111" s="44" t="s">
        <v>186</v>
      </c>
      <c r="H1111" s="250">
        <v>2</v>
      </c>
      <c r="I1111" s="252">
        <v>55</v>
      </c>
      <c r="J1111" s="48">
        <f>H1111*I1111</f>
        <v>110</v>
      </c>
      <c r="K1111" s="10">
        <v>1</v>
      </c>
    </row>
    <row r="1112" spans="1:11" ht="13" x14ac:dyDescent="0.35">
      <c r="A1112" s="11" t="s">
        <v>633</v>
      </c>
      <c r="B1112" s="11" t="s">
        <v>448</v>
      </c>
      <c r="C1112" s="11"/>
      <c r="D1112" s="163" t="s">
        <v>542</v>
      </c>
      <c r="E1112" s="50"/>
      <c r="F1112" s="187" t="s">
        <v>604</v>
      </c>
      <c r="G1112" s="44" t="s">
        <v>186</v>
      </c>
      <c r="H1112" s="250">
        <v>10</v>
      </c>
      <c r="I1112" s="252">
        <v>200</v>
      </c>
      <c r="J1112" s="48">
        <f>H1112*I1112</f>
        <v>2000</v>
      </c>
      <c r="K1112" s="10">
        <v>1</v>
      </c>
    </row>
    <row r="1113" spans="1:11" ht="13" x14ac:dyDescent="0.35">
      <c r="A1113" s="11" t="s">
        <v>633</v>
      </c>
      <c r="B1113" s="11" t="s">
        <v>448</v>
      </c>
      <c r="C1113" s="11"/>
      <c r="D1113" s="163" t="s">
        <v>544</v>
      </c>
      <c r="E1113" s="50"/>
      <c r="F1113" s="187" t="s">
        <v>606</v>
      </c>
      <c r="G1113" s="44" t="s">
        <v>186</v>
      </c>
      <c r="H1113" s="250">
        <v>10</v>
      </c>
      <c r="I1113" s="252">
        <v>200</v>
      </c>
      <c r="J1113" s="48">
        <f>H1113*I1113</f>
        <v>2000</v>
      </c>
      <c r="K1113" s="10">
        <v>1</v>
      </c>
    </row>
    <row r="1114" spans="1:11" ht="13" x14ac:dyDescent="0.35">
      <c r="A1114" s="11" t="s">
        <v>633</v>
      </c>
      <c r="B1114" s="11" t="s">
        <v>448</v>
      </c>
      <c r="C1114" s="11"/>
      <c r="D1114" s="163"/>
      <c r="E1114" s="50"/>
      <c r="F1114" s="253" t="s">
        <v>607</v>
      </c>
      <c r="G1114" s="44"/>
      <c r="H1114" s="45"/>
      <c r="I1114" s="70"/>
      <c r="J1114" s="48"/>
      <c r="K1114" s="10">
        <v>1</v>
      </c>
    </row>
    <row r="1115" spans="1:11" ht="13" x14ac:dyDescent="0.35">
      <c r="A1115" s="11" t="s">
        <v>633</v>
      </c>
      <c r="B1115" s="11" t="s">
        <v>448</v>
      </c>
      <c r="C1115" s="11"/>
      <c r="D1115" s="163" t="s">
        <v>546</v>
      </c>
      <c r="E1115" s="50"/>
      <c r="F1115" s="187" t="s">
        <v>609</v>
      </c>
      <c r="G1115" s="44" t="s">
        <v>175</v>
      </c>
      <c r="H1115" s="250">
        <v>1</v>
      </c>
      <c r="I1115" s="252">
        <v>1000</v>
      </c>
      <c r="J1115" s="48">
        <f>H1115*I1115</f>
        <v>1000</v>
      </c>
      <c r="K1115" s="10">
        <v>1</v>
      </c>
    </row>
    <row r="1116" spans="1:11" ht="13" x14ac:dyDescent="0.35">
      <c r="A1116" s="11" t="s">
        <v>633</v>
      </c>
      <c r="B1116" s="11" t="s">
        <v>448</v>
      </c>
      <c r="C1116" s="11"/>
      <c r="D1116" s="163"/>
      <c r="E1116" s="50"/>
      <c r="F1116" s="253" t="s">
        <v>610</v>
      </c>
      <c r="G1116" s="44"/>
      <c r="H1116" s="250"/>
      <c r="I1116" s="252"/>
      <c r="J1116" s="48"/>
      <c r="K1116" s="10">
        <v>1</v>
      </c>
    </row>
    <row r="1117" spans="1:11" ht="13" x14ac:dyDescent="0.35">
      <c r="A1117" s="11" t="s">
        <v>633</v>
      </c>
      <c r="B1117" s="11" t="s">
        <v>448</v>
      </c>
      <c r="C1117" s="11"/>
      <c r="D1117" s="163" t="s">
        <v>549</v>
      </c>
      <c r="E1117" s="50"/>
      <c r="F1117" s="187" t="s">
        <v>612</v>
      </c>
      <c r="G1117" s="44" t="s">
        <v>175</v>
      </c>
      <c r="H1117" s="250">
        <v>1</v>
      </c>
      <c r="I1117" s="252">
        <v>145</v>
      </c>
      <c r="J1117" s="48">
        <f>H1117*I1117</f>
        <v>145</v>
      </c>
      <c r="K1117" s="10">
        <v>1</v>
      </c>
    </row>
    <row r="1118" spans="1:11" ht="13" x14ac:dyDescent="0.35">
      <c r="A1118" s="11" t="s">
        <v>633</v>
      </c>
      <c r="B1118" s="11" t="s">
        <v>448</v>
      </c>
      <c r="C1118" s="11"/>
      <c r="D1118" s="163" t="s">
        <v>551</v>
      </c>
      <c r="E1118" s="50"/>
      <c r="F1118" s="187" t="s">
        <v>614</v>
      </c>
      <c r="G1118" s="44" t="s">
        <v>175</v>
      </c>
      <c r="H1118" s="250">
        <v>1</v>
      </c>
      <c r="I1118" s="252">
        <v>500</v>
      </c>
      <c r="J1118" s="48">
        <f>H1118*I1118</f>
        <v>500</v>
      </c>
      <c r="K1118" s="10">
        <v>1</v>
      </c>
    </row>
    <row r="1119" spans="1:11" ht="37.5" x14ac:dyDescent="0.35">
      <c r="A1119" s="11" t="s">
        <v>633</v>
      </c>
      <c r="B1119" s="11" t="s">
        <v>448</v>
      </c>
      <c r="C1119" s="11"/>
      <c r="D1119" s="163" t="s">
        <v>553</v>
      </c>
      <c r="E1119" s="50"/>
      <c r="F1119" s="187" t="s">
        <v>751</v>
      </c>
      <c r="G1119" s="44" t="s">
        <v>175</v>
      </c>
      <c r="H1119" s="250">
        <v>1</v>
      </c>
      <c r="I1119" s="252">
        <v>3500</v>
      </c>
      <c r="J1119" s="48">
        <f>H1119*I1119</f>
        <v>3500</v>
      </c>
      <c r="K1119" s="10">
        <v>1</v>
      </c>
    </row>
    <row r="1120" spans="1:11" ht="13" x14ac:dyDescent="0.3">
      <c r="A1120" s="11" t="s">
        <v>633</v>
      </c>
      <c r="B1120" s="11" t="s">
        <v>448</v>
      </c>
      <c r="C1120" s="11"/>
      <c r="D1120" s="163"/>
      <c r="E1120" s="50"/>
      <c r="F1120" s="218" t="s">
        <v>617</v>
      </c>
      <c r="G1120" s="44"/>
      <c r="H1120" s="254"/>
      <c r="I1120" s="256"/>
      <c r="J1120" s="48"/>
      <c r="K1120" s="10">
        <v>1</v>
      </c>
    </row>
    <row r="1121" spans="1:11" ht="13" x14ac:dyDescent="0.25">
      <c r="A1121" s="11" t="s">
        <v>633</v>
      </c>
      <c r="B1121" s="11" t="s">
        <v>448</v>
      </c>
      <c r="C1121" s="11"/>
      <c r="D1121" s="163" t="s">
        <v>555</v>
      </c>
      <c r="E1121" s="50"/>
      <c r="F1121" s="257" t="s">
        <v>752</v>
      </c>
      <c r="G1121" s="258"/>
      <c r="H1121" s="254"/>
      <c r="I1121" s="256"/>
      <c r="J1121" s="48"/>
      <c r="K1121" s="10">
        <v>1</v>
      </c>
    </row>
    <row r="1122" spans="1:11" ht="13" x14ac:dyDescent="0.25">
      <c r="A1122" s="11" t="s">
        <v>633</v>
      </c>
      <c r="B1122" s="11" t="s">
        <v>448</v>
      </c>
      <c r="C1122" s="11"/>
      <c r="D1122" s="163"/>
      <c r="E1122" s="50"/>
      <c r="F1122" s="257" t="s">
        <v>753</v>
      </c>
      <c r="G1122" s="258" t="s">
        <v>468</v>
      </c>
      <c r="H1122" s="250">
        <v>1</v>
      </c>
      <c r="I1122" s="259">
        <v>5000</v>
      </c>
      <c r="J1122" s="48">
        <f>H1122*I1122</f>
        <v>5000</v>
      </c>
      <c r="K1122" s="10">
        <v>1</v>
      </c>
    </row>
    <row r="1123" spans="1:11" ht="13" x14ac:dyDescent="0.35">
      <c r="A1123" s="11" t="s">
        <v>633</v>
      </c>
      <c r="B1123" s="11" t="s">
        <v>621</v>
      </c>
      <c r="C1123" s="11"/>
      <c r="D1123" s="11"/>
      <c r="E1123" s="11"/>
      <c r="F1123" s="43" t="s">
        <v>634</v>
      </c>
      <c r="G1123" s="44"/>
      <c r="H1123" s="45"/>
      <c r="I1123" s="47"/>
      <c r="J1123" s="48"/>
      <c r="K1123" s="10">
        <v>1</v>
      </c>
    </row>
    <row r="1124" spans="1:11" ht="13" x14ac:dyDescent="0.35">
      <c r="A1124" s="11" t="s">
        <v>633</v>
      </c>
      <c r="B1124" s="11" t="s">
        <v>621</v>
      </c>
      <c r="C1124" s="11"/>
      <c r="D1124" s="11"/>
      <c r="E1124" s="11"/>
      <c r="F1124" s="43" t="s">
        <v>635</v>
      </c>
      <c r="G1124" s="44"/>
      <c r="H1124" s="45"/>
      <c r="I1124" s="47"/>
      <c r="J1124" s="55"/>
      <c r="K1124" s="10">
        <v>1</v>
      </c>
    </row>
    <row r="1125" spans="1:11" ht="13" x14ac:dyDescent="0.35">
      <c r="A1125" s="11" t="s">
        <v>633</v>
      </c>
      <c r="B1125" s="11" t="s">
        <v>621</v>
      </c>
      <c r="C1125" s="11"/>
      <c r="D1125" s="11"/>
      <c r="E1125" s="11"/>
      <c r="F1125" s="43" t="s">
        <v>622</v>
      </c>
      <c r="G1125" s="44"/>
      <c r="H1125" s="45"/>
      <c r="I1125" s="47"/>
      <c r="J1125" s="55"/>
      <c r="K1125" s="10">
        <v>1</v>
      </c>
    </row>
    <row r="1126" spans="1:11" s="172" customFormat="1" ht="13" x14ac:dyDescent="0.35">
      <c r="A1126" s="11" t="s">
        <v>633</v>
      </c>
      <c r="B1126" s="11" t="s">
        <v>621</v>
      </c>
      <c r="C1126" s="11"/>
      <c r="D1126" s="164"/>
      <c r="E1126" s="165"/>
      <c r="F1126" s="153" t="s">
        <v>623</v>
      </c>
      <c r="G1126" s="166"/>
      <c r="H1126" s="167"/>
      <c r="I1126" s="169"/>
      <c r="J1126" s="170"/>
      <c r="K1126" s="10">
        <v>1</v>
      </c>
    </row>
    <row r="1127" spans="1:11" s="172" customFormat="1" ht="13" x14ac:dyDescent="0.35">
      <c r="A1127" s="11" t="s">
        <v>633</v>
      </c>
      <c r="B1127" s="11" t="s">
        <v>621</v>
      </c>
      <c r="C1127" s="11"/>
      <c r="D1127" s="173"/>
      <c r="E1127" s="174"/>
      <c r="F1127" s="154" t="s">
        <v>100</v>
      </c>
      <c r="G1127" s="175"/>
      <c r="H1127" s="176"/>
      <c r="I1127" s="178"/>
      <c r="J1127" s="179"/>
      <c r="K1127" s="10">
        <v>1</v>
      </c>
    </row>
    <row r="1128" spans="1:11" s="172" customFormat="1" ht="13" x14ac:dyDescent="0.35">
      <c r="A1128" s="11" t="s">
        <v>633</v>
      </c>
      <c r="B1128" s="11" t="s">
        <v>621</v>
      </c>
      <c r="C1128" s="11"/>
      <c r="D1128" s="173"/>
      <c r="E1128" s="174"/>
      <c r="F1128" s="155" t="s">
        <v>101</v>
      </c>
      <c r="G1128" s="175"/>
      <c r="H1128" s="176"/>
      <c r="I1128" s="178"/>
      <c r="J1128" s="179"/>
      <c r="K1128" s="10">
        <v>1</v>
      </c>
    </row>
    <row r="1129" spans="1:11" s="187" customFormat="1" ht="13" x14ac:dyDescent="0.35">
      <c r="A1129" s="11" t="s">
        <v>633</v>
      </c>
      <c r="B1129" s="11" t="s">
        <v>621</v>
      </c>
      <c r="C1129" s="11"/>
      <c r="D1129" s="181"/>
      <c r="E1129" s="181"/>
      <c r="F1129" s="57" t="s">
        <v>754</v>
      </c>
      <c r="G1129" s="110"/>
      <c r="H1129" s="182"/>
      <c r="I1129" s="184"/>
      <c r="J1129" s="185"/>
      <c r="K1129" s="10">
        <v>1</v>
      </c>
    </row>
    <row r="1130" spans="1:11" s="187" customFormat="1" ht="25" x14ac:dyDescent="0.35">
      <c r="A1130" s="11" t="s">
        <v>633</v>
      </c>
      <c r="B1130" s="11" t="s">
        <v>621</v>
      </c>
      <c r="C1130" s="11"/>
      <c r="D1130" s="181" t="s">
        <v>20</v>
      </c>
      <c r="E1130" s="181"/>
      <c r="F1130" s="60" t="s">
        <v>755</v>
      </c>
      <c r="G1130" s="110" t="s">
        <v>468</v>
      </c>
      <c r="H1130" s="182">
        <v>1</v>
      </c>
      <c r="I1130" s="184">
        <v>60000</v>
      </c>
      <c r="J1130" s="185">
        <f>H1130*I1130</f>
        <v>60000</v>
      </c>
      <c r="K1130" s="10">
        <v>1</v>
      </c>
    </row>
    <row r="1131" spans="1:11" s="187" customFormat="1" x14ac:dyDescent="0.35">
      <c r="A1131" s="11" t="s">
        <v>633</v>
      </c>
      <c r="B1131" s="11" t="s">
        <v>621</v>
      </c>
      <c r="C1131" s="11"/>
      <c r="D1131" s="181" t="s">
        <v>26</v>
      </c>
      <c r="E1131" s="181"/>
      <c r="F1131" s="188" t="s">
        <v>626</v>
      </c>
      <c r="G1131" s="110" t="s">
        <v>627</v>
      </c>
      <c r="H1131" s="189">
        <v>0.05</v>
      </c>
      <c r="I1131" s="184">
        <f>I1130</f>
        <v>60000</v>
      </c>
      <c r="J1131" s="185">
        <f>H1131*I1131</f>
        <v>3000</v>
      </c>
      <c r="K1131" s="10">
        <v>1</v>
      </c>
    </row>
    <row r="1132" spans="1:11" s="187" customFormat="1" x14ac:dyDescent="0.35">
      <c r="A1132" s="11" t="s">
        <v>633</v>
      </c>
      <c r="B1132" s="11" t="s">
        <v>621</v>
      </c>
      <c r="C1132" s="11"/>
      <c r="D1132" s="181" t="s">
        <v>29</v>
      </c>
      <c r="E1132" s="181"/>
      <c r="F1132" s="188" t="s">
        <v>628</v>
      </c>
      <c r="G1132" s="110" t="s">
        <v>627</v>
      </c>
      <c r="H1132" s="189">
        <v>0.1</v>
      </c>
      <c r="I1132" s="184">
        <f>I1131</f>
        <v>60000</v>
      </c>
      <c r="J1132" s="185">
        <f>H1132*I1132</f>
        <v>6000</v>
      </c>
      <c r="K1132" s="10">
        <v>1</v>
      </c>
    </row>
    <row r="1133" spans="1:11" s="187" customFormat="1" ht="13" x14ac:dyDescent="0.35">
      <c r="A1133" s="11" t="s">
        <v>633</v>
      </c>
      <c r="B1133" s="11" t="s">
        <v>621</v>
      </c>
      <c r="C1133" s="11"/>
      <c r="D1133" s="181"/>
      <c r="E1133" s="181"/>
      <c r="F1133" s="57" t="s">
        <v>624</v>
      </c>
      <c r="G1133" s="110"/>
      <c r="H1133" s="182"/>
      <c r="I1133" s="184"/>
      <c r="J1133" s="185"/>
      <c r="K1133" s="10">
        <v>1</v>
      </c>
    </row>
    <row r="1134" spans="1:11" s="187" customFormat="1" ht="25" x14ac:dyDescent="0.35">
      <c r="A1134" s="11" t="s">
        <v>633</v>
      </c>
      <c r="B1134" s="11" t="s">
        <v>621</v>
      </c>
      <c r="C1134" s="11"/>
      <c r="D1134" s="181" t="s">
        <v>32</v>
      </c>
      <c r="E1134" s="181"/>
      <c r="F1134" s="60" t="s">
        <v>756</v>
      </c>
      <c r="G1134" s="110" t="s">
        <v>468</v>
      </c>
      <c r="H1134" s="182">
        <v>1</v>
      </c>
      <c r="I1134" s="184">
        <v>20000</v>
      </c>
      <c r="J1134" s="185">
        <f>H1134*I1134</f>
        <v>20000</v>
      </c>
      <c r="K1134" s="10">
        <v>1</v>
      </c>
    </row>
    <row r="1135" spans="1:11" s="187" customFormat="1" x14ac:dyDescent="0.35">
      <c r="A1135" s="11" t="s">
        <v>633</v>
      </c>
      <c r="B1135" s="11" t="s">
        <v>621</v>
      </c>
      <c r="C1135" s="11"/>
      <c r="D1135" s="181" t="s">
        <v>36</v>
      </c>
      <c r="E1135" s="181"/>
      <c r="F1135" s="188" t="s">
        <v>626</v>
      </c>
      <c r="G1135" s="110" t="s">
        <v>627</v>
      </c>
      <c r="H1135" s="189">
        <v>0.05</v>
      </c>
      <c r="I1135" s="184">
        <f>I1134</f>
        <v>20000</v>
      </c>
      <c r="J1135" s="185">
        <f>H1135*I1135</f>
        <v>1000</v>
      </c>
      <c r="K1135" s="10">
        <v>1</v>
      </c>
    </row>
    <row r="1136" spans="1:11" s="187" customFormat="1" x14ac:dyDescent="0.35">
      <c r="A1136" s="11" t="s">
        <v>633</v>
      </c>
      <c r="B1136" s="11" t="s">
        <v>621</v>
      </c>
      <c r="C1136" s="11"/>
      <c r="D1136" s="181" t="s">
        <v>39</v>
      </c>
      <c r="E1136" s="181"/>
      <c r="F1136" s="188" t="s">
        <v>628</v>
      </c>
      <c r="G1136" s="110" t="s">
        <v>627</v>
      </c>
      <c r="H1136" s="189">
        <v>0.1</v>
      </c>
      <c r="I1136" s="184">
        <f>I1135</f>
        <v>20000</v>
      </c>
      <c r="J1136" s="185">
        <f>H1136*I1136</f>
        <v>2000</v>
      </c>
      <c r="K1136" s="10">
        <v>1</v>
      </c>
    </row>
    <row r="1137" spans="1:11" s="187" customFormat="1" ht="13" x14ac:dyDescent="0.35">
      <c r="A1137" s="11" t="s">
        <v>633</v>
      </c>
      <c r="B1137" s="11" t="s">
        <v>621</v>
      </c>
      <c r="C1137" s="11"/>
      <c r="D1137" s="181"/>
      <c r="E1137" s="181"/>
      <c r="F1137" s="57" t="s">
        <v>629</v>
      </c>
      <c r="G1137" s="110"/>
      <c r="H1137" s="182"/>
      <c r="I1137" s="184"/>
      <c r="J1137" s="185"/>
      <c r="K1137" s="10">
        <v>1</v>
      </c>
    </row>
    <row r="1138" spans="1:11" s="187" customFormat="1" ht="25" x14ac:dyDescent="0.35">
      <c r="A1138" s="11" t="s">
        <v>633</v>
      </c>
      <c r="B1138" s="11" t="s">
        <v>621</v>
      </c>
      <c r="C1138" s="11"/>
      <c r="D1138" s="181" t="s">
        <v>42</v>
      </c>
      <c r="E1138" s="181"/>
      <c r="F1138" s="67" t="s">
        <v>630</v>
      </c>
      <c r="G1138" s="110" t="s">
        <v>468</v>
      </c>
      <c r="H1138" s="182">
        <v>1</v>
      </c>
      <c r="I1138" s="184">
        <v>5000</v>
      </c>
      <c r="J1138" s="185">
        <f>H1138*I1138</f>
        <v>5000</v>
      </c>
      <c r="K1138" s="10">
        <v>1</v>
      </c>
    </row>
    <row r="1139" spans="1:11" s="187" customFormat="1" x14ac:dyDescent="0.35">
      <c r="A1139" s="11" t="s">
        <v>633</v>
      </c>
      <c r="B1139" s="11" t="s">
        <v>621</v>
      </c>
      <c r="C1139" s="11"/>
      <c r="D1139" s="181" t="s">
        <v>45</v>
      </c>
      <c r="E1139" s="181"/>
      <c r="F1139" s="188" t="s">
        <v>626</v>
      </c>
      <c r="G1139" s="110" t="s">
        <v>627</v>
      </c>
      <c r="H1139" s="189">
        <v>0.05</v>
      </c>
      <c r="I1139" s="184">
        <f>I1138</f>
        <v>5000</v>
      </c>
      <c r="J1139" s="185">
        <f>H1139*I1139</f>
        <v>250</v>
      </c>
      <c r="K1139" s="10">
        <v>1</v>
      </c>
    </row>
    <row r="1140" spans="1:11" s="187" customFormat="1" x14ac:dyDescent="0.35">
      <c r="A1140" s="11" t="s">
        <v>633</v>
      </c>
      <c r="B1140" s="11" t="s">
        <v>621</v>
      </c>
      <c r="C1140" s="11"/>
      <c r="D1140" s="181" t="s">
        <v>48</v>
      </c>
      <c r="E1140" s="181"/>
      <c r="F1140" s="188" t="s">
        <v>628</v>
      </c>
      <c r="G1140" s="110" t="s">
        <v>627</v>
      </c>
      <c r="H1140" s="189">
        <v>0.1</v>
      </c>
      <c r="I1140" s="184">
        <f>I1139</f>
        <v>5000</v>
      </c>
      <c r="J1140" s="185">
        <f>H1140*I1140</f>
        <v>500</v>
      </c>
      <c r="K1140" s="10">
        <v>1</v>
      </c>
    </row>
    <row r="1141" spans="1:11" s="187" customFormat="1" ht="13" x14ac:dyDescent="0.35">
      <c r="A1141" s="11" t="s">
        <v>633</v>
      </c>
      <c r="B1141" s="11" t="s">
        <v>621</v>
      </c>
      <c r="C1141" s="11"/>
      <c r="D1141" s="181"/>
      <c r="E1141" s="181"/>
      <c r="F1141" s="57" t="s">
        <v>757</v>
      </c>
      <c r="G1141" s="110"/>
      <c r="H1141" s="260"/>
      <c r="I1141" s="184"/>
      <c r="J1141" s="185"/>
      <c r="K1141" s="10">
        <v>1</v>
      </c>
    </row>
    <row r="1142" spans="1:11" s="187" customFormat="1" ht="25" x14ac:dyDescent="0.35">
      <c r="A1142" s="11" t="s">
        <v>633</v>
      </c>
      <c r="B1142" s="11" t="s">
        <v>621</v>
      </c>
      <c r="C1142" s="11"/>
      <c r="D1142" s="181" t="s">
        <v>51</v>
      </c>
      <c r="E1142" s="181"/>
      <c r="F1142" s="67" t="s">
        <v>758</v>
      </c>
      <c r="G1142" s="110" t="s">
        <v>468</v>
      </c>
      <c r="H1142" s="182">
        <v>1</v>
      </c>
      <c r="I1142" s="184">
        <v>280000</v>
      </c>
      <c r="J1142" s="185">
        <f>H1142*I1142</f>
        <v>280000</v>
      </c>
      <c r="K1142" s="10">
        <v>1</v>
      </c>
    </row>
    <row r="1143" spans="1:11" s="187" customFormat="1" x14ac:dyDescent="0.35">
      <c r="A1143" s="11" t="s">
        <v>633</v>
      </c>
      <c r="B1143" s="11" t="s">
        <v>621</v>
      </c>
      <c r="C1143" s="11"/>
      <c r="D1143" s="181" t="s">
        <v>53</v>
      </c>
      <c r="E1143" s="181"/>
      <c r="F1143" s="188" t="s">
        <v>626</v>
      </c>
      <c r="G1143" s="110" t="s">
        <v>627</v>
      </c>
      <c r="H1143" s="189">
        <v>0.05</v>
      </c>
      <c r="I1143" s="184">
        <f>I1142</f>
        <v>280000</v>
      </c>
      <c r="J1143" s="185">
        <f>H1143*I1143</f>
        <v>14000</v>
      </c>
      <c r="K1143" s="10">
        <v>1</v>
      </c>
    </row>
    <row r="1144" spans="1:11" s="187" customFormat="1" x14ac:dyDescent="0.35">
      <c r="A1144" s="11" t="s">
        <v>633</v>
      </c>
      <c r="B1144" s="11" t="s">
        <v>621</v>
      </c>
      <c r="C1144" s="11"/>
      <c r="D1144" s="181" t="s">
        <v>55</v>
      </c>
      <c r="E1144" s="181"/>
      <c r="F1144" s="188" t="s">
        <v>628</v>
      </c>
      <c r="G1144" s="110" t="s">
        <v>627</v>
      </c>
      <c r="H1144" s="189">
        <v>0.1</v>
      </c>
      <c r="I1144" s="184">
        <f>I1143</f>
        <v>280000</v>
      </c>
      <c r="J1144" s="185">
        <f>H1144*I1144</f>
        <v>28000</v>
      </c>
      <c r="K1144" s="10">
        <v>1</v>
      </c>
    </row>
    <row r="1145" spans="1:11" s="187" customFormat="1" ht="13" x14ac:dyDescent="0.35">
      <c r="A1145" s="11" t="s">
        <v>633</v>
      </c>
      <c r="B1145" s="11" t="s">
        <v>621</v>
      </c>
      <c r="C1145" s="11"/>
      <c r="D1145" s="181"/>
      <c r="E1145" s="181"/>
      <c r="F1145" s="57" t="s">
        <v>631</v>
      </c>
      <c r="G1145" s="110"/>
      <c r="H1145" s="182"/>
      <c r="I1145" s="184"/>
      <c r="J1145" s="185"/>
      <c r="K1145" s="10">
        <v>1</v>
      </c>
    </row>
    <row r="1146" spans="1:11" s="187" customFormat="1" ht="25" x14ac:dyDescent="0.35">
      <c r="A1146" s="11" t="s">
        <v>633</v>
      </c>
      <c r="B1146" s="11" t="s">
        <v>621</v>
      </c>
      <c r="C1146" s="11"/>
      <c r="D1146" s="181" t="s">
        <v>58</v>
      </c>
      <c r="E1146" s="181"/>
      <c r="F1146" s="67" t="s">
        <v>759</v>
      </c>
      <c r="G1146" s="110" t="s">
        <v>468</v>
      </c>
      <c r="H1146" s="182">
        <v>1</v>
      </c>
      <c r="I1146" s="184">
        <v>150000</v>
      </c>
      <c r="J1146" s="185">
        <f>H1146*I1146</f>
        <v>150000</v>
      </c>
      <c r="K1146" s="10">
        <v>1</v>
      </c>
    </row>
    <row r="1147" spans="1:11" s="187" customFormat="1" x14ac:dyDescent="0.35">
      <c r="A1147" s="11" t="s">
        <v>633</v>
      </c>
      <c r="B1147" s="11" t="s">
        <v>621</v>
      </c>
      <c r="C1147" s="11"/>
      <c r="D1147" s="181" t="s">
        <v>87</v>
      </c>
      <c r="E1147" s="181"/>
      <c r="F1147" s="188" t="s">
        <v>626</v>
      </c>
      <c r="G1147" s="110" t="s">
        <v>627</v>
      </c>
      <c r="H1147" s="189">
        <v>0.05</v>
      </c>
      <c r="I1147" s="184">
        <f>I1146</f>
        <v>150000</v>
      </c>
      <c r="J1147" s="185">
        <f>H1147*I1147</f>
        <v>7500</v>
      </c>
      <c r="K1147" s="10">
        <v>1</v>
      </c>
    </row>
    <row r="1148" spans="1:11" s="187" customFormat="1" x14ac:dyDescent="0.35">
      <c r="A1148" s="11" t="s">
        <v>633</v>
      </c>
      <c r="B1148" s="11" t="s">
        <v>621</v>
      </c>
      <c r="C1148" s="11"/>
      <c r="D1148" s="181" t="s">
        <v>90</v>
      </c>
      <c r="E1148" s="181"/>
      <c r="F1148" s="188" t="s">
        <v>628</v>
      </c>
      <c r="G1148" s="110" t="s">
        <v>627</v>
      </c>
      <c r="H1148" s="189">
        <v>0.1</v>
      </c>
      <c r="I1148" s="184">
        <f>I1147</f>
        <v>150000</v>
      </c>
      <c r="J1148" s="185">
        <f>H1148*I1148</f>
        <v>15000</v>
      </c>
      <c r="K1148" s="10">
        <v>1</v>
      </c>
    </row>
    <row r="1149" spans="1:11" ht="13" x14ac:dyDescent="0.35">
      <c r="A1149" s="11" t="s">
        <v>760</v>
      </c>
      <c r="B1149" s="11" t="s">
        <v>761</v>
      </c>
      <c r="C1149" s="11"/>
      <c r="D1149" s="77"/>
      <c r="E1149" s="77"/>
      <c r="F1149" s="262" t="s">
        <v>762</v>
      </c>
      <c r="G1149" s="78"/>
      <c r="H1149" s="79"/>
      <c r="I1149" s="81"/>
      <c r="J1149" s="82"/>
      <c r="K1149" s="10">
        <v>1</v>
      </c>
    </row>
    <row r="1150" spans="1:11" ht="13" x14ac:dyDescent="0.35">
      <c r="A1150" s="11" t="s">
        <v>760</v>
      </c>
      <c r="B1150" s="11" t="s">
        <v>761</v>
      </c>
      <c r="C1150" s="11"/>
      <c r="D1150" s="77"/>
      <c r="E1150" s="77"/>
      <c r="F1150" s="262" t="s">
        <v>763</v>
      </c>
      <c r="G1150" s="78"/>
      <c r="H1150" s="79"/>
      <c r="I1150" s="81"/>
      <c r="J1150" s="82"/>
      <c r="K1150" s="10">
        <v>1</v>
      </c>
    </row>
    <row r="1151" spans="1:11" ht="13" x14ac:dyDescent="0.35">
      <c r="A1151" s="11" t="s">
        <v>760</v>
      </c>
      <c r="B1151" s="11" t="s">
        <v>761</v>
      </c>
      <c r="C1151" s="11"/>
      <c r="D1151" s="77"/>
      <c r="E1151" s="77"/>
      <c r="F1151" s="262" t="s">
        <v>97</v>
      </c>
      <c r="G1151" s="78"/>
      <c r="H1151" s="79"/>
      <c r="I1151" s="81"/>
      <c r="J1151" s="82"/>
      <c r="K1151" s="10">
        <v>1</v>
      </c>
    </row>
    <row r="1152" spans="1:11" ht="13" x14ac:dyDescent="0.35">
      <c r="A1152" s="11" t="s">
        <v>760</v>
      </c>
      <c r="B1152" s="11" t="s">
        <v>761</v>
      </c>
      <c r="C1152" s="11"/>
      <c r="D1152" s="77"/>
      <c r="E1152" s="263"/>
      <c r="F1152" s="262" t="s">
        <v>764</v>
      </c>
      <c r="G1152" s="78"/>
      <c r="H1152" s="79"/>
      <c r="I1152" s="81"/>
      <c r="J1152" s="82"/>
      <c r="K1152" s="10">
        <v>1</v>
      </c>
    </row>
    <row r="1153" spans="1:11" ht="13" x14ac:dyDescent="0.35">
      <c r="A1153" s="11" t="s">
        <v>760</v>
      </c>
      <c r="B1153" s="11" t="s">
        <v>761</v>
      </c>
      <c r="C1153" s="11"/>
      <c r="D1153" s="77"/>
      <c r="E1153" s="77"/>
      <c r="F1153" s="87" t="s">
        <v>100</v>
      </c>
      <c r="G1153" s="78"/>
      <c r="H1153" s="79"/>
      <c r="I1153" s="81"/>
      <c r="J1153" s="82"/>
      <c r="K1153" s="10">
        <v>1</v>
      </c>
    </row>
    <row r="1154" spans="1:11" x14ac:dyDescent="0.35">
      <c r="A1154" s="11" t="s">
        <v>760</v>
      </c>
      <c r="B1154" s="11" t="s">
        <v>761</v>
      </c>
      <c r="C1154" s="11"/>
      <c r="D1154" s="77"/>
      <c r="E1154" s="77"/>
      <c r="F1154" s="264" t="s">
        <v>101</v>
      </c>
      <c r="G1154" s="78"/>
      <c r="H1154" s="79"/>
      <c r="I1154" s="81"/>
      <c r="J1154" s="82"/>
      <c r="K1154" s="10">
        <v>1</v>
      </c>
    </row>
    <row r="1155" spans="1:11" ht="13" x14ac:dyDescent="0.35">
      <c r="A1155" s="11" t="s">
        <v>760</v>
      </c>
      <c r="B1155" s="11" t="s">
        <v>761</v>
      </c>
      <c r="C1155" s="11"/>
      <c r="D1155" s="77"/>
      <c r="E1155" s="77"/>
      <c r="F1155" s="87" t="s">
        <v>102</v>
      </c>
      <c r="G1155" s="78"/>
      <c r="H1155" s="79"/>
      <c r="I1155" s="81"/>
      <c r="J1155" s="82"/>
      <c r="K1155" s="10">
        <v>1</v>
      </c>
    </row>
    <row r="1156" spans="1:11" ht="13" x14ac:dyDescent="0.35">
      <c r="A1156" s="11" t="s">
        <v>760</v>
      </c>
      <c r="B1156" s="11" t="s">
        <v>761</v>
      </c>
      <c r="C1156" s="11"/>
      <c r="D1156" s="77"/>
      <c r="E1156" s="77"/>
      <c r="F1156" s="87" t="s">
        <v>765</v>
      </c>
      <c r="G1156" s="78"/>
      <c r="H1156" s="79"/>
      <c r="I1156" s="81"/>
      <c r="J1156" s="82"/>
      <c r="K1156" s="10">
        <v>1</v>
      </c>
    </row>
    <row r="1157" spans="1:11" ht="62.5" x14ac:dyDescent="0.35">
      <c r="A1157" s="11" t="s">
        <v>760</v>
      </c>
      <c r="B1157" s="11" t="s">
        <v>761</v>
      </c>
      <c r="C1157" s="11"/>
      <c r="D1157" s="77"/>
      <c r="E1157" s="77"/>
      <c r="F1157" s="88" t="s">
        <v>766</v>
      </c>
      <c r="G1157" s="78"/>
      <c r="H1157" s="79"/>
      <c r="I1157" s="81"/>
      <c r="J1157" s="82"/>
      <c r="K1157" s="10">
        <v>1</v>
      </c>
    </row>
    <row r="1158" spans="1:11" ht="13" x14ac:dyDescent="0.35">
      <c r="A1158" s="11" t="s">
        <v>760</v>
      </c>
      <c r="B1158" s="11" t="s">
        <v>761</v>
      </c>
      <c r="C1158" s="11"/>
      <c r="D1158" s="77"/>
      <c r="E1158" s="77"/>
      <c r="F1158" s="87" t="s">
        <v>767</v>
      </c>
      <c r="G1158" s="78"/>
      <c r="H1158" s="79"/>
      <c r="I1158" s="81"/>
      <c r="J1158" s="82"/>
      <c r="K1158" s="10">
        <v>1</v>
      </c>
    </row>
    <row r="1159" spans="1:11" ht="25" x14ac:dyDescent="0.35">
      <c r="A1159" s="11" t="s">
        <v>760</v>
      </c>
      <c r="B1159" s="11" t="s">
        <v>761</v>
      </c>
      <c r="C1159" s="11"/>
      <c r="D1159" s="77"/>
      <c r="E1159" s="77"/>
      <c r="F1159" s="88" t="s">
        <v>768</v>
      </c>
      <c r="G1159" s="78"/>
      <c r="H1159" s="79"/>
      <c r="I1159" s="81"/>
      <c r="J1159" s="82"/>
      <c r="K1159" s="10">
        <v>1</v>
      </c>
    </row>
    <row r="1160" spans="1:11" ht="13" x14ac:dyDescent="0.35">
      <c r="A1160" s="11" t="s">
        <v>760</v>
      </c>
      <c r="B1160" s="11" t="s">
        <v>761</v>
      </c>
      <c r="C1160" s="11"/>
      <c r="D1160" s="77"/>
      <c r="E1160" s="77"/>
      <c r="F1160" s="87" t="s">
        <v>398</v>
      </c>
      <c r="G1160" s="78"/>
      <c r="H1160" s="79"/>
      <c r="I1160" s="81"/>
      <c r="J1160" s="82"/>
      <c r="K1160" s="10">
        <v>1</v>
      </c>
    </row>
    <row r="1161" spans="1:11" ht="75" x14ac:dyDescent="0.35">
      <c r="A1161" s="11" t="s">
        <v>760</v>
      </c>
      <c r="B1161" s="11" t="s">
        <v>761</v>
      </c>
      <c r="C1161" s="11"/>
      <c r="D1161" s="77"/>
      <c r="E1161" s="77"/>
      <c r="F1161" s="88" t="s">
        <v>769</v>
      </c>
      <c r="G1161" s="78"/>
      <c r="H1161" s="79"/>
      <c r="I1161" s="81"/>
      <c r="J1161" s="82"/>
      <c r="K1161" s="10">
        <v>1</v>
      </c>
    </row>
    <row r="1162" spans="1:11" ht="100" x14ac:dyDescent="0.35">
      <c r="A1162" s="11" t="s">
        <v>760</v>
      </c>
      <c r="B1162" s="11" t="s">
        <v>761</v>
      </c>
      <c r="C1162" s="11"/>
      <c r="D1162" s="77"/>
      <c r="E1162" s="77"/>
      <c r="F1162" s="88" t="s">
        <v>770</v>
      </c>
      <c r="G1162" s="78"/>
      <c r="H1162" s="79"/>
      <c r="I1162" s="81"/>
      <c r="J1162" s="82"/>
      <c r="K1162" s="10">
        <v>1</v>
      </c>
    </row>
    <row r="1163" spans="1:11" ht="25" x14ac:dyDescent="0.35">
      <c r="A1163" s="11" t="s">
        <v>760</v>
      </c>
      <c r="B1163" s="11" t="s">
        <v>761</v>
      </c>
      <c r="C1163" s="11"/>
      <c r="D1163" s="77"/>
      <c r="E1163" s="77"/>
      <c r="F1163" s="88" t="s">
        <v>771</v>
      </c>
      <c r="G1163" s="78"/>
      <c r="H1163" s="79"/>
      <c r="I1163" s="81"/>
      <c r="J1163" s="82"/>
      <c r="K1163" s="10">
        <v>1</v>
      </c>
    </row>
    <row r="1164" spans="1:11" ht="25" x14ac:dyDescent="0.35">
      <c r="A1164" s="11" t="s">
        <v>760</v>
      </c>
      <c r="B1164" s="11" t="s">
        <v>761</v>
      </c>
      <c r="C1164" s="11"/>
      <c r="D1164" s="77"/>
      <c r="E1164" s="77"/>
      <c r="F1164" s="88" t="s">
        <v>772</v>
      </c>
      <c r="G1164" s="78"/>
      <c r="H1164" s="79"/>
      <c r="I1164" s="81"/>
      <c r="J1164" s="82"/>
      <c r="K1164" s="10">
        <v>1</v>
      </c>
    </row>
    <row r="1165" spans="1:11" ht="37.5" x14ac:dyDescent="0.35">
      <c r="A1165" s="11" t="s">
        <v>760</v>
      </c>
      <c r="B1165" s="11" t="s">
        <v>761</v>
      </c>
      <c r="C1165" s="11"/>
      <c r="D1165" s="77"/>
      <c r="E1165" s="77"/>
      <c r="F1165" s="88" t="s">
        <v>773</v>
      </c>
      <c r="G1165" s="78"/>
      <c r="H1165" s="79"/>
      <c r="I1165" s="81"/>
      <c r="J1165" s="82"/>
      <c r="K1165" s="10">
        <v>1</v>
      </c>
    </row>
    <row r="1166" spans="1:11" ht="37.5" x14ac:dyDescent="0.35">
      <c r="A1166" s="11" t="s">
        <v>760</v>
      </c>
      <c r="B1166" s="11" t="s">
        <v>761</v>
      </c>
      <c r="C1166" s="11"/>
      <c r="D1166" s="77"/>
      <c r="E1166" s="77"/>
      <c r="F1166" s="88" t="s">
        <v>774</v>
      </c>
      <c r="G1166" s="78"/>
      <c r="H1166" s="265"/>
      <c r="I1166" s="81"/>
      <c r="J1166" s="82"/>
      <c r="K1166" s="10">
        <v>1</v>
      </c>
    </row>
    <row r="1167" spans="1:11" ht="50" x14ac:dyDescent="0.35">
      <c r="A1167" s="11" t="s">
        <v>760</v>
      </c>
      <c r="B1167" s="11" t="s">
        <v>761</v>
      </c>
      <c r="C1167" s="11"/>
      <c r="D1167" s="77"/>
      <c r="E1167" s="77"/>
      <c r="F1167" s="88" t="s">
        <v>775</v>
      </c>
      <c r="G1167" s="78"/>
      <c r="H1167" s="79"/>
      <c r="I1167" s="81"/>
      <c r="J1167" s="82"/>
      <c r="K1167" s="10">
        <v>1</v>
      </c>
    </row>
    <row r="1168" spans="1:11" ht="13" x14ac:dyDescent="0.35">
      <c r="A1168" s="11" t="s">
        <v>760</v>
      </c>
      <c r="B1168" s="11" t="s">
        <v>761</v>
      </c>
      <c r="C1168" s="11"/>
      <c r="D1168" s="77"/>
      <c r="E1168" s="77"/>
      <c r="F1168" s="87" t="s">
        <v>776</v>
      </c>
      <c r="G1168" s="78"/>
      <c r="H1168" s="79"/>
      <c r="I1168" s="81"/>
      <c r="J1168" s="82"/>
      <c r="K1168" s="10">
        <v>1</v>
      </c>
    </row>
    <row r="1169" spans="1:11" ht="13" x14ac:dyDescent="0.35">
      <c r="A1169" s="11" t="s">
        <v>760</v>
      </c>
      <c r="B1169" s="11" t="s">
        <v>761</v>
      </c>
      <c r="C1169" s="11"/>
      <c r="D1169" s="77"/>
      <c r="E1169" s="77"/>
      <c r="F1169" s="87" t="s">
        <v>777</v>
      </c>
      <c r="G1169" s="78"/>
      <c r="H1169" s="79"/>
      <c r="I1169" s="81"/>
      <c r="J1169" s="82"/>
      <c r="K1169" s="10">
        <v>1</v>
      </c>
    </row>
    <row r="1170" spans="1:11" x14ac:dyDescent="0.35">
      <c r="A1170" s="11" t="s">
        <v>760</v>
      </c>
      <c r="B1170" s="11" t="s">
        <v>761</v>
      </c>
      <c r="C1170" s="11"/>
      <c r="D1170" s="77" t="s">
        <v>20</v>
      </c>
      <c r="E1170" s="77"/>
      <c r="F1170" s="264" t="s">
        <v>778</v>
      </c>
      <c r="G1170" s="78" t="s">
        <v>245</v>
      </c>
      <c r="H1170" s="79">
        <v>21</v>
      </c>
      <c r="I1170" s="267">
        <v>125</v>
      </c>
      <c r="J1170" s="82">
        <f>H1170*I1170</f>
        <v>2625</v>
      </c>
      <c r="K1170" s="10">
        <v>1</v>
      </c>
    </row>
    <row r="1171" spans="1:11" x14ac:dyDescent="0.35">
      <c r="A1171" s="11" t="s">
        <v>760</v>
      </c>
      <c r="B1171" s="11" t="s">
        <v>761</v>
      </c>
      <c r="C1171" s="11"/>
      <c r="D1171" s="77"/>
      <c r="E1171" s="77"/>
      <c r="F1171" s="268" t="s">
        <v>779</v>
      </c>
      <c r="G1171" s="78"/>
      <c r="H1171" s="79"/>
      <c r="I1171" s="81"/>
      <c r="J1171" s="82"/>
      <c r="K1171" s="10">
        <v>1</v>
      </c>
    </row>
    <row r="1172" spans="1:11" x14ac:dyDescent="0.35">
      <c r="A1172" s="11" t="s">
        <v>760</v>
      </c>
      <c r="B1172" s="11" t="s">
        <v>761</v>
      </c>
      <c r="C1172" s="11"/>
      <c r="D1172" s="77" t="s">
        <v>26</v>
      </c>
      <c r="E1172" s="77"/>
      <c r="F1172" s="88" t="s">
        <v>780</v>
      </c>
      <c r="G1172" s="78" t="s">
        <v>245</v>
      </c>
      <c r="H1172" s="269">
        <v>40</v>
      </c>
      <c r="I1172" s="267">
        <v>75</v>
      </c>
      <c r="J1172" s="82">
        <f>H1172*I1172</f>
        <v>3000</v>
      </c>
      <c r="K1172" s="10">
        <v>1</v>
      </c>
    </row>
    <row r="1173" spans="1:11" x14ac:dyDescent="0.35">
      <c r="A1173" s="11" t="s">
        <v>760</v>
      </c>
      <c r="B1173" s="11" t="s">
        <v>761</v>
      </c>
      <c r="C1173" s="11"/>
      <c r="D1173" s="77"/>
      <c r="E1173" s="77"/>
      <c r="F1173" s="268" t="s">
        <v>781</v>
      </c>
      <c r="G1173" s="78"/>
      <c r="H1173" s="79"/>
      <c r="I1173" s="81"/>
      <c r="J1173" s="82"/>
      <c r="K1173" s="10">
        <v>1</v>
      </c>
    </row>
    <row r="1174" spans="1:11" ht="25" x14ac:dyDescent="0.35">
      <c r="A1174" s="11" t="s">
        <v>760</v>
      </c>
      <c r="B1174" s="11" t="s">
        <v>761</v>
      </c>
      <c r="C1174" s="11"/>
      <c r="D1174" s="77" t="s">
        <v>29</v>
      </c>
      <c r="E1174" s="77"/>
      <c r="F1174" s="60" t="s">
        <v>782</v>
      </c>
      <c r="G1174" s="271" t="s">
        <v>245</v>
      </c>
      <c r="H1174" s="79">
        <v>15</v>
      </c>
      <c r="I1174" s="81">
        <v>65</v>
      </c>
      <c r="J1174" s="82">
        <f>H1174*I1174</f>
        <v>975</v>
      </c>
      <c r="K1174" s="10">
        <v>1</v>
      </c>
    </row>
    <row r="1175" spans="1:11" x14ac:dyDescent="0.35">
      <c r="A1175" s="11" t="s">
        <v>760</v>
      </c>
      <c r="B1175" s="11" t="s">
        <v>761</v>
      </c>
      <c r="C1175" s="11"/>
      <c r="D1175" s="77"/>
      <c r="E1175" s="77"/>
      <c r="F1175" s="272" t="s">
        <v>783</v>
      </c>
      <c r="G1175" s="78"/>
      <c r="H1175" s="79"/>
      <c r="I1175" s="81"/>
      <c r="J1175" s="82"/>
      <c r="K1175" s="10">
        <v>1</v>
      </c>
    </row>
    <row r="1176" spans="1:11" ht="25" x14ac:dyDescent="0.35">
      <c r="A1176" s="11" t="s">
        <v>760</v>
      </c>
      <c r="B1176" s="11" t="s">
        <v>761</v>
      </c>
      <c r="C1176" s="11"/>
      <c r="D1176" s="77" t="s">
        <v>32</v>
      </c>
      <c r="E1176" s="77"/>
      <c r="F1176" s="88" t="s">
        <v>784</v>
      </c>
      <c r="G1176" s="78" t="s">
        <v>175</v>
      </c>
      <c r="H1176" s="79">
        <v>2</v>
      </c>
      <c r="I1176" s="81">
        <v>350</v>
      </c>
      <c r="J1176" s="82">
        <f>H1176*I1176</f>
        <v>700</v>
      </c>
      <c r="K1176" s="10">
        <v>1</v>
      </c>
    </row>
    <row r="1177" spans="1:11" x14ac:dyDescent="0.35">
      <c r="A1177" s="11" t="s">
        <v>760</v>
      </c>
      <c r="B1177" s="11" t="s">
        <v>761</v>
      </c>
      <c r="C1177" s="11"/>
      <c r="D1177" s="77"/>
      <c r="E1177" s="77"/>
      <c r="F1177" s="268" t="s">
        <v>785</v>
      </c>
      <c r="G1177" s="78"/>
      <c r="H1177" s="79"/>
      <c r="I1177" s="81"/>
      <c r="J1177" s="82"/>
      <c r="K1177" s="10">
        <v>1</v>
      </c>
    </row>
    <row r="1178" spans="1:11" x14ac:dyDescent="0.35">
      <c r="A1178" s="11" t="s">
        <v>760</v>
      </c>
      <c r="B1178" s="11" t="s">
        <v>761</v>
      </c>
      <c r="C1178" s="11"/>
      <c r="D1178" s="77" t="s">
        <v>36</v>
      </c>
      <c r="E1178" s="77"/>
      <c r="F1178" s="60" t="s">
        <v>786</v>
      </c>
      <c r="G1178" s="271" t="s">
        <v>245</v>
      </c>
      <c r="H1178" s="79">
        <v>63</v>
      </c>
      <c r="I1178" s="81">
        <v>25</v>
      </c>
      <c r="J1178" s="82">
        <f>H1178*I1178</f>
        <v>1575</v>
      </c>
      <c r="K1178" s="10">
        <v>1</v>
      </c>
    </row>
    <row r="1179" spans="1:11" ht="13" x14ac:dyDescent="0.35">
      <c r="A1179" s="11" t="s">
        <v>760</v>
      </c>
      <c r="B1179" s="11" t="s">
        <v>787</v>
      </c>
      <c r="C1179" s="11"/>
      <c r="D1179" s="11"/>
      <c r="E1179" s="11"/>
      <c r="F1179" s="262" t="s">
        <v>762</v>
      </c>
      <c r="G1179" s="44"/>
      <c r="H1179" s="45"/>
      <c r="I1179" s="47"/>
      <c r="J1179" s="48"/>
      <c r="K1179" s="10">
        <v>1</v>
      </c>
    </row>
    <row r="1180" spans="1:11" ht="13" x14ac:dyDescent="0.35">
      <c r="A1180" s="11" t="s">
        <v>760</v>
      </c>
      <c r="B1180" s="11" t="s">
        <v>787</v>
      </c>
      <c r="C1180" s="11"/>
      <c r="D1180" s="11"/>
      <c r="E1180" s="11"/>
      <c r="F1180" s="262" t="s">
        <v>763</v>
      </c>
      <c r="G1180" s="44"/>
      <c r="H1180" s="45"/>
      <c r="I1180" s="47"/>
      <c r="J1180" s="48"/>
      <c r="K1180" s="10">
        <v>1</v>
      </c>
    </row>
    <row r="1181" spans="1:11" ht="13" x14ac:dyDescent="0.35">
      <c r="A1181" s="11" t="s">
        <v>760</v>
      </c>
      <c r="B1181" s="11" t="s">
        <v>787</v>
      </c>
      <c r="C1181" s="11"/>
      <c r="D1181" s="11"/>
      <c r="E1181" s="11"/>
      <c r="F1181" s="43" t="s">
        <v>137</v>
      </c>
      <c r="G1181" s="44"/>
      <c r="H1181" s="45"/>
      <c r="I1181" s="47"/>
      <c r="J1181" s="48"/>
      <c r="K1181" s="10">
        <v>1</v>
      </c>
    </row>
    <row r="1182" spans="1:11" ht="13" x14ac:dyDescent="0.35">
      <c r="A1182" s="11" t="s">
        <v>760</v>
      </c>
      <c r="B1182" s="11" t="s">
        <v>787</v>
      </c>
      <c r="C1182" s="11"/>
      <c r="D1182" s="50"/>
      <c r="E1182" s="50" t="s">
        <v>98</v>
      </c>
      <c r="F1182" s="43" t="s">
        <v>99</v>
      </c>
      <c r="G1182" s="51"/>
      <c r="H1182" s="52"/>
      <c r="I1182" s="54"/>
      <c r="J1182" s="55"/>
      <c r="K1182" s="10">
        <v>1</v>
      </c>
    </row>
    <row r="1183" spans="1:11" ht="13" x14ac:dyDescent="0.35">
      <c r="A1183" s="11" t="s">
        <v>760</v>
      </c>
      <c r="B1183" s="11" t="s">
        <v>787</v>
      </c>
      <c r="C1183" s="11"/>
      <c r="D1183" s="11"/>
      <c r="E1183" s="11"/>
      <c r="F1183" s="57" t="s">
        <v>100</v>
      </c>
      <c r="G1183" s="44"/>
      <c r="H1183" s="58"/>
      <c r="I1183" s="47"/>
      <c r="J1183" s="48"/>
      <c r="K1183" s="10">
        <v>1</v>
      </c>
    </row>
    <row r="1184" spans="1:11" x14ac:dyDescent="0.35">
      <c r="A1184" s="11" t="s">
        <v>760</v>
      </c>
      <c r="B1184" s="11" t="s">
        <v>787</v>
      </c>
      <c r="C1184" s="11"/>
      <c r="D1184" s="11"/>
      <c r="E1184" s="11"/>
      <c r="F1184" s="60" t="s">
        <v>101</v>
      </c>
      <c r="G1184" s="44"/>
      <c r="H1184" s="58"/>
      <c r="I1184" s="47"/>
      <c r="J1184" s="48"/>
      <c r="K1184" s="10">
        <v>1</v>
      </c>
    </row>
    <row r="1185" spans="1:11" ht="13" x14ac:dyDescent="0.35">
      <c r="A1185" s="11" t="s">
        <v>760</v>
      </c>
      <c r="B1185" s="11" t="s">
        <v>787</v>
      </c>
      <c r="C1185" s="11"/>
      <c r="D1185" s="11"/>
      <c r="E1185" s="11"/>
      <c r="F1185" s="57" t="s">
        <v>102</v>
      </c>
      <c r="G1185" s="44"/>
      <c r="H1185" s="58"/>
      <c r="I1185" s="47"/>
      <c r="J1185" s="48"/>
      <c r="K1185" s="10">
        <v>1</v>
      </c>
    </row>
    <row r="1186" spans="1:11" ht="13" x14ac:dyDescent="0.35">
      <c r="A1186" s="11" t="s">
        <v>760</v>
      </c>
      <c r="B1186" s="11" t="s">
        <v>787</v>
      </c>
      <c r="C1186" s="11"/>
      <c r="D1186" s="11"/>
      <c r="E1186" s="11"/>
      <c r="F1186" s="57" t="s">
        <v>103</v>
      </c>
      <c r="G1186" s="44"/>
      <c r="H1186" s="58"/>
      <c r="I1186" s="47"/>
      <c r="J1186" s="48"/>
      <c r="K1186" s="10">
        <v>1</v>
      </c>
    </row>
    <row r="1187" spans="1:11" ht="37.5" x14ac:dyDescent="0.35">
      <c r="A1187" s="11" t="s">
        <v>760</v>
      </c>
      <c r="B1187" s="11" t="s">
        <v>787</v>
      </c>
      <c r="C1187" s="11"/>
      <c r="D1187" s="11"/>
      <c r="E1187" s="11"/>
      <c r="F1187" s="60" t="s">
        <v>104</v>
      </c>
      <c r="G1187" s="44"/>
      <c r="H1187" s="58"/>
      <c r="I1187" s="47"/>
      <c r="J1187" s="48"/>
      <c r="K1187" s="10">
        <v>1</v>
      </c>
    </row>
    <row r="1188" spans="1:11" ht="13" x14ac:dyDescent="0.35">
      <c r="A1188" s="11" t="s">
        <v>760</v>
      </c>
      <c r="B1188" s="11" t="s">
        <v>787</v>
      </c>
      <c r="C1188" s="11"/>
      <c r="D1188" s="11"/>
      <c r="E1188" s="61" t="s">
        <v>105</v>
      </c>
      <c r="F1188" s="57" t="s">
        <v>106</v>
      </c>
      <c r="G1188" s="44"/>
      <c r="H1188" s="58"/>
      <c r="I1188" s="47"/>
      <c r="J1188" s="48"/>
      <c r="K1188" s="10">
        <v>1</v>
      </c>
    </row>
    <row r="1189" spans="1:11" x14ac:dyDescent="0.35">
      <c r="A1189" s="11" t="s">
        <v>760</v>
      </c>
      <c r="B1189" s="11" t="s">
        <v>787</v>
      </c>
      <c r="C1189" s="11"/>
      <c r="D1189" s="11"/>
      <c r="E1189" s="11" t="s">
        <v>21</v>
      </c>
      <c r="F1189" s="62" t="s">
        <v>107</v>
      </c>
      <c r="G1189" s="44"/>
      <c r="H1189" s="58"/>
      <c r="I1189" s="47"/>
      <c r="J1189" s="48"/>
      <c r="K1189" s="10">
        <v>1</v>
      </c>
    </row>
    <row r="1190" spans="1:11" ht="25" x14ac:dyDescent="0.35">
      <c r="A1190" s="11" t="s">
        <v>760</v>
      </c>
      <c r="B1190" s="11" t="s">
        <v>787</v>
      </c>
      <c r="C1190" s="11"/>
      <c r="D1190" s="11" t="s">
        <v>20</v>
      </c>
      <c r="E1190" s="11" t="s">
        <v>108</v>
      </c>
      <c r="F1190" s="60" t="s">
        <v>109</v>
      </c>
      <c r="G1190" s="44" t="s">
        <v>110</v>
      </c>
      <c r="H1190" s="58">
        <v>71</v>
      </c>
      <c r="I1190" s="47">
        <v>25</v>
      </c>
      <c r="J1190" s="48">
        <f>I1190*H1190</f>
        <v>1775</v>
      </c>
      <c r="K1190" s="10">
        <v>1</v>
      </c>
    </row>
    <row r="1191" spans="1:11" ht="14.5" x14ac:dyDescent="0.35">
      <c r="A1191" s="11" t="s">
        <v>760</v>
      </c>
      <c r="B1191" s="11" t="s">
        <v>787</v>
      </c>
      <c r="C1191" s="11"/>
      <c r="D1191" s="11" t="s">
        <v>26</v>
      </c>
      <c r="E1191" s="11" t="s">
        <v>111</v>
      </c>
      <c r="F1191" s="60" t="s">
        <v>112</v>
      </c>
      <c r="G1191" s="44" t="s">
        <v>110</v>
      </c>
      <c r="H1191" s="58">
        <f>H1190</f>
        <v>71</v>
      </c>
      <c r="I1191" s="47">
        <v>65</v>
      </c>
      <c r="J1191" s="48">
        <f>I1191*H1191</f>
        <v>4615</v>
      </c>
      <c r="K1191" s="10">
        <v>1</v>
      </c>
    </row>
    <row r="1192" spans="1:11" ht="13" x14ac:dyDescent="0.35">
      <c r="A1192" s="11" t="s">
        <v>760</v>
      </c>
      <c r="B1192" s="11" t="s">
        <v>787</v>
      </c>
      <c r="C1192" s="11"/>
      <c r="D1192" s="11"/>
      <c r="E1192" s="11"/>
      <c r="F1192" s="57" t="s">
        <v>113</v>
      </c>
      <c r="G1192" s="44"/>
      <c r="H1192" s="58"/>
      <c r="I1192" s="47"/>
      <c r="J1192" s="48"/>
      <c r="K1192" s="10">
        <v>1</v>
      </c>
    </row>
    <row r="1193" spans="1:11" ht="13" x14ac:dyDescent="0.35">
      <c r="A1193" s="11" t="s">
        <v>760</v>
      </c>
      <c r="B1193" s="11" t="s">
        <v>787</v>
      </c>
      <c r="C1193" s="11"/>
      <c r="D1193" s="11"/>
      <c r="E1193" s="61" t="s">
        <v>56</v>
      </c>
      <c r="F1193" s="57" t="s">
        <v>114</v>
      </c>
      <c r="G1193" s="44"/>
      <c r="H1193" s="63"/>
      <c r="I1193" s="47"/>
      <c r="J1193" s="48"/>
      <c r="K1193" s="10">
        <v>1</v>
      </c>
    </row>
    <row r="1194" spans="1:11" ht="14.5" x14ac:dyDescent="0.35">
      <c r="A1194" s="11" t="s">
        <v>760</v>
      </c>
      <c r="B1194" s="11" t="s">
        <v>787</v>
      </c>
      <c r="C1194" s="11"/>
      <c r="D1194" s="11" t="s">
        <v>29</v>
      </c>
      <c r="E1194" s="61" t="s">
        <v>115</v>
      </c>
      <c r="F1194" s="60" t="s">
        <v>116</v>
      </c>
      <c r="G1194" s="44" t="s">
        <v>117</v>
      </c>
      <c r="H1194" s="63">
        <v>7</v>
      </c>
      <c r="I1194" s="47">
        <v>85</v>
      </c>
      <c r="J1194" s="48">
        <f>H1194*I1194</f>
        <v>595</v>
      </c>
      <c r="K1194" s="10">
        <v>1</v>
      </c>
    </row>
    <row r="1195" spans="1:11" ht="13" x14ac:dyDescent="0.35">
      <c r="A1195" s="11" t="s">
        <v>760</v>
      </c>
      <c r="B1195" s="11" t="s">
        <v>787</v>
      </c>
      <c r="C1195" s="11"/>
      <c r="D1195" s="11"/>
      <c r="E1195" s="61"/>
      <c r="F1195" s="57" t="s">
        <v>118</v>
      </c>
      <c r="G1195" s="44"/>
      <c r="H1195" s="63"/>
      <c r="I1195" s="47"/>
      <c r="J1195" s="48"/>
      <c r="K1195" s="10">
        <v>1</v>
      </c>
    </row>
    <row r="1196" spans="1:11" ht="14.5" x14ac:dyDescent="0.35">
      <c r="A1196" s="11" t="s">
        <v>760</v>
      </c>
      <c r="B1196" s="11" t="s">
        <v>787</v>
      </c>
      <c r="C1196" s="11"/>
      <c r="D1196" s="11" t="s">
        <v>32</v>
      </c>
      <c r="E1196" s="61" t="s">
        <v>119</v>
      </c>
      <c r="F1196" s="60" t="s">
        <v>120</v>
      </c>
      <c r="G1196" s="44" t="s">
        <v>117</v>
      </c>
      <c r="H1196" s="273">
        <f>H1194*0.1</f>
        <v>0.70000000000000007</v>
      </c>
      <c r="I1196" s="47">
        <v>95</v>
      </c>
      <c r="J1196" s="48">
        <f>H1196*I1196</f>
        <v>66.5</v>
      </c>
      <c r="K1196" s="10">
        <v>1</v>
      </c>
    </row>
    <row r="1197" spans="1:11" ht="14.5" x14ac:dyDescent="0.35">
      <c r="A1197" s="11" t="s">
        <v>760</v>
      </c>
      <c r="B1197" s="11" t="s">
        <v>787</v>
      </c>
      <c r="C1197" s="11"/>
      <c r="D1197" s="11" t="s">
        <v>36</v>
      </c>
      <c r="E1197" s="61" t="s">
        <v>121</v>
      </c>
      <c r="F1197" s="60" t="s">
        <v>122</v>
      </c>
      <c r="G1197" s="44" t="s">
        <v>117</v>
      </c>
      <c r="H1197" s="273">
        <f>H1194*0.05</f>
        <v>0.35000000000000003</v>
      </c>
      <c r="I1197" s="47">
        <v>350</v>
      </c>
      <c r="J1197" s="48">
        <f>H1197*I1197</f>
        <v>122.50000000000001</v>
      </c>
      <c r="K1197" s="10">
        <v>1</v>
      </c>
    </row>
    <row r="1198" spans="1:11" ht="13" x14ac:dyDescent="0.35">
      <c r="A1198" s="11" t="s">
        <v>760</v>
      </c>
      <c r="B1198" s="11" t="s">
        <v>787</v>
      </c>
      <c r="C1198" s="11"/>
      <c r="D1198" s="11"/>
      <c r="E1198" s="11" t="s">
        <v>59</v>
      </c>
      <c r="F1198" s="57" t="s">
        <v>123</v>
      </c>
      <c r="G1198" s="44"/>
      <c r="H1198" s="58"/>
      <c r="I1198" s="47"/>
      <c r="J1198" s="48"/>
      <c r="K1198" s="10">
        <v>1</v>
      </c>
    </row>
    <row r="1199" spans="1:11" x14ac:dyDescent="0.35">
      <c r="A1199" s="11" t="s">
        <v>760</v>
      </c>
      <c r="B1199" s="11" t="s">
        <v>787</v>
      </c>
      <c r="C1199" s="11"/>
      <c r="D1199" s="11"/>
      <c r="E1199" s="11" t="s">
        <v>124</v>
      </c>
      <c r="F1199" s="60" t="s">
        <v>125</v>
      </c>
      <c r="G1199" s="44"/>
      <c r="H1199" s="58"/>
      <c r="I1199" s="47"/>
      <c r="J1199" s="48"/>
      <c r="K1199" s="10">
        <v>1</v>
      </c>
    </row>
    <row r="1200" spans="1:11" ht="25" x14ac:dyDescent="0.35">
      <c r="A1200" s="11" t="s">
        <v>760</v>
      </c>
      <c r="B1200" s="11" t="s">
        <v>787</v>
      </c>
      <c r="C1200" s="11"/>
      <c r="D1200" s="11" t="s">
        <v>39</v>
      </c>
      <c r="E1200" s="11"/>
      <c r="F1200" s="60" t="s">
        <v>126</v>
      </c>
      <c r="G1200" s="44" t="s">
        <v>117</v>
      </c>
      <c r="H1200" s="58">
        <v>5</v>
      </c>
      <c r="I1200" s="47">
        <v>320</v>
      </c>
      <c r="J1200" s="48">
        <f>I1200*H1200</f>
        <v>1600</v>
      </c>
      <c r="K1200" s="10">
        <v>1</v>
      </c>
    </row>
    <row r="1201" spans="1:11" ht="25" x14ac:dyDescent="0.35">
      <c r="A1201" s="11" t="s">
        <v>760</v>
      </c>
      <c r="B1201" s="11" t="s">
        <v>787</v>
      </c>
      <c r="C1201" s="11"/>
      <c r="D1201" s="11" t="s">
        <v>42</v>
      </c>
      <c r="E1201" s="11"/>
      <c r="F1201" s="60" t="s">
        <v>127</v>
      </c>
      <c r="G1201" s="44" t="s">
        <v>117</v>
      </c>
      <c r="H1201" s="58">
        <v>7</v>
      </c>
      <c r="I1201" s="47">
        <v>320</v>
      </c>
      <c r="J1201" s="48">
        <f>I1201*H1201</f>
        <v>2240</v>
      </c>
      <c r="K1201" s="10">
        <v>1</v>
      </c>
    </row>
    <row r="1202" spans="1:11" x14ac:dyDescent="0.35">
      <c r="A1202" s="11" t="s">
        <v>760</v>
      </c>
      <c r="B1202" s="11" t="s">
        <v>787</v>
      </c>
      <c r="C1202" s="11"/>
      <c r="D1202" s="11" t="s">
        <v>45</v>
      </c>
      <c r="E1202" s="61" t="s">
        <v>128</v>
      </c>
      <c r="F1202" s="60" t="s">
        <v>129</v>
      </c>
      <c r="G1202" s="44"/>
      <c r="H1202" s="65"/>
      <c r="I1202" s="47"/>
      <c r="J1202" s="48"/>
      <c r="K1202" s="10">
        <v>1</v>
      </c>
    </row>
    <row r="1203" spans="1:11" ht="14.5" x14ac:dyDescent="0.35">
      <c r="A1203" s="11" t="s">
        <v>760</v>
      </c>
      <c r="B1203" s="11" t="s">
        <v>787</v>
      </c>
      <c r="C1203" s="11"/>
      <c r="D1203" s="11" t="s">
        <v>210</v>
      </c>
      <c r="E1203" s="61" t="s">
        <v>130</v>
      </c>
      <c r="F1203" s="60" t="s">
        <v>131</v>
      </c>
      <c r="G1203" s="44" t="s">
        <v>132</v>
      </c>
      <c r="H1203" s="63">
        <f>H1194*12</f>
        <v>84</v>
      </c>
      <c r="I1203" s="47">
        <v>8</v>
      </c>
      <c r="J1203" s="48">
        <f>I1203*H1203</f>
        <v>672</v>
      </c>
      <c r="K1203" s="10">
        <v>1</v>
      </c>
    </row>
    <row r="1204" spans="1:11" ht="13" x14ac:dyDescent="0.35">
      <c r="A1204" s="11" t="s">
        <v>760</v>
      </c>
      <c r="B1204" s="11" t="s">
        <v>787</v>
      </c>
      <c r="C1204" s="11"/>
      <c r="D1204" s="11"/>
      <c r="E1204" s="11"/>
      <c r="F1204" s="57" t="s">
        <v>133</v>
      </c>
      <c r="G1204" s="44"/>
      <c r="H1204" s="58"/>
      <c r="I1204" s="47"/>
      <c r="J1204" s="48"/>
      <c r="K1204" s="10">
        <v>1</v>
      </c>
    </row>
    <row r="1205" spans="1:11" x14ac:dyDescent="0.35">
      <c r="A1205" s="11" t="s">
        <v>760</v>
      </c>
      <c r="B1205" s="11" t="s">
        <v>787</v>
      </c>
      <c r="C1205" s="11"/>
      <c r="D1205" s="11"/>
      <c r="E1205" s="11"/>
      <c r="F1205" s="60" t="s">
        <v>134</v>
      </c>
      <c r="G1205" s="44"/>
      <c r="H1205" s="58"/>
      <c r="I1205" s="47"/>
      <c r="J1205" s="48"/>
      <c r="K1205" s="10">
        <v>1</v>
      </c>
    </row>
    <row r="1206" spans="1:11" ht="37.5" x14ac:dyDescent="0.35">
      <c r="A1206" s="11" t="s">
        <v>760</v>
      </c>
      <c r="B1206" s="11" t="s">
        <v>787</v>
      </c>
      <c r="C1206" s="11"/>
      <c r="D1206" s="11" t="s">
        <v>48</v>
      </c>
      <c r="E1206" s="11"/>
      <c r="F1206" s="60" t="s">
        <v>135</v>
      </c>
      <c r="G1206" s="44" t="s">
        <v>110</v>
      </c>
      <c r="H1206" s="58">
        <v>89</v>
      </c>
      <c r="I1206" s="47">
        <v>35</v>
      </c>
      <c r="J1206" s="48">
        <f>I1206*H1206</f>
        <v>3115</v>
      </c>
      <c r="K1206" s="10">
        <v>1</v>
      </c>
    </row>
    <row r="1207" spans="1:11" ht="13" x14ac:dyDescent="0.35">
      <c r="A1207" s="11" t="s">
        <v>760</v>
      </c>
      <c r="B1207" s="11" t="s">
        <v>788</v>
      </c>
      <c r="C1207" s="11"/>
      <c r="D1207" s="11"/>
      <c r="E1207" s="11"/>
      <c r="F1207" s="262" t="s">
        <v>762</v>
      </c>
      <c r="G1207" s="44"/>
      <c r="H1207" s="45"/>
      <c r="I1207" s="47"/>
      <c r="J1207" s="48"/>
      <c r="K1207" s="10">
        <v>1</v>
      </c>
    </row>
    <row r="1208" spans="1:11" ht="13" x14ac:dyDescent="0.35">
      <c r="A1208" s="11" t="s">
        <v>760</v>
      </c>
      <c r="B1208" s="11" t="s">
        <v>788</v>
      </c>
      <c r="C1208" s="11"/>
      <c r="D1208" s="11"/>
      <c r="E1208" s="11"/>
      <c r="F1208" s="262" t="s">
        <v>763</v>
      </c>
      <c r="G1208" s="44"/>
      <c r="H1208" s="45"/>
      <c r="I1208" s="47"/>
      <c r="J1208" s="48"/>
      <c r="K1208" s="10">
        <v>1</v>
      </c>
    </row>
    <row r="1209" spans="1:11" ht="13" x14ac:dyDescent="0.35">
      <c r="A1209" s="11" t="s">
        <v>760</v>
      </c>
      <c r="B1209" s="11" t="s">
        <v>788</v>
      </c>
      <c r="C1209" s="11"/>
      <c r="D1209" s="11"/>
      <c r="E1209" s="11"/>
      <c r="F1209" s="43" t="s">
        <v>190</v>
      </c>
      <c r="G1209" s="44"/>
      <c r="H1209" s="45"/>
      <c r="I1209" s="47"/>
      <c r="J1209" s="48"/>
      <c r="K1209" s="10">
        <v>1</v>
      </c>
    </row>
    <row r="1210" spans="1:11" ht="13" x14ac:dyDescent="0.35">
      <c r="A1210" s="11" t="s">
        <v>760</v>
      </c>
      <c r="B1210" s="11" t="s">
        <v>788</v>
      </c>
      <c r="C1210" s="11"/>
      <c r="D1210" s="11"/>
      <c r="E1210" s="50" t="s">
        <v>138</v>
      </c>
      <c r="F1210" s="43" t="s">
        <v>139</v>
      </c>
      <c r="G1210" s="44"/>
      <c r="H1210" s="45"/>
      <c r="I1210" s="47"/>
      <c r="J1210" s="48"/>
      <c r="K1210" s="10">
        <v>1</v>
      </c>
    </row>
    <row r="1211" spans="1:11" ht="13" x14ac:dyDescent="0.35">
      <c r="A1211" s="11" t="s">
        <v>760</v>
      </c>
      <c r="B1211" s="11" t="s">
        <v>788</v>
      </c>
      <c r="C1211" s="11"/>
      <c r="D1211" s="11"/>
      <c r="E1211" s="11"/>
      <c r="F1211" s="57" t="s">
        <v>100</v>
      </c>
      <c r="G1211" s="44"/>
      <c r="H1211" s="45"/>
      <c r="I1211" s="47"/>
      <c r="J1211" s="48"/>
      <c r="K1211" s="10">
        <v>1</v>
      </c>
    </row>
    <row r="1212" spans="1:11" x14ac:dyDescent="0.35">
      <c r="A1212" s="11" t="s">
        <v>760</v>
      </c>
      <c r="B1212" s="11" t="s">
        <v>788</v>
      </c>
      <c r="C1212" s="11"/>
      <c r="D1212" s="11"/>
      <c r="E1212" s="11"/>
      <c r="F1212" s="60" t="s">
        <v>101</v>
      </c>
      <c r="G1212" s="44"/>
      <c r="H1212" s="45"/>
      <c r="I1212" s="47"/>
      <c r="J1212" s="48"/>
      <c r="K1212" s="10">
        <v>1</v>
      </c>
    </row>
    <row r="1213" spans="1:11" ht="13" x14ac:dyDescent="0.35">
      <c r="A1213" s="11" t="s">
        <v>760</v>
      </c>
      <c r="B1213" s="11" t="s">
        <v>788</v>
      </c>
      <c r="C1213" s="11"/>
      <c r="D1213" s="11"/>
      <c r="E1213" s="11"/>
      <c r="F1213" s="57" t="s">
        <v>102</v>
      </c>
      <c r="G1213" s="44"/>
      <c r="H1213" s="45"/>
      <c r="I1213" s="47"/>
      <c r="J1213" s="48"/>
      <c r="K1213" s="10">
        <v>1</v>
      </c>
    </row>
    <row r="1214" spans="1:11" ht="13" x14ac:dyDescent="0.35">
      <c r="A1214" s="11" t="s">
        <v>760</v>
      </c>
      <c r="B1214" s="11" t="s">
        <v>788</v>
      </c>
      <c r="C1214" s="11"/>
      <c r="D1214" s="11"/>
      <c r="E1214" s="11"/>
      <c r="F1214" s="57" t="s">
        <v>140</v>
      </c>
      <c r="G1214" s="44"/>
      <c r="H1214" s="45"/>
      <c r="I1214" s="47"/>
      <c r="J1214" s="48"/>
      <c r="K1214" s="10">
        <v>1</v>
      </c>
    </row>
    <row r="1215" spans="1:11" ht="87.5" x14ac:dyDescent="0.35">
      <c r="A1215" s="11" t="s">
        <v>760</v>
      </c>
      <c r="B1215" s="11" t="s">
        <v>788</v>
      </c>
      <c r="C1215" s="11"/>
      <c r="D1215" s="11"/>
      <c r="E1215" s="11"/>
      <c r="F1215" s="60" t="s">
        <v>141</v>
      </c>
      <c r="G1215" s="44"/>
      <c r="H1215" s="45"/>
      <c r="I1215" s="47"/>
      <c r="J1215" s="48"/>
      <c r="K1215" s="10">
        <v>1</v>
      </c>
    </row>
    <row r="1216" spans="1:11" ht="13" x14ac:dyDescent="0.35">
      <c r="A1216" s="11" t="s">
        <v>760</v>
      </c>
      <c r="B1216" s="11" t="s">
        <v>788</v>
      </c>
      <c r="C1216" s="11"/>
      <c r="D1216" s="11"/>
      <c r="E1216" s="11"/>
      <c r="F1216" s="57" t="s">
        <v>142</v>
      </c>
      <c r="G1216" s="44"/>
      <c r="H1216" s="45"/>
      <c r="I1216" s="47"/>
      <c r="J1216" s="48"/>
      <c r="K1216" s="10">
        <v>1</v>
      </c>
    </row>
    <row r="1217" spans="1:11" ht="25" x14ac:dyDescent="0.35">
      <c r="A1217" s="11" t="s">
        <v>760</v>
      </c>
      <c r="B1217" s="11" t="s">
        <v>788</v>
      </c>
      <c r="C1217" s="11"/>
      <c r="D1217" s="11"/>
      <c r="E1217" s="11"/>
      <c r="F1217" s="60" t="s">
        <v>143</v>
      </c>
      <c r="G1217" s="44"/>
      <c r="H1217" s="45"/>
      <c r="I1217" s="47"/>
      <c r="J1217" s="48"/>
      <c r="K1217" s="10">
        <v>1</v>
      </c>
    </row>
    <row r="1218" spans="1:11" ht="75" x14ac:dyDescent="0.35">
      <c r="A1218" s="11" t="s">
        <v>760</v>
      </c>
      <c r="B1218" s="11" t="s">
        <v>788</v>
      </c>
      <c r="C1218" s="11"/>
      <c r="D1218" s="11"/>
      <c r="E1218" s="11"/>
      <c r="F1218" s="60" t="s">
        <v>144</v>
      </c>
      <c r="G1218" s="44"/>
      <c r="H1218" s="45"/>
      <c r="I1218" s="47"/>
      <c r="J1218" s="48"/>
      <c r="K1218" s="10">
        <v>1</v>
      </c>
    </row>
    <row r="1219" spans="1:11" x14ac:dyDescent="0.35">
      <c r="A1219" s="11" t="s">
        <v>760</v>
      </c>
      <c r="B1219" s="11" t="s">
        <v>788</v>
      </c>
      <c r="C1219" s="11"/>
      <c r="D1219" s="11"/>
      <c r="E1219" s="11"/>
      <c r="F1219" s="60" t="s">
        <v>145</v>
      </c>
      <c r="G1219" s="44"/>
      <c r="H1219" s="45"/>
      <c r="I1219" s="47"/>
      <c r="J1219" s="48"/>
      <c r="K1219" s="10">
        <v>1</v>
      </c>
    </row>
    <row r="1220" spans="1:11" ht="25" x14ac:dyDescent="0.35">
      <c r="A1220" s="11" t="s">
        <v>760</v>
      </c>
      <c r="B1220" s="11" t="s">
        <v>788</v>
      </c>
      <c r="C1220" s="11"/>
      <c r="D1220" s="11"/>
      <c r="E1220" s="11"/>
      <c r="F1220" s="60" t="s">
        <v>146</v>
      </c>
      <c r="G1220" s="44"/>
      <c r="H1220" s="45"/>
      <c r="I1220" s="47"/>
      <c r="J1220" s="48"/>
      <c r="K1220" s="10">
        <v>1</v>
      </c>
    </row>
    <row r="1221" spans="1:11" ht="13" x14ac:dyDescent="0.35">
      <c r="A1221" s="11" t="s">
        <v>760</v>
      </c>
      <c r="B1221" s="11" t="s">
        <v>788</v>
      </c>
      <c r="C1221" s="11"/>
      <c r="D1221" s="11"/>
      <c r="E1221" s="11" t="s">
        <v>147</v>
      </c>
      <c r="F1221" s="57" t="s">
        <v>148</v>
      </c>
      <c r="G1221" s="44"/>
      <c r="H1221" s="45"/>
      <c r="I1221" s="47"/>
      <c r="J1221" s="48"/>
      <c r="K1221" s="10">
        <v>1</v>
      </c>
    </row>
    <row r="1222" spans="1:11" x14ac:dyDescent="0.35">
      <c r="A1222" s="11" t="s">
        <v>760</v>
      </c>
      <c r="B1222" s="11" t="s">
        <v>788</v>
      </c>
      <c r="C1222" s="11"/>
      <c r="D1222" s="11"/>
      <c r="E1222" s="11" t="s">
        <v>149</v>
      </c>
      <c r="F1222" s="62" t="s">
        <v>150</v>
      </c>
      <c r="G1222" s="44"/>
      <c r="H1222" s="45"/>
      <c r="I1222" s="47"/>
      <c r="J1222" s="48"/>
      <c r="K1222" s="10">
        <v>1</v>
      </c>
    </row>
    <row r="1223" spans="1:11" ht="14.5" x14ac:dyDescent="0.35">
      <c r="A1223" s="11" t="s">
        <v>760</v>
      </c>
      <c r="B1223" s="11" t="s">
        <v>788</v>
      </c>
      <c r="C1223" s="11"/>
      <c r="D1223" s="11" t="s">
        <v>20</v>
      </c>
      <c r="E1223" s="11"/>
      <c r="F1223" s="67" t="s">
        <v>151</v>
      </c>
      <c r="G1223" s="44" t="s">
        <v>110</v>
      </c>
      <c r="H1223" s="45">
        <v>10</v>
      </c>
      <c r="I1223" s="47">
        <v>285</v>
      </c>
      <c r="J1223" s="48">
        <f>H1223*I1223</f>
        <v>2850</v>
      </c>
      <c r="K1223" s="10">
        <v>1</v>
      </c>
    </row>
    <row r="1224" spans="1:11" ht="13" x14ac:dyDescent="0.35">
      <c r="A1224" s="11" t="s">
        <v>760</v>
      </c>
      <c r="B1224" s="11" t="s">
        <v>788</v>
      </c>
      <c r="C1224" s="11"/>
      <c r="D1224" s="11"/>
      <c r="E1224" s="11">
        <v>8.3000000000000007</v>
      </c>
      <c r="F1224" s="57" t="s">
        <v>152</v>
      </c>
      <c r="G1224" s="44"/>
      <c r="H1224" s="45"/>
      <c r="I1224" s="47"/>
      <c r="J1224" s="48"/>
      <c r="K1224" s="10">
        <v>1</v>
      </c>
    </row>
    <row r="1225" spans="1:11" ht="13" x14ac:dyDescent="0.35">
      <c r="A1225" s="11" t="s">
        <v>760</v>
      </c>
      <c r="B1225" s="11" t="s">
        <v>788</v>
      </c>
      <c r="C1225" s="11"/>
      <c r="D1225" s="11"/>
      <c r="E1225" s="11" t="s">
        <v>21</v>
      </c>
      <c r="F1225" s="57" t="s">
        <v>153</v>
      </c>
      <c r="G1225" s="44"/>
      <c r="H1225" s="45"/>
      <c r="I1225" s="47"/>
      <c r="J1225" s="48"/>
      <c r="K1225" s="10">
        <v>1</v>
      </c>
    </row>
    <row r="1226" spans="1:11" x14ac:dyDescent="0.35">
      <c r="A1226" s="11" t="s">
        <v>760</v>
      </c>
      <c r="B1226" s="11" t="s">
        <v>788</v>
      </c>
      <c r="C1226" s="11"/>
      <c r="D1226" s="11" t="s">
        <v>26</v>
      </c>
      <c r="E1226" s="11"/>
      <c r="F1226" s="60" t="s">
        <v>789</v>
      </c>
      <c r="G1226" s="44" t="s">
        <v>157</v>
      </c>
      <c r="H1226" s="275">
        <v>0.35399999999999998</v>
      </c>
      <c r="I1226" s="47">
        <v>19500</v>
      </c>
      <c r="J1226" s="48">
        <f>H1226*I1226</f>
        <v>6903</v>
      </c>
      <c r="K1226" s="10">
        <v>1</v>
      </c>
    </row>
    <row r="1227" spans="1:11" ht="13" x14ac:dyDescent="0.35">
      <c r="A1227" s="11" t="s">
        <v>760</v>
      </c>
      <c r="B1227" s="11" t="s">
        <v>788</v>
      </c>
      <c r="C1227" s="11"/>
      <c r="D1227" s="11"/>
      <c r="E1227" s="11" t="s">
        <v>159</v>
      </c>
      <c r="F1227" s="57" t="s">
        <v>160</v>
      </c>
      <c r="G1227" s="44"/>
      <c r="H1227" s="45"/>
      <c r="I1227" s="47"/>
      <c r="J1227" s="48"/>
      <c r="K1227" s="10">
        <v>1</v>
      </c>
    </row>
    <row r="1228" spans="1:11" ht="14.5" x14ac:dyDescent="0.35">
      <c r="A1228" s="11" t="s">
        <v>760</v>
      </c>
      <c r="B1228" s="11" t="s">
        <v>788</v>
      </c>
      <c r="C1228" s="11"/>
      <c r="D1228" s="11" t="s">
        <v>29</v>
      </c>
      <c r="E1228" s="11"/>
      <c r="F1228" s="60" t="s">
        <v>161</v>
      </c>
      <c r="G1228" s="44" t="s">
        <v>110</v>
      </c>
      <c r="H1228" s="45">
        <v>23</v>
      </c>
      <c r="I1228" s="47">
        <v>145</v>
      </c>
      <c r="J1228" s="48">
        <f>H1228*I1228</f>
        <v>3335</v>
      </c>
      <c r="K1228" s="10">
        <v>1</v>
      </c>
    </row>
    <row r="1229" spans="1:11" ht="13" x14ac:dyDescent="0.35">
      <c r="A1229" s="11" t="s">
        <v>760</v>
      </c>
      <c r="B1229" s="11" t="s">
        <v>788</v>
      </c>
      <c r="C1229" s="11"/>
      <c r="D1229" s="11"/>
      <c r="E1229" s="11" t="s">
        <v>164</v>
      </c>
      <c r="F1229" s="57" t="s">
        <v>165</v>
      </c>
      <c r="G1229" s="44"/>
      <c r="H1229" s="45"/>
      <c r="I1229" s="47"/>
      <c r="J1229" s="48"/>
      <c r="K1229" s="10">
        <v>1</v>
      </c>
    </row>
    <row r="1230" spans="1:11" ht="13" x14ac:dyDescent="0.35">
      <c r="A1230" s="11" t="s">
        <v>760</v>
      </c>
      <c r="B1230" s="11" t="s">
        <v>788</v>
      </c>
      <c r="C1230" s="11"/>
      <c r="D1230" s="11"/>
      <c r="E1230" s="11" t="s">
        <v>65</v>
      </c>
      <c r="F1230" s="57" t="s">
        <v>166</v>
      </c>
      <c r="G1230" s="44"/>
      <c r="H1230" s="58"/>
      <c r="I1230" s="70"/>
      <c r="J1230" s="48"/>
      <c r="K1230" s="10">
        <v>1</v>
      </c>
    </row>
    <row r="1231" spans="1:11" ht="14.5" x14ac:dyDescent="0.35">
      <c r="A1231" s="11" t="s">
        <v>760</v>
      </c>
      <c r="B1231" s="11" t="s">
        <v>788</v>
      </c>
      <c r="C1231" s="11"/>
      <c r="D1231" s="11" t="s">
        <v>39</v>
      </c>
      <c r="E1231" s="11"/>
      <c r="F1231" s="60" t="s">
        <v>167</v>
      </c>
      <c r="G1231" s="44" t="s">
        <v>117</v>
      </c>
      <c r="H1231" s="58">
        <v>2</v>
      </c>
      <c r="I1231" s="47">
        <v>2000</v>
      </c>
      <c r="J1231" s="48">
        <f>H1231*I1231</f>
        <v>4000</v>
      </c>
      <c r="K1231" s="10">
        <v>1</v>
      </c>
    </row>
    <row r="1232" spans="1:11" ht="13" x14ac:dyDescent="0.35">
      <c r="A1232" s="11" t="s">
        <v>760</v>
      </c>
      <c r="B1232" s="11" t="s">
        <v>788</v>
      </c>
      <c r="C1232" s="11"/>
      <c r="D1232" s="11"/>
      <c r="E1232" s="11"/>
      <c r="F1232" s="57" t="s">
        <v>168</v>
      </c>
      <c r="G1232" s="44"/>
      <c r="H1232" s="45"/>
      <c r="I1232" s="47"/>
      <c r="J1232" s="48"/>
      <c r="K1232" s="10">
        <v>1</v>
      </c>
    </row>
    <row r="1233" spans="1:11" ht="14.5" x14ac:dyDescent="0.35">
      <c r="A1233" s="11" t="s">
        <v>760</v>
      </c>
      <c r="B1233" s="11" t="s">
        <v>788</v>
      </c>
      <c r="C1233" s="11"/>
      <c r="D1233" s="11" t="s">
        <v>42</v>
      </c>
      <c r="E1233" s="11"/>
      <c r="F1233" s="60" t="s">
        <v>169</v>
      </c>
      <c r="G1233" s="44" t="s">
        <v>117</v>
      </c>
      <c r="H1233" s="45">
        <v>2</v>
      </c>
      <c r="I1233" s="47">
        <v>2200</v>
      </c>
      <c r="J1233" s="48">
        <f>H1233*I1233</f>
        <v>4400</v>
      </c>
      <c r="K1233" s="10">
        <v>1</v>
      </c>
    </row>
    <row r="1234" spans="1:11" ht="14.5" x14ac:dyDescent="0.35">
      <c r="A1234" s="11" t="s">
        <v>760</v>
      </c>
      <c r="B1234" s="11" t="s">
        <v>788</v>
      </c>
      <c r="C1234" s="11"/>
      <c r="D1234" s="11" t="s">
        <v>45</v>
      </c>
      <c r="E1234" s="11"/>
      <c r="F1234" s="60" t="s">
        <v>790</v>
      </c>
      <c r="G1234" s="44" t="s">
        <v>117</v>
      </c>
      <c r="H1234" s="45">
        <v>2</v>
      </c>
      <c r="I1234" s="47">
        <v>2200</v>
      </c>
      <c r="J1234" s="48">
        <f>H1234*I1234</f>
        <v>4400</v>
      </c>
      <c r="K1234" s="10">
        <v>1</v>
      </c>
    </row>
    <row r="1235" spans="1:11" ht="14.5" x14ac:dyDescent="0.35">
      <c r="A1235" s="11" t="s">
        <v>760</v>
      </c>
      <c r="B1235" s="11" t="s">
        <v>788</v>
      </c>
      <c r="C1235" s="11"/>
      <c r="D1235" s="11" t="s">
        <v>210</v>
      </c>
      <c r="E1235" s="11"/>
      <c r="F1235" s="60" t="s">
        <v>171</v>
      </c>
      <c r="G1235" s="44" t="s">
        <v>117</v>
      </c>
      <c r="H1235" s="45">
        <v>4</v>
      </c>
      <c r="I1235" s="47">
        <v>2200</v>
      </c>
      <c r="J1235" s="48">
        <f>H1235*I1235</f>
        <v>8800</v>
      </c>
      <c r="K1235" s="10">
        <v>1</v>
      </c>
    </row>
    <row r="1236" spans="1:11" ht="13" x14ac:dyDescent="0.35">
      <c r="A1236" s="11" t="s">
        <v>760</v>
      </c>
      <c r="B1236" s="11" t="s">
        <v>788</v>
      </c>
      <c r="C1236" s="11"/>
      <c r="D1236" s="11"/>
      <c r="E1236" s="11"/>
      <c r="F1236" s="57" t="s">
        <v>173</v>
      </c>
      <c r="G1236" s="44"/>
      <c r="H1236" s="45"/>
      <c r="I1236" s="47"/>
      <c r="J1236" s="48"/>
      <c r="K1236" s="10">
        <v>1</v>
      </c>
    </row>
    <row r="1237" spans="1:11" ht="25" x14ac:dyDescent="0.35">
      <c r="A1237" s="11" t="s">
        <v>760</v>
      </c>
      <c r="B1237" s="11" t="s">
        <v>788</v>
      </c>
      <c r="C1237" s="11"/>
      <c r="D1237" s="144" t="s">
        <v>51</v>
      </c>
      <c r="E1237" s="144"/>
      <c r="F1237" s="146" t="s">
        <v>174</v>
      </c>
      <c r="G1237" s="147" t="s">
        <v>175</v>
      </c>
      <c r="H1237" s="206">
        <v>35</v>
      </c>
      <c r="I1237" s="208">
        <v>650</v>
      </c>
      <c r="J1237" s="151">
        <f>H1237*I1237</f>
        <v>22750</v>
      </c>
      <c r="K1237" s="10">
        <v>1</v>
      </c>
    </row>
    <row r="1238" spans="1:11" ht="13" x14ac:dyDescent="0.35">
      <c r="A1238" s="11" t="s">
        <v>760</v>
      </c>
      <c r="B1238" s="11" t="s">
        <v>788</v>
      </c>
      <c r="C1238" s="11"/>
      <c r="D1238" s="11"/>
      <c r="E1238" s="11" t="s">
        <v>82</v>
      </c>
      <c r="F1238" s="57" t="s">
        <v>176</v>
      </c>
      <c r="G1238" s="44"/>
      <c r="H1238" s="58"/>
      <c r="I1238" s="70"/>
      <c r="J1238" s="48"/>
      <c r="K1238" s="10">
        <v>1</v>
      </c>
    </row>
    <row r="1239" spans="1:11" ht="13" x14ac:dyDescent="0.35">
      <c r="A1239" s="11" t="s">
        <v>760</v>
      </c>
      <c r="B1239" s="11" t="s">
        <v>788</v>
      </c>
      <c r="C1239" s="11"/>
      <c r="D1239" s="11"/>
      <c r="E1239" s="11" t="s">
        <v>177</v>
      </c>
      <c r="F1239" s="57" t="s">
        <v>791</v>
      </c>
      <c r="G1239" s="44"/>
      <c r="H1239" s="58"/>
      <c r="I1239" s="70"/>
      <c r="J1239" s="48"/>
      <c r="K1239" s="10">
        <v>1</v>
      </c>
    </row>
    <row r="1240" spans="1:11" ht="14.5" x14ac:dyDescent="0.35">
      <c r="A1240" s="11" t="s">
        <v>760</v>
      </c>
      <c r="B1240" s="11" t="s">
        <v>788</v>
      </c>
      <c r="C1240" s="11"/>
      <c r="D1240" s="11" t="s">
        <v>53</v>
      </c>
      <c r="E1240" s="11"/>
      <c r="F1240" s="60" t="s">
        <v>179</v>
      </c>
      <c r="G1240" s="44" t="s">
        <v>110</v>
      </c>
      <c r="H1240" s="58">
        <v>21</v>
      </c>
      <c r="I1240" s="47">
        <v>15</v>
      </c>
      <c r="J1240" s="48">
        <f>H1240*I1240</f>
        <v>315</v>
      </c>
      <c r="K1240" s="10">
        <v>1</v>
      </c>
    </row>
    <row r="1241" spans="1:11" ht="13" x14ac:dyDescent="0.35">
      <c r="A1241" s="11" t="s">
        <v>760</v>
      </c>
      <c r="B1241" s="11" t="s">
        <v>788</v>
      </c>
      <c r="C1241" s="11"/>
      <c r="D1241" s="11"/>
      <c r="E1241" s="11" t="s">
        <v>183</v>
      </c>
      <c r="F1241" s="57" t="s">
        <v>184</v>
      </c>
      <c r="G1241" s="44"/>
      <c r="H1241" s="58"/>
      <c r="I1241" s="47"/>
      <c r="J1241" s="48"/>
      <c r="K1241" s="10">
        <v>1</v>
      </c>
    </row>
    <row r="1242" spans="1:11" ht="37.5" x14ac:dyDescent="0.35">
      <c r="A1242" s="11" t="s">
        <v>760</v>
      </c>
      <c r="B1242" s="11" t="s">
        <v>788</v>
      </c>
      <c r="C1242" s="11"/>
      <c r="D1242" s="11" t="s">
        <v>180</v>
      </c>
      <c r="E1242" s="11"/>
      <c r="F1242" s="60" t="s">
        <v>185</v>
      </c>
      <c r="G1242" s="44" t="s">
        <v>186</v>
      </c>
      <c r="H1242" s="58">
        <v>15</v>
      </c>
      <c r="I1242" s="47">
        <v>95</v>
      </c>
      <c r="J1242" s="48">
        <f>H1242*I1242</f>
        <v>1425</v>
      </c>
      <c r="K1242" s="10">
        <v>1</v>
      </c>
    </row>
    <row r="1243" spans="1:11" ht="25" x14ac:dyDescent="0.35">
      <c r="A1243" s="11" t="s">
        <v>760</v>
      </c>
      <c r="B1243" s="11" t="s">
        <v>788</v>
      </c>
      <c r="C1243" s="11"/>
      <c r="D1243" s="11" t="s">
        <v>87</v>
      </c>
      <c r="E1243" s="11"/>
      <c r="F1243" s="60" t="s">
        <v>188</v>
      </c>
      <c r="G1243" s="44" t="s">
        <v>186</v>
      </c>
      <c r="H1243" s="58">
        <v>15</v>
      </c>
      <c r="I1243" s="47">
        <v>95</v>
      </c>
      <c r="J1243" s="48">
        <f>H1243*I1243</f>
        <v>1425</v>
      </c>
      <c r="K1243" s="10">
        <v>1</v>
      </c>
    </row>
    <row r="1244" spans="1:11" ht="13" x14ac:dyDescent="0.35">
      <c r="A1244" s="11" t="s">
        <v>760</v>
      </c>
      <c r="B1244" s="11" t="s">
        <v>792</v>
      </c>
      <c r="C1244" s="11"/>
      <c r="D1244" s="11"/>
      <c r="E1244" s="11"/>
      <c r="F1244" s="262" t="s">
        <v>762</v>
      </c>
      <c r="G1244" s="44"/>
      <c r="H1244" s="45"/>
      <c r="I1244" s="47"/>
      <c r="J1244" s="48"/>
      <c r="K1244" s="10">
        <v>1</v>
      </c>
    </row>
    <row r="1245" spans="1:11" ht="13" x14ac:dyDescent="0.35">
      <c r="A1245" s="11" t="s">
        <v>760</v>
      </c>
      <c r="B1245" s="11" t="s">
        <v>792</v>
      </c>
      <c r="C1245" s="11"/>
      <c r="D1245" s="11"/>
      <c r="E1245" s="11"/>
      <c r="F1245" s="262" t="s">
        <v>763</v>
      </c>
      <c r="G1245" s="44"/>
      <c r="H1245" s="45"/>
      <c r="I1245" s="47"/>
      <c r="J1245" s="48"/>
      <c r="K1245" s="10">
        <v>1</v>
      </c>
    </row>
    <row r="1246" spans="1:11" ht="13" x14ac:dyDescent="0.35">
      <c r="A1246" s="11" t="s">
        <v>760</v>
      </c>
      <c r="B1246" s="11" t="s">
        <v>792</v>
      </c>
      <c r="C1246" s="11"/>
      <c r="D1246" s="11"/>
      <c r="E1246" s="11"/>
      <c r="F1246" s="43" t="s">
        <v>225</v>
      </c>
      <c r="G1246" s="44"/>
      <c r="H1246" s="45"/>
      <c r="I1246" s="47"/>
      <c r="J1246" s="48"/>
      <c r="K1246" s="10">
        <v>1</v>
      </c>
    </row>
    <row r="1247" spans="1:11" ht="13" x14ac:dyDescent="0.35">
      <c r="A1247" s="11" t="s">
        <v>760</v>
      </c>
      <c r="B1247" s="11" t="s">
        <v>792</v>
      </c>
      <c r="C1247" s="11"/>
      <c r="D1247" s="11"/>
      <c r="E1247" s="11"/>
      <c r="F1247" s="43" t="s">
        <v>191</v>
      </c>
      <c r="G1247" s="44"/>
      <c r="H1247" s="45"/>
      <c r="I1247" s="47"/>
      <c r="J1247" s="48"/>
      <c r="K1247" s="10">
        <v>1</v>
      </c>
    </row>
    <row r="1248" spans="1:11" ht="13" x14ac:dyDescent="0.35">
      <c r="A1248" s="11" t="s">
        <v>760</v>
      </c>
      <c r="B1248" s="11" t="s">
        <v>792</v>
      </c>
      <c r="C1248" s="11"/>
      <c r="D1248" s="11"/>
      <c r="E1248" s="11"/>
      <c r="F1248" s="57" t="s">
        <v>100</v>
      </c>
      <c r="G1248" s="44"/>
      <c r="H1248" s="45"/>
      <c r="I1248" s="47"/>
      <c r="J1248" s="48"/>
      <c r="K1248" s="10">
        <v>1</v>
      </c>
    </row>
    <row r="1249" spans="1:11" x14ac:dyDescent="0.35">
      <c r="A1249" s="11" t="s">
        <v>760</v>
      </c>
      <c r="B1249" s="11" t="s">
        <v>792</v>
      </c>
      <c r="C1249" s="11"/>
      <c r="D1249" s="11"/>
      <c r="E1249" s="11"/>
      <c r="F1249" s="60" t="s">
        <v>101</v>
      </c>
      <c r="G1249" s="44"/>
      <c r="H1249" s="45"/>
      <c r="I1249" s="47"/>
      <c r="J1249" s="48"/>
      <c r="K1249" s="10">
        <v>1</v>
      </c>
    </row>
    <row r="1250" spans="1:11" ht="13" x14ac:dyDescent="0.35">
      <c r="A1250" s="11" t="s">
        <v>760</v>
      </c>
      <c r="B1250" s="11" t="s">
        <v>792</v>
      </c>
      <c r="C1250" s="11"/>
      <c r="D1250" s="11"/>
      <c r="E1250" s="11"/>
      <c r="F1250" s="57" t="s">
        <v>102</v>
      </c>
      <c r="G1250" s="44"/>
      <c r="H1250" s="45"/>
      <c r="I1250" s="47"/>
      <c r="J1250" s="48"/>
      <c r="K1250" s="10">
        <v>1</v>
      </c>
    </row>
    <row r="1251" spans="1:11" ht="25" x14ac:dyDescent="0.35">
      <c r="A1251" s="11" t="s">
        <v>760</v>
      </c>
      <c r="B1251" s="11" t="s">
        <v>792</v>
      </c>
      <c r="C1251" s="11"/>
      <c r="D1251" s="11"/>
      <c r="E1251" s="11"/>
      <c r="F1251" s="60" t="s">
        <v>192</v>
      </c>
      <c r="G1251" s="44"/>
      <c r="H1251" s="45"/>
      <c r="I1251" s="47"/>
      <c r="J1251" s="48"/>
      <c r="K1251" s="10">
        <v>1</v>
      </c>
    </row>
    <row r="1252" spans="1:11" x14ac:dyDescent="0.35">
      <c r="A1252" s="11" t="s">
        <v>760</v>
      </c>
      <c r="B1252" s="11" t="s">
        <v>792</v>
      </c>
      <c r="C1252" s="11"/>
      <c r="D1252" s="11"/>
      <c r="E1252" s="11"/>
      <c r="F1252" s="62" t="s">
        <v>193</v>
      </c>
      <c r="G1252" s="44"/>
      <c r="H1252" s="58"/>
      <c r="I1252" s="47"/>
      <c r="J1252" s="48"/>
      <c r="K1252" s="10">
        <v>1</v>
      </c>
    </row>
    <row r="1253" spans="1:11" x14ac:dyDescent="0.35">
      <c r="A1253" s="11" t="s">
        <v>760</v>
      </c>
      <c r="B1253" s="11" t="s">
        <v>792</v>
      </c>
      <c r="C1253" s="11"/>
      <c r="D1253" s="11"/>
      <c r="E1253" s="11"/>
      <c r="F1253" s="60" t="s">
        <v>194</v>
      </c>
      <c r="G1253" s="44"/>
      <c r="H1253" s="58"/>
      <c r="I1253" s="47"/>
      <c r="J1253" s="48"/>
      <c r="K1253" s="10">
        <v>1</v>
      </c>
    </row>
    <row r="1254" spans="1:11" x14ac:dyDescent="0.35">
      <c r="A1254" s="11" t="s">
        <v>760</v>
      </c>
      <c r="B1254" s="11" t="s">
        <v>792</v>
      </c>
      <c r="C1254" s="11"/>
      <c r="D1254" s="11"/>
      <c r="E1254" s="11"/>
      <c r="F1254" s="62" t="s">
        <v>195</v>
      </c>
      <c r="G1254" s="44"/>
      <c r="H1254" s="58"/>
      <c r="I1254" s="47"/>
      <c r="J1254" s="48"/>
      <c r="K1254" s="10">
        <v>1</v>
      </c>
    </row>
    <row r="1255" spans="1:11" ht="37.5" x14ac:dyDescent="0.35">
      <c r="A1255" s="11" t="s">
        <v>760</v>
      </c>
      <c r="B1255" s="11" t="s">
        <v>792</v>
      </c>
      <c r="C1255" s="11"/>
      <c r="D1255" s="11"/>
      <c r="E1255" s="11"/>
      <c r="F1255" s="60" t="s">
        <v>196</v>
      </c>
      <c r="G1255" s="44"/>
      <c r="H1255" s="58"/>
      <c r="I1255" s="47"/>
      <c r="J1255" s="48"/>
      <c r="K1255" s="10">
        <v>1</v>
      </c>
    </row>
    <row r="1256" spans="1:11" x14ac:dyDescent="0.35">
      <c r="A1256" s="11" t="s">
        <v>760</v>
      </c>
      <c r="B1256" s="11" t="s">
        <v>792</v>
      </c>
      <c r="C1256" s="11"/>
      <c r="D1256" s="11"/>
      <c r="E1256" s="11"/>
      <c r="F1256" s="62" t="s">
        <v>197</v>
      </c>
      <c r="G1256" s="44"/>
      <c r="H1256" s="45"/>
      <c r="I1256" s="47"/>
      <c r="J1256" s="48"/>
      <c r="K1256" s="10">
        <v>1</v>
      </c>
    </row>
    <row r="1257" spans="1:11" ht="37.5" x14ac:dyDescent="0.35">
      <c r="A1257" s="11" t="s">
        <v>760</v>
      </c>
      <c r="B1257" s="11" t="s">
        <v>792</v>
      </c>
      <c r="C1257" s="11"/>
      <c r="D1257" s="11"/>
      <c r="E1257" s="11"/>
      <c r="F1257" s="60" t="s">
        <v>198</v>
      </c>
      <c r="G1257" s="44"/>
      <c r="H1257" s="45"/>
      <c r="I1257" s="47"/>
      <c r="J1257" s="48"/>
      <c r="K1257" s="10">
        <v>1</v>
      </c>
    </row>
    <row r="1258" spans="1:11" ht="13" x14ac:dyDescent="0.35">
      <c r="A1258" s="11" t="s">
        <v>760</v>
      </c>
      <c r="B1258" s="11" t="s">
        <v>792</v>
      </c>
      <c r="C1258" s="11"/>
      <c r="D1258" s="11"/>
      <c r="E1258" s="11"/>
      <c r="F1258" s="57" t="s">
        <v>199</v>
      </c>
      <c r="G1258" s="44"/>
      <c r="H1258" s="45"/>
      <c r="I1258" s="47"/>
      <c r="J1258" s="48"/>
      <c r="K1258" s="10">
        <v>1</v>
      </c>
    </row>
    <row r="1259" spans="1:11" ht="13" x14ac:dyDescent="0.35">
      <c r="A1259" s="11" t="s">
        <v>760</v>
      </c>
      <c r="B1259" s="11" t="s">
        <v>792</v>
      </c>
      <c r="C1259" s="11"/>
      <c r="D1259" s="11"/>
      <c r="E1259" s="11"/>
      <c r="F1259" s="57" t="s">
        <v>200</v>
      </c>
      <c r="G1259" s="44"/>
      <c r="H1259" s="45"/>
      <c r="I1259" s="47"/>
      <c r="J1259" s="48"/>
      <c r="K1259" s="10">
        <v>1</v>
      </c>
    </row>
    <row r="1260" spans="1:11" ht="13" x14ac:dyDescent="0.35">
      <c r="A1260" s="11" t="s">
        <v>760</v>
      </c>
      <c r="B1260" s="11" t="s">
        <v>792</v>
      </c>
      <c r="C1260" s="11"/>
      <c r="D1260" s="11"/>
      <c r="E1260" s="11"/>
      <c r="F1260" s="57" t="s">
        <v>201</v>
      </c>
      <c r="G1260" s="44"/>
      <c r="H1260" s="45"/>
      <c r="I1260" s="47"/>
      <c r="J1260" s="48"/>
      <c r="K1260" s="10">
        <v>1</v>
      </c>
    </row>
    <row r="1261" spans="1:11" ht="14.5" x14ac:dyDescent="0.35">
      <c r="A1261" s="11" t="s">
        <v>760</v>
      </c>
      <c r="B1261" s="11" t="s">
        <v>792</v>
      </c>
      <c r="C1261" s="11"/>
      <c r="D1261" s="11" t="s">
        <v>20</v>
      </c>
      <c r="E1261" s="11"/>
      <c r="F1261" s="60" t="s">
        <v>203</v>
      </c>
      <c r="G1261" s="44" t="s">
        <v>110</v>
      </c>
      <c r="H1261" s="45">
        <v>13</v>
      </c>
      <c r="I1261" s="47">
        <v>295</v>
      </c>
      <c r="J1261" s="48">
        <f>H1261*I1261</f>
        <v>3835</v>
      </c>
      <c r="K1261" s="10">
        <v>1</v>
      </c>
    </row>
    <row r="1262" spans="1:11" ht="13" x14ac:dyDescent="0.35">
      <c r="A1262" s="11" t="s">
        <v>760</v>
      </c>
      <c r="B1262" s="11" t="s">
        <v>792</v>
      </c>
      <c r="C1262" s="11"/>
      <c r="D1262" s="11"/>
      <c r="E1262" s="11"/>
      <c r="F1262" s="57" t="s">
        <v>205</v>
      </c>
      <c r="G1262" s="44"/>
      <c r="H1262" s="45"/>
      <c r="I1262" s="47"/>
      <c r="J1262" s="48"/>
      <c r="K1262" s="10">
        <v>1</v>
      </c>
    </row>
    <row r="1263" spans="1:11" ht="13" x14ac:dyDescent="0.35">
      <c r="A1263" s="11" t="s">
        <v>760</v>
      </c>
      <c r="B1263" s="11" t="s">
        <v>792</v>
      </c>
      <c r="C1263" s="11"/>
      <c r="D1263" s="11"/>
      <c r="E1263" s="11"/>
      <c r="F1263" s="57" t="s">
        <v>201</v>
      </c>
      <c r="G1263" s="44"/>
      <c r="H1263" s="45"/>
      <c r="I1263" s="47"/>
      <c r="J1263" s="48"/>
      <c r="K1263" s="10">
        <v>1</v>
      </c>
    </row>
    <row r="1264" spans="1:11" ht="14.5" x14ac:dyDescent="0.35">
      <c r="A1264" s="11" t="s">
        <v>760</v>
      </c>
      <c r="B1264" s="11" t="s">
        <v>792</v>
      </c>
      <c r="C1264" s="11"/>
      <c r="D1264" s="11" t="s">
        <v>26</v>
      </c>
      <c r="E1264" s="11"/>
      <c r="F1264" s="60" t="s">
        <v>203</v>
      </c>
      <c r="G1264" s="44" t="s">
        <v>110</v>
      </c>
      <c r="H1264" s="45">
        <v>72</v>
      </c>
      <c r="I1264" s="47">
        <v>295</v>
      </c>
      <c r="J1264" s="48">
        <f>H1264*I1264</f>
        <v>21240</v>
      </c>
      <c r="K1264" s="10">
        <v>1</v>
      </c>
    </row>
    <row r="1265" spans="1:11" ht="14.5" x14ac:dyDescent="0.35">
      <c r="A1265" s="11" t="s">
        <v>760</v>
      </c>
      <c r="B1265" s="11" t="s">
        <v>792</v>
      </c>
      <c r="C1265" s="11"/>
      <c r="D1265" s="11" t="s">
        <v>26</v>
      </c>
      <c r="E1265" s="11"/>
      <c r="F1265" s="60" t="s">
        <v>204</v>
      </c>
      <c r="G1265" s="44" t="s">
        <v>110</v>
      </c>
      <c r="H1265" s="45">
        <v>20</v>
      </c>
      <c r="I1265" s="47">
        <v>245</v>
      </c>
      <c r="J1265" s="48">
        <f>H1265*I1265</f>
        <v>4900</v>
      </c>
      <c r="K1265" s="10">
        <v>1</v>
      </c>
    </row>
    <row r="1266" spans="1:11" ht="26" x14ac:dyDescent="0.35">
      <c r="A1266" s="11" t="s">
        <v>760</v>
      </c>
      <c r="B1266" s="11" t="s">
        <v>792</v>
      </c>
      <c r="C1266" s="11"/>
      <c r="D1266" s="11"/>
      <c r="E1266" s="11"/>
      <c r="F1266" s="57" t="s">
        <v>207</v>
      </c>
      <c r="G1266" s="44"/>
      <c r="H1266" s="45"/>
      <c r="I1266" s="47"/>
      <c r="J1266" s="48"/>
      <c r="K1266" s="10">
        <v>1</v>
      </c>
    </row>
    <row r="1267" spans="1:11" x14ac:dyDescent="0.35">
      <c r="A1267" s="11" t="s">
        <v>760</v>
      </c>
      <c r="B1267" s="11" t="s">
        <v>792</v>
      </c>
      <c r="C1267" s="11"/>
      <c r="D1267" s="11" t="s">
        <v>29</v>
      </c>
      <c r="E1267" s="11"/>
      <c r="F1267" s="60" t="s">
        <v>208</v>
      </c>
      <c r="G1267" s="44" t="s">
        <v>186</v>
      </c>
      <c r="H1267" s="45">
        <v>4</v>
      </c>
      <c r="I1267" s="47">
        <v>300</v>
      </c>
      <c r="J1267" s="48">
        <f>H1267*I1267</f>
        <v>1200</v>
      </c>
      <c r="K1267" s="10">
        <v>1</v>
      </c>
    </row>
    <row r="1268" spans="1:11" ht="26" x14ac:dyDescent="0.35">
      <c r="A1268" s="11" t="s">
        <v>760</v>
      </c>
      <c r="B1268" s="11" t="s">
        <v>792</v>
      </c>
      <c r="C1268" s="11"/>
      <c r="D1268" s="11"/>
      <c r="E1268" s="11"/>
      <c r="F1268" s="57" t="s">
        <v>209</v>
      </c>
      <c r="G1268" s="44"/>
      <c r="H1268" s="58"/>
      <c r="I1268" s="47"/>
      <c r="J1268" s="48"/>
      <c r="K1268" s="10">
        <v>1</v>
      </c>
    </row>
    <row r="1269" spans="1:11" ht="25" x14ac:dyDescent="0.35">
      <c r="A1269" s="11" t="s">
        <v>760</v>
      </c>
      <c r="B1269" s="11" t="s">
        <v>792</v>
      </c>
      <c r="C1269" s="11"/>
      <c r="D1269" s="11" t="s">
        <v>32</v>
      </c>
      <c r="E1269" s="11"/>
      <c r="F1269" s="60" t="s">
        <v>211</v>
      </c>
      <c r="G1269" s="44" t="s">
        <v>186</v>
      </c>
      <c r="H1269" s="58">
        <v>18</v>
      </c>
      <c r="I1269" s="47">
        <v>95</v>
      </c>
      <c r="J1269" s="48">
        <f>H1269*I1269</f>
        <v>1710</v>
      </c>
      <c r="K1269" s="10">
        <v>1</v>
      </c>
    </row>
    <row r="1270" spans="1:11" ht="13" x14ac:dyDescent="0.35">
      <c r="A1270" s="11" t="s">
        <v>760</v>
      </c>
      <c r="B1270" s="11" t="s">
        <v>792</v>
      </c>
      <c r="C1270" s="11"/>
      <c r="D1270" s="11"/>
      <c r="E1270" s="11"/>
      <c r="F1270" s="57" t="s">
        <v>212</v>
      </c>
      <c r="G1270" s="44"/>
      <c r="H1270" s="58"/>
      <c r="I1270" s="47"/>
      <c r="J1270" s="48"/>
      <c r="K1270" s="10">
        <v>1</v>
      </c>
    </row>
    <row r="1271" spans="1:11" x14ac:dyDescent="0.35">
      <c r="A1271" s="11" t="s">
        <v>760</v>
      </c>
      <c r="B1271" s="11" t="s">
        <v>792</v>
      </c>
      <c r="C1271" s="11"/>
      <c r="D1271" s="11" t="s">
        <v>36</v>
      </c>
      <c r="E1271" s="11"/>
      <c r="F1271" s="60" t="s">
        <v>213</v>
      </c>
      <c r="G1271" s="44" t="s">
        <v>186</v>
      </c>
      <c r="H1271" s="58">
        <v>34</v>
      </c>
      <c r="I1271" s="47">
        <v>65</v>
      </c>
      <c r="J1271" s="48">
        <f>H1271*I1271</f>
        <v>2210</v>
      </c>
      <c r="K1271" s="10">
        <v>1</v>
      </c>
    </row>
    <row r="1272" spans="1:11" ht="13" x14ac:dyDescent="0.35">
      <c r="A1272" s="11" t="s">
        <v>760</v>
      </c>
      <c r="B1272" s="11" t="s">
        <v>792</v>
      </c>
      <c r="C1272" s="11"/>
      <c r="D1272" s="11"/>
      <c r="E1272" s="11"/>
      <c r="F1272" s="57" t="s">
        <v>214</v>
      </c>
      <c r="G1272" s="44"/>
      <c r="H1272" s="45"/>
      <c r="I1272" s="47"/>
      <c r="J1272" s="48"/>
      <c r="K1272" s="10">
        <v>1</v>
      </c>
    </row>
    <row r="1273" spans="1:11" x14ac:dyDescent="0.35">
      <c r="A1273" s="11" t="s">
        <v>760</v>
      </c>
      <c r="B1273" s="11" t="s">
        <v>792</v>
      </c>
      <c r="C1273" s="11"/>
      <c r="D1273" s="11"/>
      <c r="E1273" s="11"/>
      <c r="F1273" s="62" t="s">
        <v>215</v>
      </c>
      <c r="G1273" s="44"/>
      <c r="H1273" s="45"/>
      <c r="I1273" s="47"/>
      <c r="J1273" s="48"/>
      <c r="K1273" s="10">
        <v>1</v>
      </c>
    </row>
    <row r="1274" spans="1:11" ht="13" x14ac:dyDescent="0.35">
      <c r="A1274" s="11" t="s">
        <v>760</v>
      </c>
      <c r="B1274" s="11" t="s">
        <v>792</v>
      </c>
      <c r="C1274" s="11"/>
      <c r="D1274" s="11"/>
      <c r="E1274" s="11"/>
      <c r="F1274" s="57" t="s">
        <v>216</v>
      </c>
      <c r="G1274" s="44"/>
      <c r="H1274" s="45"/>
      <c r="I1274" s="47"/>
      <c r="J1274" s="48"/>
      <c r="K1274" s="10">
        <v>1</v>
      </c>
    </row>
    <row r="1275" spans="1:11" ht="14.5" x14ac:dyDescent="0.35">
      <c r="A1275" s="11" t="s">
        <v>760</v>
      </c>
      <c r="B1275" s="11" t="s">
        <v>792</v>
      </c>
      <c r="C1275" s="11"/>
      <c r="D1275" s="11" t="s">
        <v>39</v>
      </c>
      <c r="E1275" s="11"/>
      <c r="F1275" s="60" t="s">
        <v>218</v>
      </c>
      <c r="G1275" s="44" t="s">
        <v>110</v>
      </c>
      <c r="H1275" s="45">
        <v>17</v>
      </c>
      <c r="I1275" s="47">
        <v>550</v>
      </c>
      <c r="J1275" s="48">
        <f>H1275*I1275</f>
        <v>9350</v>
      </c>
      <c r="K1275" s="10">
        <v>1</v>
      </c>
    </row>
    <row r="1276" spans="1:11" x14ac:dyDescent="0.35">
      <c r="A1276" s="11" t="s">
        <v>760</v>
      </c>
      <c r="B1276" s="11" t="s">
        <v>792</v>
      </c>
      <c r="C1276" s="11"/>
      <c r="D1276" s="11" t="s">
        <v>42</v>
      </c>
      <c r="E1276" s="11"/>
      <c r="F1276" s="60" t="s">
        <v>219</v>
      </c>
      <c r="G1276" s="44" t="s">
        <v>186</v>
      </c>
      <c r="H1276" s="45">
        <v>7</v>
      </c>
      <c r="I1276" s="47">
        <v>300</v>
      </c>
      <c r="J1276" s="48">
        <f>H1276*I1276</f>
        <v>2100</v>
      </c>
      <c r="K1276" s="10">
        <v>1</v>
      </c>
    </row>
    <row r="1277" spans="1:11" ht="13" x14ac:dyDescent="0.35">
      <c r="A1277" s="11" t="s">
        <v>760</v>
      </c>
      <c r="B1277" s="11" t="s">
        <v>792</v>
      </c>
      <c r="C1277" s="11"/>
      <c r="D1277" s="11"/>
      <c r="E1277" s="11"/>
      <c r="F1277" s="57" t="s">
        <v>220</v>
      </c>
      <c r="G1277" s="44"/>
      <c r="H1277" s="45"/>
      <c r="I1277" s="47"/>
      <c r="J1277" s="48"/>
      <c r="K1277" s="10">
        <v>1</v>
      </c>
    </row>
    <row r="1278" spans="1:11" ht="13" x14ac:dyDescent="0.35">
      <c r="A1278" s="11" t="s">
        <v>760</v>
      </c>
      <c r="B1278" s="11" t="s">
        <v>792</v>
      </c>
      <c r="C1278" s="11"/>
      <c r="D1278" s="11"/>
      <c r="E1278" s="11"/>
      <c r="F1278" s="57" t="s">
        <v>221</v>
      </c>
      <c r="G1278" s="44"/>
      <c r="H1278" s="45"/>
      <c r="I1278" s="47"/>
      <c r="J1278" s="48"/>
      <c r="K1278" s="10">
        <v>1</v>
      </c>
    </row>
    <row r="1279" spans="1:11" x14ac:dyDescent="0.35">
      <c r="A1279" s="11" t="s">
        <v>760</v>
      </c>
      <c r="B1279" s="11" t="s">
        <v>792</v>
      </c>
      <c r="C1279" s="11"/>
      <c r="D1279" s="11" t="s">
        <v>45</v>
      </c>
      <c r="E1279" s="11"/>
      <c r="F1279" s="60" t="s">
        <v>222</v>
      </c>
      <c r="G1279" s="44" t="s">
        <v>186</v>
      </c>
      <c r="H1279" s="45">
        <v>80</v>
      </c>
      <c r="I1279" s="47">
        <v>10</v>
      </c>
      <c r="J1279" s="48">
        <f>H1279*I1279</f>
        <v>800</v>
      </c>
      <c r="K1279" s="10">
        <v>1</v>
      </c>
    </row>
    <row r="1280" spans="1:11" x14ac:dyDescent="0.35">
      <c r="A1280" s="11" t="s">
        <v>760</v>
      </c>
      <c r="B1280" s="11" t="s">
        <v>792</v>
      </c>
      <c r="C1280" s="11"/>
      <c r="D1280" s="11" t="s">
        <v>210</v>
      </c>
      <c r="E1280" s="11"/>
      <c r="F1280" s="60" t="s">
        <v>223</v>
      </c>
      <c r="G1280" s="44" t="s">
        <v>186</v>
      </c>
      <c r="H1280" s="45">
        <v>185</v>
      </c>
      <c r="I1280" s="47">
        <v>15</v>
      </c>
      <c r="J1280" s="48">
        <f>H1280*I1280</f>
        <v>2775</v>
      </c>
      <c r="K1280" s="10">
        <v>1</v>
      </c>
    </row>
    <row r="1281" spans="1:11" ht="13" x14ac:dyDescent="0.35">
      <c r="A1281" s="11" t="s">
        <v>760</v>
      </c>
      <c r="B1281" s="11" t="s">
        <v>793</v>
      </c>
      <c r="C1281" s="11"/>
      <c r="D1281" s="11"/>
      <c r="E1281" s="11"/>
      <c r="F1281" s="262" t="s">
        <v>762</v>
      </c>
      <c r="G1281" s="44"/>
      <c r="H1281" s="45"/>
      <c r="I1281" s="47"/>
      <c r="J1281" s="48"/>
      <c r="K1281" s="10">
        <v>1</v>
      </c>
    </row>
    <row r="1282" spans="1:11" ht="13" x14ac:dyDescent="0.35">
      <c r="A1282" s="11" t="s">
        <v>760</v>
      </c>
      <c r="B1282" s="11" t="s">
        <v>793</v>
      </c>
      <c r="C1282" s="11"/>
      <c r="D1282" s="11"/>
      <c r="E1282" s="11"/>
      <c r="F1282" s="262" t="s">
        <v>763</v>
      </c>
      <c r="G1282" s="44"/>
      <c r="H1282" s="45"/>
      <c r="I1282" s="47"/>
      <c r="J1282" s="48"/>
      <c r="K1282" s="10">
        <v>1</v>
      </c>
    </row>
    <row r="1283" spans="1:11" ht="13" x14ac:dyDescent="0.35">
      <c r="A1283" s="11" t="s">
        <v>760</v>
      </c>
      <c r="B1283" s="11" t="s">
        <v>793</v>
      </c>
      <c r="C1283" s="11"/>
      <c r="D1283" s="11"/>
      <c r="E1283" s="11"/>
      <c r="F1283" s="43" t="s">
        <v>236</v>
      </c>
      <c r="G1283" s="44"/>
      <c r="H1283" s="45"/>
      <c r="I1283" s="47"/>
      <c r="J1283" s="48"/>
      <c r="K1283" s="10">
        <v>1</v>
      </c>
    </row>
    <row r="1284" spans="1:11" ht="13" x14ac:dyDescent="0.35">
      <c r="A1284" s="11" t="s">
        <v>760</v>
      </c>
      <c r="B1284" s="11" t="s">
        <v>793</v>
      </c>
      <c r="C1284" s="11"/>
      <c r="D1284" s="11"/>
      <c r="E1284" s="11"/>
      <c r="F1284" s="43" t="s">
        <v>226</v>
      </c>
      <c r="G1284" s="44"/>
      <c r="H1284" s="45"/>
      <c r="I1284" s="47"/>
      <c r="J1284" s="48"/>
      <c r="K1284" s="10">
        <v>1</v>
      </c>
    </row>
    <row r="1285" spans="1:11" ht="13" x14ac:dyDescent="0.35">
      <c r="A1285" s="11" t="s">
        <v>760</v>
      </c>
      <c r="B1285" s="11" t="s">
        <v>793</v>
      </c>
      <c r="C1285" s="11"/>
      <c r="D1285" s="11"/>
      <c r="E1285" s="11"/>
      <c r="F1285" s="57" t="s">
        <v>100</v>
      </c>
      <c r="G1285" s="44"/>
      <c r="H1285" s="45"/>
      <c r="I1285" s="47"/>
      <c r="J1285" s="48"/>
      <c r="K1285" s="10">
        <v>1</v>
      </c>
    </row>
    <row r="1286" spans="1:11" x14ac:dyDescent="0.35">
      <c r="A1286" s="11" t="s">
        <v>760</v>
      </c>
      <c r="B1286" s="11" t="s">
        <v>793</v>
      </c>
      <c r="C1286" s="11"/>
      <c r="D1286" s="11"/>
      <c r="E1286" s="11"/>
      <c r="F1286" s="60" t="s">
        <v>101</v>
      </c>
      <c r="G1286" s="44"/>
      <c r="H1286" s="45"/>
      <c r="I1286" s="47"/>
      <c r="J1286" s="48"/>
      <c r="K1286" s="10">
        <v>1</v>
      </c>
    </row>
    <row r="1287" spans="1:11" ht="13" x14ac:dyDescent="0.35">
      <c r="A1287" s="11" t="s">
        <v>760</v>
      </c>
      <c r="B1287" s="11" t="s">
        <v>793</v>
      </c>
      <c r="C1287" s="11"/>
      <c r="D1287" s="11"/>
      <c r="E1287" s="11"/>
      <c r="F1287" s="57" t="s">
        <v>102</v>
      </c>
      <c r="G1287" s="44"/>
      <c r="H1287" s="45"/>
      <c r="I1287" s="47"/>
      <c r="J1287" s="48"/>
      <c r="K1287" s="10">
        <v>1</v>
      </c>
    </row>
    <row r="1288" spans="1:11" ht="62.5" x14ac:dyDescent="0.35">
      <c r="A1288" s="11" t="s">
        <v>760</v>
      </c>
      <c r="B1288" s="11" t="s">
        <v>793</v>
      </c>
      <c r="C1288" s="11"/>
      <c r="D1288" s="11"/>
      <c r="E1288" s="11"/>
      <c r="F1288" s="60" t="s">
        <v>227</v>
      </c>
      <c r="G1288" s="44"/>
      <c r="H1288" s="45"/>
      <c r="I1288" s="47"/>
      <c r="J1288" s="48"/>
      <c r="K1288" s="10">
        <v>1</v>
      </c>
    </row>
    <row r="1289" spans="1:11" ht="25" x14ac:dyDescent="0.35">
      <c r="A1289" s="11" t="s">
        <v>760</v>
      </c>
      <c r="B1289" s="11" t="s">
        <v>793</v>
      </c>
      <c r="C1289" s="11"/>
      <c r="D1289" s="11"/>
      <c r="E1289" s="11"/>
      <c r="F1289" s="60" t="s">
        <v>228</v>
      </c>
      <c r="G1289" s="44"/>
      <c r="H1289" s="45"/>
      <c r="I1289" s="47"/>
      <c r="J1289" s="48"/>
      <c r="K1289" s="10">
        <v>1</v>
      </c>
    </row>
    <row r="1290" spans="1:11" ht="13" x14ac:dyDescent="0.35">
      <c r="A1290" s="11" t="s">
        <v>760</v>
      </c>
      <c r="B1290" s="11" t="s">
        <v>793</v>
      </c>
      <c r="C1290" s="11"/>
      <c r="D1290" s="11"/>
      <c r="E1290" s="11"/>
      <c r="F1290" s="57" t="s">
        <v>229</v>
      </c>
      <c r="G1290" s="44"/>
      <c r="H1290" s="45"/>
      <c r="I1290" s="47"/>
      <c r="J1290" s="48"/>
      <c r="K1290" s="10">
        <v>1</v>
      </c>
    </row>
    <row r="1291" spans="1:11" ht="26" x14ac:dyDescent="0.35">
      <c r="A1291" s="11" t="s">
        <v>760</v>
      </c>
      <c r="B1291" s="11" t="s">
        <v>793</v>
      </c>
      <c r="C1291" s="11"/>
      <c r="D1291" s="11"/>
      <c r="E1291" s="11"/>
      <c r="F1291" s="57" t="s">
        <v>230</v>
      </c>
      <c r="G1291" s="44"/>
      <c r="H1291" s="45"/>
      <c r="I1291" s="47"/>
      <c r="J1291" s="48"/>
      <c r="K1291" s="10">
        <v>1</v>
      </c>
    </row>
    <row r="1292" spans="1:11" ht="14.5" x14ac:dyDescent="0.35">
      <c r="A1292" s="11" t="s">
        <v>760</v>
      </c>
      <c r="B1292" s="11" t="s">
        <v>793</v>
      </c>
      <c r="C1292" s="11"/>
      <c r="D1292" s="11" t="s">
        <v>20</v>
      </c>
      <c r="E1292" s="11"/>
      <c r="F1292" s="60" t="s">
        <v>231</v>
      </c>
      <c r="G1292" s="44" t="s">
        <v>110</v>
      </c>
      <c r="H1292" s="45">
        <v>15</v>
      </c>
      <c r="I1292" s="47">
        <v>65</v>
      </c>
      <c r="J1292" s="48">
        <f>H1292*I1292</f>
        <v>975</v>
      </c>
      <c r="K1292" s="10">
        <v>1</v>
      </c>
    </row>
    <row r="1293" spans="1:11" ht="39" x14ac:dyDescent="0.35">
      <c r="A1293" s="11" t="s">
        <v>760</v>
      </c>
      <c r="B1293" s="11" t="s">
        <v>793</v>
      </c>
      <c r="C1293" s="11"/>
      <c r="D1293" s="11"/>
      <c r="E1293" s="11"/>
      <c r="F1293" s="57" t="s">
        <v>232</v>
      </c>
      <c r="G1293" s="44"/>
      <c r="H1293" s="45"/>
      <c r="I1293" s="47"/>
      <c r="J1293" s="48"/>
      <c r="K1293" s="10">
        <v>1</v>
      </c>
    </row>
    <row r="1294" spans="1:11" ht="14.5" x14ac:dyDescent="0.35">
      <c r="A1294" s="11" t="s">
        <v>760</v>
      </c>
      <c r="B1294" s="11" t="s">
        <v>793</v>
      </c>
      <c r="C1294" s="11"/>
      <c r="D1294" s="11" t="s">
        <v>26</v>
      </c>
      <c r="E1294" s="11"/>
      <c r="F1294" s="60" t="s">
        <v>641</v>
      </c>
      <c r="G1294" s="44" t="s">
        <v>110</v>
      </c>
      <c r="H1294" s="45">
        <v>21</v>
      </c>
      <c r="I1294" s="47">
        <v>65</v>
      </c>
      <c r="J1294" s="48">
        <f>H1294*I1294</f>
        <v>1365</v>
      </c>
      <c r="K1294" s="10">
        <v>1</v>
      </c>
    </row>
    <row r="1295" spans="1:11" ht="13" x14ac:dyDescent="0.35">
      <c r="A1295" s="11" t="s">
        <v>760</v>
      </c>
      <c r="B1295" s="11" t="s">
        <v>794</v>
      </c>
      <c r="C1295" s="11"/>
      <c r="D1295" s="11"/>
      <c r="E1295" s="11"/>
      <c r="F1295" s="262" t="s">
        <v>762</v>
      </c>
      <c r="G1295" s="44"/>
      <c r="H1295" s="45"/>
      <c r="I1295" s="47"/>
      <c r="J1295" s="48"/>
      <c r="K1295" s="10">
        <v>1</v>
      </c>
    </row>
    <row r="1296" spans="1:11" ht="13" x14ac:dyDescent="0.35">
      <c r="A1296" s="11" t="s">
        <v>760</v>
      </c>
      <c r="B1296" s="11" t="s">
        <v>794</v>
      </c>
      <c r="C1296" s="11"/>
      <c r="D1296" s="11"/>
      <c r="E1296" s="11"/>
      <c r="F1296" s="262" t="s">
        <v>763</v>
      </c>
      <c r="G1296" s="44"/>
      <c r="H1296" s="45"/>
      <c r="I1296" s="47"/>
      <c r="J1296" s="48"/>
      <c r="K1296" s="10">
        <v>1</v>
      </c>
    </row>
    <row r="1297" spans="1:11" ht="13" x14ac:dyDescent="0.35">
      <c r="A1297" s="11" t="s">
        <v>760</v>
      </c>
      <c r="B1297" s="11" t="s">
        <v>794</v>
      </c>
      <c r="C1297" s="11"/>
      <c r="D1297" s="11"/>
      <c r="E1297" s="11"/>
      <c r="F1297" s="43" t="s">
        <v>247</v>
      </c>
      <c r="G1297" s="44"/>
      <c r="H1297" s="45"/>
      <c r="I1297" s="47"/>
      <c r="J1297" s="48"/>
      <c r="K1297" s="10">
        <v>1</v>
      </c>
    </row>
    <row r="1298" spans="1:11" ht="13" x14ac:dyDescent="0.35">
      <c r="A1298" s="11" t="s">
        <v>760</v>
      </c>
      <c r="B1298" s="11" t="s">
        <v>794</v>
      </c>
      <c r="C1298" s="11"/>
      <c r="D1298" s="11"/>
      <c r="E1298" s="11"/>
      <c r="F1298" s="43" t="s">
        <v>248</v>
      </c>
      <c r="G1298" s="44"/>
      <c r="H1298" s="45"/>
      <c r="I1298" s="47"/>
      <c r="J1298" s="48"/>
      <c r="K1298" s="10">
        <v>1</v>
      </c>
    </row>
    <row r="1299" spans="1:11" ht="13" x14ac:dyDescent="0.35">
      <c r="A1299" s="11" t="s">
        <v>760</v>
      </c>
      <c r="B1299" s="11" t="s">
        <v>794</v>
      </c>
      <c r="C1299" s="11"/>
      <c r="D1299" s="11"/>
      <c r="E1299" s="11"/>
      <c r="F1299" s="57" t="s">
        <v>100</v>
      </c>
      <c r="G1299" s="44"/>
      <c r="H1299" s="45"/>
      <c r="I1299" s="47"/>
      <c r="J1299" s="48"/>
      <c r="K1299" s="10">
        <v>1</v>
      </c>
    </row>
    <row r="1300" spans="1:11" x14ac:dyDescent="0.35">
      <c r="A1300" s="11" t="s">
        <v>760</v>
      </c>
      <c r="B1300" s="11" t="s">
        <v>794</v>
      </c>
      <c r="C1300" s="11"/>
      <c r="D1300" s="11"/>
      <c r="E1300" s="11"/>
      <c r="F1300" s="60" t="s">
        <v>101</v>
      </c>
      <c r="G1300" s="44"/>
      <c r="H1300" s="45"/>
      <c r="I1300" s="47"/>
      <c r="J1300" s="48"/>
      <c r="K1300" s="10">
        <v>1</v>
      </c>
    </row>
    <row r="1301" spans="1:11" ht="13" x14ac:dyDescent="0.35">
      <c r="A1301" s="11" t="s">
        <v>760</v>
      </c>
      <c r="B1301" s="11" t="s">
        <v>794</v>
      </c>
      <c r="C1301" s="11"/>
      <c r="D1301" s="11"/>
      <c r="E1301" s="11"/>
      <c r="F1301" s="57" t="s">
        <v>102</v>
      </c>
      <c r="G1301" s="44"/>
      <c r="H1301" s="45"/>
      <c r="I1301" s="47"/>
      <c r="J1301" s="48"/>
      <c r="K1301" s="10">
        <v>1</v>
      </c>
    </row>
    <row r="1302" spans="1:11" x14ac:dyDescent="0.35">
      <c r="A1302" s="11" t="s">
        <v>760</v>
      </c>
      <c r="B1302" s="11" t="s">
        <v>794</v>
      </c>
      <c r="C1302" s="11"/>
      <c r="D1302" s="11"/>
      <c r="E1302" s="11"/>
      <c r="F1302" s="62" t="s">
        <v>249</v>
      </c>
      <c r="G1302" s="44"/>
      <c r="H1302" s="45"/>
      <c r="I1302" s="47"/>
      <c r="J1302" s="48"/>
      <c r="K1302" s="10">
        <v>1</v>
      </c>
    </row>
    <row r="1303" spans="1:11" ht="25" x14ac:dyDescent="0.35">
      <c r="A1303" s="11" t="s">
        <v>760</v>
      </c>
      <c r="B1303" s="11" t="s">
        <v>794</v>
      </c>
      <c r="C1303" s="11"/>
      <c r="D1303" s="11"/>
      <c r="E1303" s="11"/>
      <c r="F1303" s="60" t="s">
        <v>250</v>
      </c>
      <c r="G1303" s="44"/>
      <c r="H1303" s="45"/>
      <c r="I1303" s="47"/>
      <c r="J1303" s="48"/>
      <c r="K1303" s="10">
        <v>1</v>
      </c>
    </row>
    <row r="1304" spans="1:11" ht="37.5" x14ac:dyDescent="0.35">
      <c r="A1304" s="11" t="s">
        <v>760</v>
      </c>
      <c r="B1304" s="11" t="s">
        <v>794</v>
      </c>
      <c r="C1304" s="11"/>
      <c r="D1304" s="11"/>
      <c r="E1304" s="11"/>
      <c r="F1304" s="60" t="s">
        <v>251</v>
      </c>
      <c r="G1304" s="44"/>
      <c r="H1304" s="45"/>
      <c r="I1304" s="47"/>
      <c r="J1304" s="48"/>
      <c r="K1304" s="10">
        <v>1</v>
      </c>
    </row>
    <row r="1305" spans="1:11" x14ac:dyDescent="0.35">
      <c r="A1305" s="11" t="s">
        <v>760</v>
      </c>
      <c r="B1305" s="11" t="s">
        <v>794</v>
      </c>
      <c r="C1305" s="11"/>
      <c r="D1305" s="11"/>
      <c r="E1305" s="11"/>
      <c r="F1305" s="62" t="s">
        <v>252</v>
      </c>
      <c r="G1305" s="44"/>
      <c r="H1305" s="45"/>
      <c r="I1305" s="47"/>
      <c r="J1305" s="48"/>
      <c r="K1305" s="10">
        <v>1</v>
      </c>
    </row>
    <row r="1306" spans="1:11" ht="25" x14ac:dyDescent="0.35">
      <c r="A1306" s="11" t="s">
        <v>760</v>
      </c>
      <c r="B1306" s="11" t="s">
        <v>794</v>
      </c>
      <c r="C1306" s="11"/>
      <c r="D1306" s="11"/>
      <c r="E1306" s="11"/>
      <c r="F1306" s="60" t="s">
        <v>253</v>
      </c>
      <c r="G1306" s="44"/>
      <c r="H1306" s="45"/>
      <c r="I1306" s="47"/>
      <c r="J1306" s="48"/>
      <c r="K1306" s="10">
        <v>1</v>
      </c>
    </row>
    <row r="1307" spans="1:11" ht="25" x14ac:dyDescent="0.35">
      <c r="A1307" s="11" t="s">
        <v>760</v>
      </c>
      <c r="B1307" s="11" t="s">
        <v>794</v>
      </c>
      <c r="C1307" s="11"/>
      <c r="D1307" s="11"/>
      <c r="E1307" s="11"/>
      <c r="F1307" s="60" t="s">
        <v>254</v>
      </c>
      <c r="G1307" s="44"/>
      <c r="H1307" s="45"/>
      <c r="I1307" s="47"/>
      <c r="J1307" s="48"/>
      <c r="K1307" s="10">
        <v>1</v>
      </c>
    </row>
    <row r="1308" spans="1:11" x14ac:dyDescent="0.35">
      <c r="A1308" s="11" t="s">
        <v>760</v>
      </c>
      <c r="B1308" s="11" t="s">
        <v>794</v>
      </c>
      <c r="C1308" s="11"/>
      <c r="D1308" s="11"/>
      <c r="E1308" s="11"/>
      <c r="F1308" s="62" t="s">
        <v>255</v>
      </c>
      <c r="G1308" s="44"/>
      <c r="H1308" s="45"/>
      <c r="I1308" s="47"/>
      <c r="J1308" s="48"/>
      <c r="K1308" s="10">
        <v>1</v>
      </c>
    </row>
    <row r="1309" spans="1:11" ht="25" x14ac:dyDescent="0.35">
      <c r="A1309" s="11" t="s">
        <v>760</v>
      </c>
      <c r="B1309" s="11" t="s">
        <v>794</v>
      </c>
      <c r="C1309" s="11"/>
      <c r="D1309" s="11"/>
      <c r="E1309" s="11"/>
      <c r="F1309" s="60" t="s">
        <v>256</v>
      </c>
      <c r="G1309" s="44"/>
      <c r="H1309" s="45"/>
      <c r="I1309" s="47"/>
      <c r="J1309" s="48"/>
      <c r="K1309" s="10">
        <v>1</v>
      </c>
    </row>
    <row r="1310" spans="1:11" ht="37.5" x14ac:dyDescent="0.35">
      <c r="A1310" s="11" t="s">
        <v>760</v>
      </c>
      <c r="B1310" s="11" t="s">
        <v>794</v>
      </c>
      <c r="C1310" s="11"/>
      <c r="D1310" s="11"/>
      <c r="E1310" s="11"/>
      <c r="F1310" s="60" t="s">
        <v>257</v>
      </c>
      <c r="G1310" s="44"/>
      <c r="H1310" s="45"/>
      <c r="I1310" s="47"/>
      <c r="J1310" s="48"/>
      <c r="K1310" s="10">
        <v>1</v>
      </c>
    </row>
    <row r="1311" spans="1:11" ht="13" x14ac:dyDescent="0.35">
      <c r="A1311" s="11" t="s">
        <v>760</v>
      </c>
      <c r="B1311" s="11" t="s">
        <v>794</v>
      </c>
      <c r="C1311" s="11"/>
      <c r="D1311" s="11"/>
      <c r="E1311" s="11"/>
      <c r="F1311" s="57" t="s">
        <v>261</v>
      </c>
      <c r="G1311" s="44"/>
      <c r="H1311" s="45"/>
      <c r="I1311" s="47"/>
      <c r="J1311" s="48"/>
      <c r="K1311" s="10">
        <v>1</v>
      </c>
    </row>
    <row r="1312" spans="1:11" ht="13" x14ac:dyDescent="0.35">
      <c r="A1312" s="11" t="s">
        <v>760</v>
      </c>
      <c r="B1312" s="11" t="s">
        <v>794</v>
      </c>
      <c r="C1312" s="11"/>
      <c r="D1312" s="11"/>
      <c r="E1312" s="11"/>
      <c r="F1312" s="57" t="s">
        <v>262</v>
      </c>
      <c r="G1312" s="44"/>
      <c r="H1312" s="58"/>
      <c r="I1312" s="47"/>
      <c r="J1312" s="48"/>
      <c r="K1312" s="10">
        <v>1</v>
      </c>
    </row>
    <row r="1313" spans="1:11" ht="25" x14ac:dyDescent="0.35">
      <c r="A1313" s="11" t="s">
        <v>760</v>
      </c>
      <c r="B1313" s="11" t="s">
        <v>794</v>
      </c>
      <c r="C1313" s="11"/>
      <c r="D1313" s="11" t="s">
        <v>20</v>
      </c>
      <c r="E1313" s="11"/>
      <c r="F1313" s="277" t="s">
        <v>795</v>
      </c>
      <c r="G1313" s="44" t="s">
        <v>175</v>
      </c>
      <c r="H1313" s="58">
        <v>1</v>
      </c>
      <c r="I1313" s="47">
        <v>2300</v>
      </c>
      <c r="J1313" s="48">
        <f>H1313*I1313</f>
        <v>2300</v>
      </c>
      <c r="K1313" s="10">
        <v>1</v>
      </c>
    </row>
    <row r="1314" spans="1:11" ht="25" x14ac:dyDescent="0.35">
      <c r="A1314" s="11" t="s">
        <v>760</v>
      </c>
      <c r="B1314" s="11" t="s">
        <v>794</v>
      </c>
      <c r="C1314" s="11"/>
      <c r="D1314" s="11" t="s">
        <v>26</v>
      </c>
      <c r="E1314" s="11"/>
      <c r="F1314" s="60" t="s">
        <v>796</v>
      </c>
      <c r="G1314" s="44" t="s">
        <v>175</v>
      </c>
      <c r="H1314" s="58">
        <v>4</v>
      </c>
      <c r="I1314" s="47">
        <v>2300</v>
      </c>
      <c r="J1314" s="48">
        <f>H1314*I1314</f>
        <v>9200</v>
      </c>
      <c r="K1314" s="10">
        <v>1</v>
      </c>
    </row>
    <row r="1315" spans="1:11" ht="25" x14ac:dyDescent="0.35">
      <c r="A1315" s="11" t="s">
        <v>760</v>
      </c>
      <c r="B1315" s="11" t="s">
        <v>794</v>
      </c>
      <c r="C1315" s="11"/>
      <c r="D1315" s="11" t="s">
        <v>29</v>
      </c>
      <c r="E1315" s="11"/>
      <c r="F1315" s="60" t="s">
        <v>797</v>
      </c>
      <c r="G1315" s="44" t="s">
        <v>175</v>
      </c>
      <c r="H1315" s="58">
        <v>1</v>
      </c>
      <c r="I1315" s="47">
        <v>2300</v>
      </c>
      <c r="J1315" s="48">
        <f>H1315*I1315</f>
        <v>2300</v>
      </c>
      <c r="K1315" s="10">
        <v>1</v>
      </c>
    </row>
    <row r="1316" spans="1:11" ht="13" x14ac:dyDescent="0.35">
      <c r="A1316" s="11" t="s">
        <v>760</v>
      </c>
      <c r="B1316" s="11" t="s">
        <v>794</v>
      </c>
      <c r="C1316" s="11"/>
      <c r="D1316" s="11"/>
      <c r="E1316" s="11"/>
      <c r="F1316" s="57" t="s">
        <v>265</v>
      </c>
      <c r="G1316" s="44"/>
      <c r="H1316" s="58"/>
      <c r="I1316" s="47"/>
      <c r="J1316" s="48"/>
      <c r="K1316" s="10">
        <v>1</v>
      </c>
    </row>
    <row r="1317" spans="1:11" ht="13" x14ac:dyDescent="0.35">
      <c r="A1317" s="11" t="s">
        <v>760</v>
      </c>
      <c r="B1317" s="11" t="s">
        <v>794</v>
      </c>
      <c r="C1317" s="11"/>
      <c r="D1317" s="11"/>
      <c r="E1317" s="11"/>
      <c r="F1317" s="57" t="s">
        <v>266</v>
      </c>
      <c r="G1317" s="44"/>
      <c r="H1317" s="58"/>
      <c r="I1317" s="47"/>
      <c r="J1317" s="48"/>
      <c r="K1317" s="10">
        <v>1</v>
      </c>
    </row>
    <row r="1318" spans="1:11" ht="75" x14ac:dyDescent="0.35">
      <c r="A1318" s="11" t="s">
        <v>760</v>
      </c>
      <c r="B1318" s="11" t="s">
        <v>794</v>
      </c>
      <c r="C1318" s="11"/>
      <c r="D1318" s="11" t="s">
        <v>32</v>
      </c>
      <c r="E1318" s="11"/>
      <c r="F1318" s="60" t="s">
        <v>267</v>
      </c>
      <c r="G1318" s="44" t="s">
        <v>186</v>
      </c>
      <c r="H1318" s="58">
        <v>73</v>
      </c>
      <c r="I1318" s="47">
        <v>75</v>
      </c>
      <c r="J1318" s="48">
        <f>H1318*I1318</f>
        <v>5475</v>
      </c>
      <c r="K1318" s="10">
        <v>1</v>
      </c>
    </row>
    <row r="1319" spans="1:11" ht="13" x14ac:dyDescent="0.35">
      <c r="A1319" s="11" t="s">
        <v>760</v>
      </c>
      <c r="B1319" s="10" t="s">
        <v>277</v>
      </c>
      <c r="C1319" s="10"/>
      <c r="D1319" s="11"/>
      <c r="E1319" s="11"/>
      <c r="F1319" s="262" t="s">
        <v>762</v>
      </c>
      <c r="G1319" s="44"/>
      <c r="H1319" s="45"/>
      <c r="I1319" s="47"/>
      <c r="J1319" s="48"/>
      <c r="K1319" s="10">
        <v>1</v>
      </c>
    </row>
    <row r="1320" spans="1:11" ht="13" x14ac:dyDescent="0.35">
      <c r="A1320" s="11" t="s">
        <v>760</v>
      </c>
      <c r="B1320" s="10" t="s">
        <v>277</v>
      </c>
      <c r="C1320" s="10"/>
      <c r="D1320" s="11"/>
      <c r="E1320" s="11"/>
      <c r="F1320" s="262" t="s">
        <v>763</v>
      </c>
      <c r="G1320" s="44"/>
      <c r="H1320" s="45"/>
      <c r="I1320" s="47"/>
      <c r="J1320" s="48"/>
      <c r="K1320" s="10">
        <v>1</v>
      </c>
    </row>
    <row r="1321" spans="1:11" ht="13" x14ac:dyDescent="0.35">
      <c r="A1321" s="11" t="s">
        <v>760</v>
      </c>
      <c r="B1321" s="10" t="s">
        <v>277</v>
      </c>
      <c r="C1321" s="10"/>
      <c r="D1321" s="11"/>
      <c r="E1321" s="11"/>
      <c r="F1321" s="43" t="s">
        <v>278</v>
      </c>
      <c r="G1321" s="44"/>
      <c r="H1321" s="45"/>
      <c r="I1321" s="47"/>
      <c r="J1321" s="48"/>
      <c r="K1321" s="10">
        <v>1</v>
      </c>
    </row>
    <row r="1322" spans="1:11" ht="13" x14ac:dyDescent="0.35">
      <c r="A1322" s="11" t="s">
        <v>760</v>
      </c>
      <c r="B1322" s="10" t="s">
        <v>277</v>
      </c>
      <c r="C1322" s="10"/>
      <c r="D1322" s="11"/>
      <c r="E1322" s="11"/>
      <c r="F1322" s="43" t="s">
        <v>279</v>
      </c>
      <c r="G1322" s="44"/>
      <c r="H1322" s="45"/>
      <c r="I1322" s="47"/>
      <c r="J1322" s="48"/>
      <c r="K1322" s="10">
        <v>1</v>
      </c>
    </row>
    <row r="1323" spans="1:11" ht="13" x14ac:dyDescent="0.35">
      <c r="A1323" s="11" t="s">
        <v>760</v>
      </c>
      <c r="B1323" s="10" t="s">
        <v>277</v>
      </c>
      <c r="C1323" s="10"/>
      <c r="D1323" s="11"/>
      <c r="E1323" s="11"/>
      <c r="F1323" s="57" t="s">
        <v>100</v>
      </c>
      <c r="G1323" s="44"/>
      <c r="H1323" s="45"/>
      <c r="I1323" s="47"/>
      <c r="J1323" s="48"/>
      <c r="K1323" s="10">
        <v>1</v>
      </c>
    </row>
    <row r="1324" spans="1:11" x14ac:dyDescent="0.35">
      <c r="A1324" s="11" t="s">
        <v>760</v>
      </c>
      <c r="B1324" s="10" t="s">
        <v>277</v>
      </c>
      <c r="C1324" s="10"/>
      <c r="D1324" s="11"/>
      <c r="E1324" s="11"/>
      <c r="F1324" s="60" t="s">
        <v>101</v>
      </c>
      <c r="G1324" s="44"/>
      <c r="H1324" s="45"/>
      <c r="I1324" s="47"/>
      <c r="J1324" s="48"/>
      <c r="K1324" s="10">
        <v>1</v>
      </c>
    </row>
    <row r="1325" spans="1:11" ht="13" x14ac:dyDescent="0.35">
      <c r="A1325" s="11" t="s">
        <v>760</v>
      </c>
      <c r="B1325" s="10" t="s">
        <v>277</v>
      </c>
      <c r="C1325" s="10"/>
      <c r="D1325" s="11"/>
      <c r="E1325" s="11"/>
      <c r="F1325" s="57" t="s">
        <v>102</v>
      </c>
      <c r="G1325" s="44"/>
      <c r="H1325" s="45"/>
      <c r="I1325" s="47"/>
      <c r="J1325" s="48"/>
      <c r="K1325" s="10">
        <v>1</v>
      </c>
    </row>
    <row r="1326" spans="1:11" x14ac:dyDescent="0.35">
      <c r="A1326" s="11" t="s">
        <v>760</v>
      </c>
      <c r="B1326" s="10" t="s">
        <v>277</v>
      </c>
      <c r="C1326" s="10"/>
      <c r="D1326" s="11"/>
      <c r="E1326" s="11"/>
      <c r="F1326" s="62" t="s">
        <v>280</v>
      </c>
      <c r="G1326" s="44"/>
      <c r="H1326" s="45"/>
      <c r="I1326" s="47"/>
      <c r="J1326" s="48"/>
      <c r="K1326" s="10">
        <v>1</v>
      </c>
    </row>
    <row r="1327" spans="1:11" ht="25" x14ac:dyDescent="0.35">
      <c r="A1327" s="11" t="s">
        <v>760</v>
      </c>
      <c r="B1327" s="10" t="s">
        <v>277</v>
      </c>
      <c r="C1327" s="10"/>
      <c r="D1327" s="11"/>
      <c r="E1327" s="11"/>
      <c r="F1327" s="60" t="s">
        <v>281</v>
      </c>
      <c r="G1327" s="44"/>
      <c r="H1327" s="45"/>
      <c r="I1327" s="47"/>
      <c r="J1327" s="48"/>
      <c r="K1327" s="10">
        <v>1</v>
      </c>
    </row>
    <row r="1328" spans="1:11" ht="37.5" x14ac:dyDescent="0.35">
      <c r="A1328" s="11" t="s">
        <v>760</v>
      </c>
      <c r="B1328" s="10" t="s">
        <v>277</v>
      </c>
      <c r="C1328" s="10"/>
      <c r="D1328" s="11"/>
      <c r="E1328" s="11"/>
      <c r="F1328" s="60" t="s">
        <v>282</v>
      </c>
      <c r="G1328" s="44"/>
      <c r="H1328" s="45"/>
      <c r="I1328" s="47"/>
      <c r="J1328" s="48"/>
      <c r="K1328" s="10">
        <v>1</v>
      </c>
    </row>
    <row r="1329" spans="1:11" x14ac:dyDescent="0.35">
      <c r="A1329" s="11" t="s">
        <v>760</v>
      </c>
      <c r="B1329" s="10" t="s">
        <v>277</v>
      </c>
      <c r="C1329" s="10"/>
      <c r="D1329" s="11"/>
      <c r="E1329" s="11"/>
      <c r="F1329" s="62" t="s">
        <v>283</v>
      </c>
      <c r="G1329" s="44"/>
      <c r="H1329" s="45"/>
      <c r="I1329" s="47"/>
      <c r="J1329" s="48"/>
      <c r="K1329" s="10">
        <v>1</v>
      </c>
    </row>
    <row r="1330" spans="1:11" x14ac:dyDescent="0.35">
      <c r="A1330" s="11" t="s">
        <v>760</v>
      </c>
      <c r="B1330" s="10" t="s">
        <v>277</v>
      </c>
      <c r="C1330" s="10"/>
      <c r="D1330" s="11"/>
      <c r="E1330" s="11"/>
      <c r="F1330" s="60" t="s">
        <v>284</v>
      </c>
      <c r="G1330" s="44"/>
      <c r="H1330" s="45"/>
      <c r="I1330" s="47"/>
      <c r="J1330" s="48"/>
      <c r="K1330" s="10">
        <v>1</v>
      </c>
    </row>
    <row r="1331" spans="1:11" ht="62.5" x14ac:dyDescent="0.35">
      <c r="A1331" s="11" t="s">
        <v>760</v>
      </c>
      <c r="B1331" s="10" t="s">
        <v>277</v>
      </c>
      <c r="C1331" s="10"/>
      <c r="D1331" s="11"/>
      <c r="E1331" s="11"/>
      <c r="F1331" s="60" t="s">
        <v>285</v>
      </c>
      <c r="G1331" s="44"/>
      <c r="H1331" s="45"/>
      <c r="I1331" s="47"/>
      <c r="J1331" s="48"/>
      <c r="K1331" s="10">
        <v>1</v>
      </c>
    </row>
    <row r="1332" spans="1:11" x14ac:dyDescent="0.35">
      <c r="A1332" s="11" t="s">
        <v>760</v>
      </c>
      <c r="B1332" s="10" t="s">
        <v>277</v>
      </c>
      <c r="C1332" s="10"/>
      <c r="D1332" s="11"/>
      <c r="E1332" s="11"/>
      <c r="F1332" s="62" t="s">
        <v>286</v>
      </c>
      <c r="G1332" s="44"/>
      <c r="H1332" s="45"/>
      <c r="I1332" s="47"/>
      <c r="J1332" s="48"/>
      <c r="K1332" s="10">
        <v>1</v>
      </c>
    </row>
    <row r="1333" spans="1:11" ht="25" x14ac:dyDescent="0.35">
      <c r="A1333" s="11" t="s">
        <v>760</v>
      </c>
      <c r="B1333" s="10" t="s">
        <v>277</v>
      </c>
      <c r="C1333" s="10"/>
      <c r="D1333" s="11"/>
      <c r="E1333" s="11"/>
      <c r="F1333" s="60" t="s">
        <v>287</v>
      </c>
      <c r="G1333" s="44"/>
      <c r="H1333" s="45"/>
      <c r="I1333" s="47"/>
      <c r="J1333" s="48"/>
      <c r="K1333" s="10">
        <v>1</v>
      </c>
    </row>
    <row r="1334" spans="1:11" ht="13" x14ac:dyDescent="0.35">
      <c r="A1334" s="11" t="s">
        <v>760</v>
      </c>
      <c r="B1334" s="10" t="s">
        <v>277</v>
      </c>
      <c r="C1334" s="10"/>
      <c r="D1334" s="11"/>
      <c r="E1334" s="11"/>
      <c r="F1334" s="57" t="s">
        <v>288</v>
      </c>
      <c r="G1334" s="44"/>
      <c r="H1334" s="45"/>
      <c r="I1334" s="47"/>
      <c r="J1334" s="48"/>
      <c r="K1334" s="10">
        <v>1</v>
      </c>
    </row>
    <row r="1335" spans="1:11" ht="13" x14ac:dyDescent="0.35">
      <c r="A1335" s="11" t="s">
        <v>760</v>
      </c>
      <c r="B1335" s="10" t="s">
        <v>277</v>
      </c>
      <c r="C1335" s="10"/>
      <c r="D1335" s="50"/>
      <c r="E1335" s="50"/>
      <c r="F1335" s="43" t="s">
        <v>289</v>
      </c>
      <c r="G1335" s="51"/>
      <c r="H1335" s="278"/>
      <c r="I1335" s="54"/>
      <c r="J1335" s="55"/>
      <c r="K1335" s="10">
        <v>1</v>
      </c>
    </row>
    <row r="1336" spans="1:11" ht="14.5" x14ac:dyDescent="0.35">
      <c r="A1336" s="11" t="s">
        <v>760</v>
      </c>
      <c r="B1336" s="10" t="s">
        <v>277</v>
      </c>
      <c r="C1336" s="10"/>
      <c r="D1336" s="11" t="s">
        <v>20</v>
      </c>
      <c r="E1336" s="11"/>
      <c r="F1336" s="60" t="s">
        <v>290</v>
      </c>
      <c r="G1336" s="44" t="s">
        <v>110</v>
      </c>
      <c r="H1336" s="45">
        <v>62</v>
      </c>
      <c r="I1336" s="47">
        <v>185</v>
      </c>
      <c r="J1336" s="48">
        <f>H1336*I1336</f>
        <v>11470</v>
      </c>
      <c r="K1336" s="10">
        <v>1</v>
      </c>
    </row>
    <row r="1337" spans="1:11" x14ac:dyDescent="0.35">
      <c r="A1337" s="11" t="s">
        <v>760</v>
      </c>
      <c r="B1337" s="10" t="s">
        <v>277</v>
      </c>
      <c r="C1337" s="10"/>
      <c r="D1337" s="11" t="s">
        <v>26</v>
      </c>
      <c r="E1337" s="11"/>
      <c r="F1337" s="60" t="s">
        <v>291</v>
      </c>
      <c r="G1337" s="44" t="s">
        <v>175</v>
      </c>
      <c r="H1337" s="45">
        <v>3</v>
      </c>
      <c r="I1337" s="47">
        <v>500</v>
      </c>
      <c r="J1337" s="48">
        <f>H1337*I1337</f>
        <v>1500</v>
      </c>
      <c r="K1337" s="10">
        <v>1</v>
      </c>
    </row>
    <row r="1338" spans="1:11" ht="13" x14ac:dyDescent="0.35">
      <c r="A1338" s="11" t="s">
        <v>760</v>
      </c>
      <c r="B1338" s="10" t="s">
        <v>277</v>
      </c>
      <c r="C1338" s="10"/>
      <c r="D1338" s="89"/>
      <c r="E1338" s="89"/>
      <c r="F1338" s="90" t="s">
        <v>292</v>
      </c>
      <c r="G1338" s="91"/>
      <c r="H1338" s="92"/>
      <c r="I1338" s="94"/>
      <c r="J1338" s="95"/>
      <c r="K1338" s="10">
        <v>1</v>
      </c>
    </row>
    <row r="1339" spans="1:11" x14ac:dyDescent="0.35">
      <c r="A1339" s="11" t="s">
        <v>760</v>
      </c>
      <c r="B1339" s="10" t="s">
        <v>277</v>
      </c>
      <c r="C1339" s="10"/>
      <c r="D1339" s="89" t="s">
        <v>29</v>
      </c>
      <c r="E1339" s="89"/>
      <c r="F1339" s="108" t="s">
        <v>293</v>
      </c>
      <c r="G1339" s="91" t="s">
        <v>186</v>
      </c>
      <c r="H1339" s="92">
        <v>71</v>
      </c>
      <c r="I1339" s="94">
        <v>85</v>
      </c>
      <c r="J1339" s="95">
        <f>H1339*I1339</f>
        <v>6035</v>
      </c>
      <c r="K1339" s="10">
        <v>1</v>
      </c>
    </row>
    <row r="1340" spans="1:11" ht="13" x14ac:dyDescent="0.35">
      <c r="A1340" s="11" t="s">
        <v>760</v>
      </c>
      <c r="B1340" s="10" t="s">
        <v>277</v>
      </c>
      <c r="C1340" s="10"/>
      <c r="D1340" s="11"/>
      <c r="E1340" s="11"/>
      <c r="F1340" s="57" t="s">
        <v>294</v>
      </c>
      <c r="G1340" s="44"/>
      <c r="H1340" s="45"/>
      <c r="I1340" s="47"/>
      <c r="J1340" s="48"/>
      <c r="K1340" s="10">
        <v>1</v>
      </c>
    </row>
    <row r="1341" spans="1:11" ht="26" x14ac:dyDescent="0.35">
      <c r="A1341" s="11" t="s">
        <v>760</v>
      </c>
      <c r="B1341" s="10" t="s">
        <v>277</v>
      </c>
      <c r="C1341" s="10"/>
      <c r="D1341" s="11"/>
      <c r="E1341" s="11"/>
      <c r="F1341" s="57" t="s">
        <v>295</v>
      </c>
      <c r="G1341" s="44"/>
      <c r="H1341" s="45"/>
      <c r="I1341" s="47"/>
      <c r="J1341" s="48"/>
      <c r="K1341" s="10">
        <v>1</v>
      </c>
    </row>
    <row r="1342" spans="1:11" ht="14.5" x14ac:dyDescent="0.35">
      <c r="A1342" s="11" t="s">
        <v>760</v>
      </c>
      <c r="B1342" s="10" t="s">
        <v>277</v>
      </c>
      <c r="C1342" s="10"/>
      <c r="D1342" s="11" t="s">
        <v>32</v>
      </c>
      <c r="E1342" s="11"/>
      <c r="F1342" s="60" t="s">
        <v>648</v>
      </c>
      <c r="G1342" s="44" t="s">
        <v>110</v>
      </c>
      <c r="H1342" s="45">
        <f>H1336</f>
        <v>62</v>
      </c>
      <c r="I1342" s="47">
        <v>185</v>
      </c>
      <c r="J1342" s="48">
        <f>H1342*I1342</f>
        <v>11470</v>
      </c>
      <c r="K1342" s="10">
        <v>1</v>
      </c>
    </row>
    <row r="1343" spans="1:11" ht="13" x14ac:dyDescent="0.35">
      <c r="A1343" s="11" t="s">
        <v>760</v>
      </c>
      <c r="B1343" s="10" t="s">
        <v>297</v>
      </c>
      <c r="C1343" s="10"/>
      <c r="D1343" s="11"/>
      <c r="E1343" s="11"/>
      <c r="F1343" s="262" t="s">
        <v>762</v>
      </c>
      <c r="G1343" s="44"/>
      <c r="H1343" s="45"/>
      <c r="I1343" s="47"/>
      <c r="J1343" s="48"/>
      <c r="K1343" s="10">
        <v>1</v>
      </c>
    </row>
    <row r="1344" spans="1:11" ht="13" x14ac:dyDescent="0.35">
      <c r="A1344" s="11" t="s">
        <v>760</v>
      </c>
      <c r="B1344" s="10" t="s">
        <v>297</v>
      </c>
      <c r="C1344" s="10"/>
      <c r="D1344" s="11"/>
      <c r="E1344" s="11"/>
      <c r="F1344" s="262" t="s">
        <v>763</v>
      </c>
      <c r="G1344" s="44"/>
      <c r="H1344" s="45"/>
      <c r="I1344" s="47"/>
      <c r="J1344" s="48"/>
      <c r="K1344" s="10">
        <v>1</v>
      </c>
    </row>
    <row r="1345" spans="1:11" ht="13" x14ac:dyDescent="0.35">
      <c r="A1345" s="11" t="s">
        <v>760</v>
      </c>
      <c r="B1345" s="10" t="s">
        <v>297</v>
      </c>
      <c r="C1345" s="10"/>
      <c r="D1345" s="11"/>
      <c r="E1345" s="11"/>
      <c r="F1345" s="43" t="s">
        <v>298</v>
      </c>
      <c r="G1345" s="44"/>
      <c r="H1345" s="45"/>
      <c r="I1345" s="47"/>
      <c r="J1345" s="48"/>
      <c r="K1345" s="10">
        <v>1</v>
      </c>
    </row>
    <row r="1346" spans="1:11" ht="13" x14ac:dyDescent="0.35">
      <c r="A1346" s="11" t="s">
        <v>760</v>
      </c>
      <c r="B1346" s="10" t="s">
        <v>297</v>
      </c>
      <c r="C1346" s="10"/>
      <c r="D1346" s="11"/>
      <c r="E1346" s="11"/>
      <c r="F1346" s="43" t="s">
        <v>299</v>
      </c>
      <c r="G1346" s="44"/>
      <c r="H1346" s="45"/>
      <c r="I1346" s="47"/>
      <c r="J1346" s="48"/>
      <c r="K1346" s="10">
        <v>1</v>
      </c>
    </row>
    <row r="1347" spans="1:11" ht="13" x14ac:dyDescent="0.35">
      <c r="A1347" s="11" t="s">
        <v>760</v>
      </c>
      <c r="B1347" s="10" t="s">
        <v>297</v>
      </c>
      <c r="C1347" s="10"/>
      <c r="D1347" s="11"/>
      <c r="E1347" s="11"/>
      <c r="F1347" s="57" t="s">
        <v>100</v>
      </c>
      <c r="G1347" s="44"/>
      <c r="H1347" s="45"/>
      <c r="I1347" s="47"/>
      <c r="J1347" s="48"/>
      <c r="K1347" s="10">
        <v>1</v>
      </c>
    </row>
    <row r="1348" spans="1:11" x14ac:dyDescent="0.35">
      <c r="A1348" s="11" t="s">
        <v>760</v>
      </c>
      <c r="B1348" s="10" t="s">
        <v>297</v>
      </c>
      <c r="C1348" s="10"/>
      <c r="D1348" s="11"/>
      <c r="E1348" s="11"/>
      <c r="F1348" s="60" t="s">
        <v>101</v>
      </c>
      <c r="G1348" s="44"/>
      <c r="H1348" s="45"/>
      <c r="I1348" s="47"/>
      <c r="J1348" s="48"/>
      <c r="K1348" s="10">
        <v>1</v>
      </c>
    </row>
    <row r="1349" spans="1:11" ht="13" x14ac:dyDescent="0.35">
      <c r="A1349" s="11" t="s">
        <v>760</v>
      </c>
      <c r="B1349" s="10" t="s">
        <v>297</v>
      </c>
      <c r="C1349" s="10"/>
      <c r="D1349" s="11"/>
      <c r="E1349" s="11"/>
      <c r="F1349" s="57" t="s">
        <v>102</v>
      </c>
      <c r="G1349" s="44"/>
      <c r="H1349" s="45"/>
      <c r="I1349" s="47"/>
      <c r="J1349" s="48"/>
      <c r="K1349" s="10">
        <v>1</v>
      </c>
    </row>
    <row r="1350" spans="1:11" ht="50" x14ac:dyDescent="0.35">
      <c r="A1350" s="11" t="s">
        <v>760</v>
      </c>
      <c r="B1350" s="10" t="s">
        <v>297</v>
      </c>
      <c r="C1350" s="10"/>
      <c r="D1350" s="11"/>
      <c r="E1350" s="11"/>
      <c r="F1350" s="60" t="s">
        <v>300</v>
      </c>
      <c r="G1350" s="44"/>
      <c r="H1350" s="45"/>
      <c r="I1350" s="47"/>
      <c r="J1350" s="48"/>
      <c r="K1350" s="10">
        <v>1</v>
      </c>
    </row>
    <row r="1351" spans="1:11" ht="13" x14ac:dyDescent="0.35">
      <c r="A1351" s="11" t="s">
        <v>760</v>
      </c>
      <c r="B1351" s="10" t="s">
        <v>297</v>
      </c>
      <c r="C1351" s="10"/>
      <c r="D1351" s="11"/>
      <c r="E1351" s="11"/>
      <c r="F1351" s="57" t="s">
        <v>301</v>
      </c>
      <c r="G1351" s="44"/>
      <c r="H1351" s="45"/>
      <c r="I1351" s="47"/>
      <c r="J1351" s="48"/>
      <c r="K1351" s="10">
        <v>1</v>
      </c>
    </row>
    <row r="1352" spans="1:11" ht="26" x14ac:dyDescent="0.35">
      <c r="A1352" s="11" t="s">
        <v>760</v>
      </c>
      <c r="B1352" s="10" t="s">
        <v>297</v>
      </c>
      <c r="C1352" s="10"/>
      <c r="D1352" s="11"/>
      <c r="E1352" s="11"/>
      <c r="F1352" s="109" t="s">
        <v>302</v>
      </c>
      <c r="G1352" s="44"/>
      <c r="H1352" s="45"/>
      <c r="I1352" s="47"/>
      <c r="J1352" s="48"/>
      <c r="K1352" s="10">
        <v>1</v>
      </c>
    </row>
    <row r="1353" spans="1:11" ht="14.5" x14ac:dyDescent="0.35">
      <c r="A1353" s="11" t="s">
        <v>760</v>
      </c>
      <c r="B1353" s="10" t="s">
        <v>297</v>
      </c>
      <c r="C1353" s="10"/>
      <c r="D1353" s="11" t="s">
        <v>20</v>
      </c>
      <c r="E1353" s="11"/>
      <c r="F1353" s="67" t="s">
        <v>303</v>
      </c>
      <c r="G1353" s="110" t="s">
        <v>110</v>
      </c>
      <c r="H1353" s="45">
        <v>62</v>
      </c>
      <c r="I1353" s="47">
        <v>400</v>
      </c>
      <c r="J1353" s="48">
        <f>H1353*I1353</f>
        <v>24800</v>
      </c>
      <c r="K1353" s="10">
        <v>1</v>
      </c>
    </row>
    <row r="1354" spans="1:11" ht="13" x14ac:dyDescent="0.35">
      <c r="A1354" s="11" t="s">
        <v>760</v>
      </c>
      <c r="B1354" s="10" t="s">
        <v>297</v>
      </c>
      <c r="C1354" s="10"/>
      <c r="D1354" s="11"/>
      <c r="E1354" s="11"/>
      <c r="F1354" s="57" t="s">
        <v>304</v>
      </c>
      <c r="G1354" s="110"/>
      <c r="H1354" s="45"/>
      <c r="I1354" s="47"/>
      <c r="J1354" s="48"/>
      <c r="K1354" s="10">
        <v>1</v>
      </c>
    </row>
    <row r="1355" spans="1:11" ht="14.5" x14ac:dyDescent="0.25">
      <c r="A1355" s="11" t="s">
        <v>760</v>
      </c>
      <c r="B1355" s="10" t="s">
        <v>297</v>
      </c>
      <c r="C1355" s="10"/>
      <c r="D1355" s="11" t="s">
        <v>26</v>
      </c>
      <c r="E1355" s="11"/>
      <c r="F1355" s="111" t="s">
        <v>305</v>
      </c>
      <c r="G1355" s="110" t="s">
        <v>110</v>
      </c>
      <c r="H1355" s="45">
        <f>H1353</f>
        <v>62</v>
      </c>
      <c r="I1355" s="47">
        <v>30</v>
      </c>
      <c r="J1355" s="48">
        <f>H1355*I1355</f>
        <v>1860</v>
      </c>
      <c r="K1355" s="10">
        <v>1</v>
      </c>
    </row>
    <row r="1356" spans="1:11" ht="13" x14ac:dyDescent="0.35">
      <c r="A1356" s="11" t="s">
        <v>760</v>
      </c>
      <c r="B1356" s="10" t="s">
        <v>798</v>
      </c>
      <c r="C1356" s="10"/>
      <c r="D1356" s="11"/>
      <c r="E1356" s="11"/>
      <c r="F1356" s="262" t="s">
        <v>762</v>
      </c>
      <c r="G1356" s="44"/>
      <c r="H1356" s="45"/>
      <c r="I1356" s="47"/>
      <c r="J1356" s="48"/>
      <c r="K1356" s="10">
        <v>1</v>
      </c>
    </row>
    <row r="1357" spans="1:11" ht="13" x14ac:dyDescent="0.35">
      <c r="A1357" s="11" t="s">
        <v>760</v>
      </c>
      <c r="B1357" s="10" t="s">
        <v>798</v>
      </c>
      <c r="C1357" s="10"/>
      <c r="D1357" s="11"/>
      <c r="E1357" s="11"/>
      <c r="F1357" s="262" t="s">
        <v>763</v>
      </c>
      <c r="G1357" s="44"/>
      <c r="H1357" s="45"/>
      <c r="I1357" s="47"/>
      <c r="J1357" s="48"/>
      <c r="K1357" s="10">
        <v>1</v>
      </c>
    </row>
    <row r="1358" spans="1:11" ht="13" x14ac:dyDescent="0.35">
      <c r="A1358" s="11" t="s">
        <v>760</v>
      </c>
      <c r="B1358" s="10" t="s">
        <v>798</v>
      </c>
      <c r="C1358" s="10"/>
      <c r="D1358" s="11"/>
      <c r="E1358" s="11"/>
      <c r="F1358" s="43" t="s">
        <v>331</v>
      </c>
      <c r="G1358" s="44"/>
      <c r="H1358" s="45"/>
      <c r="I1358" s="47"/>
      <c r="J1358" s="48"/>
      <c r="K1358" s="10">
        <v>1</v>
      </c>
    </row>
    <row r="1359" spans="1:11" ht="13" x14ac:dyDescent="0.35">
      <c r="A1359" s="11" t="s">
        <v>760</v>
      </c>
      <c r="B1359" s="10" t="s">
        <v>798</v>
      </c>
      <c r="C1359" s="10"/>
      <c r="D1359" s="89"/>
      <c r="E1359" s="89"/>
      <c r="F1359" s="100" t="s">
        <v>308</v>
      </c>
      <c r="G1359" s="91"/>
      <c r="H1359" s="92"/>
      <c r="I1359" s="94"/>
      <c r="J1359" s="95"/>
      <c r="K1359" s="10">
        <v>1</v>
      </c>
    </row>
    <row r="1360" spans="1:11" ht="13" x14ac:dyDescent="0.35">
      <c r="A1360" s="11" t="s">
        <v>760</v>
      </c>
      <c r="B1360" s="10" t="s">
        <v>798</v>
      </c>
      <c r="C1360" s="10"/>
      <c r="D1360" s="89"/>
      <c r="E1360" s="89"/>
      <c r="F1360" s="90" t="s">
        <v>100</v>
      </c>
      <c r="G1360" s="91"/>
      <c r="H1360" s="92"/>
      <c r="I1360" s="94"/>
      <c r="J1360" s="95"/>
      <c r="K1360" s="10">
        <v>1</v>
      </c>
    </row>
    <row r="1361" spans="1:11" x14ac:dyDescent="0.35">
      <c r="A1361" s="11" t="s">
        <v>760</v>
      </c>
      <c r="B1361" s="10" t="s">
        <v>798</v>
      </c>
      <c r="C1361" s="10"/>
      <c r="D1361" s="89"/>
      <c r="E1361" s="89"/>
      <c r="F1361" s="108" t="s">
        <v>101</v>
      </c>
      <c r="G1361" s="91"/>
      <c r="H1361" s="92"/>
      <c r="I1361" s="94"/>
      <c r="J1361" s="95"/>
      <c r="K1361" s="10">
        <v>1</v>
      </c>
    </row>
    <row r="1362" spans="1:11" ht="13" x14ac:dyDescent="0.35">
      <c r="A1362" s="11" t="s">
        <v>760</v>
      </c>
      <c r="B1362" s="10" t="s">
        <v>798</v>
      </c>
      <c r="C1362" s="10"/>
      <c r="D1362" s="89"/>
      <c r="E1362" s="89"/>
      <c r="F1362" s="100" t="s">
        <v>309</v>
      </c>
      <c r="G1362" s="91"/>
      <c r="H1362" s="92"/>
      <c r="I1362" s="94"/>
      <c r="J1362" s="95"/>
      <c r="K1362" s="10">
        <v>1</v>
      </c>
    </row>
    <row r="1363" spans="1:11" x14ac:dyDescent="0.35">
      <c r="A1363" s="11" t="s">
        <v>760</v>
      </c>
      <c r="B1363" s="10" t="s">
        <v>798</v>
      </c>
      <c r="C1363" s="10"/>
      <c r="D1363" s="89" t="s">
        <v>20</v>
      </c>
      <c r="E1363" s="89"/>
      <c r="F1363" s="108" t="s">
        <v>310</v>
      </c>
      <c r="G1363" s="91" t="s">
        <v>175</v>
      </c>
      <c r="H1363" s="92">
        <v>12</v>
      </c>
      <c r="I1363" s="94">
        <v>200</v>
      </c>
      <c r="J1363" s="95">
        <f>H1363*I1363</f>
        <v>2400</v>
      </c>
      <c r="K1363" s="10">
        <v>1</v>
      </c>
    </row>
    <row r="1364" spans="1:11" x14ac:dyDescent="0.35">
      <c r="A1364" s="11" t="s">
        <v>760</v>
      </c>
      <c r="B1364" s="10" t="s">
        <v>798</v>
      </c>
      <c r="C1364" s="10"/>
      <c r="D1364" s="89" t="s">
        <v>26</v>
      </c>
      <c r="E1364" s="89"/>
      <c r="F1364" s="108" t="s">
        <v>311</v>
      </c>
      <c r="G1364" s="91" t="s">
        <v>175</v>
      </c>
      <c r="H1364" s="92">
        <v>12</v>
      </c>
      <c r="I1364" s="94">
        <v>200</v>
      </c>
      <c r="J1364" s="95">
        <f>H1364*I1364</f>
        <v>2400</v>
      </c>
      <c r="K1364" s="10">
        <v>1</v>
      </c>
    </row>
    <row r="1365" spans="1:11" ht="13" x14ac:dyDescent="0.35">
      <c r="A1365" s="11" t="s">
        <v>760</v>
      </c>
      <c r="B1365" s="10" t="s">
        <v>798</v>
      </c>
      <c r="C1365" s="10"/>
      <c r="D1365" s="89"/>
      <c r="E1365" s="89"/>
      <c r="F1365" s="90" t="s">
        <v>312</v>
      </c>
      <c r="G1365" s="91"/>
      <c r="H1365" s="92"/>
      <c r="I1365" s="94"/>
      <c r="J1365" s="95"/>
      <c r="K1365" s="10">
        <v>1</v>
      </c>
    </row>
    <row r="1366" spans="1:11" x14ac:dyDescent="0.35">
      <c r="A1366" s="11" t="s">
        <v>760</v>
      </c>
      <c r="B1366" s="10" t="s">
        <v>798</v>
      </c>
      <c r="C1366" s="10"/>
      <c r="D1366" s="89" t="s">
        <v>29</v>
      </c>
      <c r="E1366" s="89"/>
      <c r="F1366" s="98" t="s">
        <v>313</v>
      </c>
      <c r="G1366" s="112" t="s">
        <v>175</v>
      </c>
      <c r="H1366" s="45">
        <v>6</v>
      </c>
      <c r="I1366" s="94">
        <v>450</v>
      </c>
      <c r="J1366" s="95">
        <f>H1366*I1366</f>
        <v>2700</v>
      </c>
      <c r="K1366" s="10">
        <v>1</v>
      </c>
    </row>
    <row r="1367" spans="1:11" x14ac:dyDescent="0.35">
      <c r="A1367" s="11" t="s">
        <v>760</v>
      </c>
      <c r="B1367" s="10" t="s">
        <v>798</v>
      </c>
      <c r="C1367" s="10"/>
      <c r="D1367" s="89" t="s">
        <v>32</v>
      </c>
      <c r="E1367" s="89"/>
      <c r="F1367" s="108" t="s">
        <v>314</v>
      </c>
      <c r="G1367" s="112" t="s">
        <v>175</v>
      </c>
      <c r="H1367" s="45">
        <v>6</v>
      </c>
      <c r="I1367" s="94">
        <v>650</v>
      </c>
      <c r="J1367" s="95">
        <f>H1367*I1367</f>
        <v>3900</v>
      </c>
      <c r="K1367" s="10">
        <v>1</v>
      </c>
    </row>
    <row r="1368" spans="1:11" x14ac:dyDescent="0.35">
      <c r="A1368" s="11" t="s">
        <v>760</v>
      </c>
      <c r="B1368" s="10" t="s">
        <v>798</v>
      </c>
      <c r="C1368" s="10"/>
      <c r="D1368" s="89" t="s">
        <v>36</v>
      </c>
      <c r="E1368" s="89"/>
      <c r="F1368" s="108" t="s">
        <v>315</v>
      </c>
      <c r="G1368" s="112" t="s">
        <v>175</v>
      </c>
      <c r="H1368" s="45">
        <v>6</v>
      </c>
      <c r="I1368" s="94">
        <v>650</v>
      </c>
      <c r="J1368" s="95">
        <f>H1368*I1368</f>
        <v>3900</v>
      </c>
      <c r="K1368" s="10">
        <v>1</v>
      </c>
    </row>
    <row r="1369" spans="1:11" ht="13" x14ac:dyDescent="0.35">
      <c r="A1369" s="11" t="s">
        <v>760</v>
      </c>
      <c r="B1369" s="10" t="s">
        <v>798</v>
      </c>
      <c r="C1369" s="10"/>
      <c r="D1369" s="89"/>
      <c r="E1369" s="89"/>
      <c r="F1369" s="90" t="s">
        <v>316</v>
      </c>
      <c r="G1369" s="112"/>
      <c r="H1369" s="45"/>
      <c r="I1369" s="94"/>
      <c r="J1369" s="95"/>
      <c r="K1369" s="10">
        <v>1</v>
      </c>
    </row>
    <row r="1370" spans="1:11" x14ac:dyDescent="0.35">
      <c r="A1370" s="11" t="s">
        <v>760</v>
      </c>
      <c r="B1370" s="10" t="s">
        <v>798</v>
      </c>
      <c r="C1370" s="10"/>
      <c r="D1370" s="89" t="s">
        <v>39</v>
      </c>
      <c r="E1370" s="89"/>
      <c r="F1370" s="108" t="s">
        <v>317</v>
      </c>
      <c r="G1370" s="112" t="s">
        <v>175</v>
      </c>
      <c r="H1370" s="45">
        <v>6</v>
      </c>
      <c r="I1370" s="94">
        <v>850</v>
      </c>
      <c r="J1370" s="95">
        <f>H1370*I1370</f>
        <v>5100</v>
      </c>
      <c r="K1370" s="10">
        <v>1</v>
      </c>
    </row>
    <row r="1371" spans="1:11" x14ac:dyDescent="0.35">
      <c r="A1371" s="11" t="s">
        <v>760</v>
      </c>
      <c r="B1371" s="10" t="s">
        <v>798</v>
      </c>
      <c r="C1371" s="10"/>
      <c r="D1371" s="89" t="s">
        <v>42</v>
      </c>
      <c r="E1371" s="89"/>
      <c r="F1371" s="108" t="s">
        <v>318</v>
      </c>
      <c r="G1371" s="112" t="s">
        <v>175</v>
      </c>
      <c r="H1371" s="45">
        <v>6</v>
      </c>
      <c r="I1371" s="94">
        <v>850</v>
      </c>
      <c r="J1371" s="95">
        <f>H1371*I1371</f>
        <v>5100</v>
      </c>
      <c r="K1371" s="10">
        <v>1</v>
      </c>
    </row>
    <row r="1372" spans="1:11" ht="13" x14ac:dyDescent="0.35">
      <c r="A1372" s="11" t="s">
        <v>760</v>
      </c>
      <c r="B1372" s="10" t="s">
        <v>798</v>
      </c>
      <c r="C1372" s="10"/>
      <c r="D1372" s="89"/>
      <c r="E1372" s="89"/>
      <c r="F1372" s="90" t="s">
        <v>319</v>
      </c>
      <c r="G1372" s="112"/>
      <c r="H1372" s="45"/>
      <c r="I1372" s="94"/>
      <c r="J1372" s="95"/>
      <c r="K1372" s="10">
        <v>1</v>
      </c>
    </row>
    <row r="1373" spans="1:11" x14ac:dyDescent="0.35">
      <c r="A1373" s="11" t="s">
        <v>760</v>
      </c>
      <c r="B1373" s="10" t="s">
        <v>798</v>
      </c>
      <c r="C1373" s="10"/>
      <c r="D1373" s="89" t="s">
        <v>45</v>
      </c>
      <c r="E1373" s="89"/>
      <c r="F1373" s="108" t="s">
        <v>320</v>
      </c>
      <c r="G1373" s="112" t="s">
        <v>175</v>
      </c>
      <c r="H1373" s="45">
        <v>6</v>
      </c>
      <c r="I1373" s="94">
        <v>80</v>
      </c>
      <c r="J1373" s="95">
        <f>H1373*I1373</f>
        <v>480</v>
      </c>
      <c r="K1373" s="10">
        <v>1</v>
      </c>
    </row>
    <row r="1374" spans="1:11" ht="13" x14ac:dyDescent="0.35">
      <c r="A1374" s="11" t="s">
        <v>760</v>
      </c>
      <c r="B1374" s="123" t="s">
        <v>339</v>
      </c>
      <c r="C1374" s="123"/>
      <c r="D1374" s="89"/>
      <c r="E1374" s="89"/>
      <c r="F1374" s="262" t="s">
        <v>762</v>
      </c>
      <c r="G1374" s="91"/>
      <c r="H1374" s="92"/>
      <c r="I1374" s="94"/>
      <c r="J1374" s="105"/>
      <c r="K1374" s="10">
        <v>1</v>
      </c>
    </row>
    <row r="1375" spans="1:11" ht="13" x14ac:dyDescent="0.35">
      <c r="A1375" s="11" t="s">
        <v>760</v>
      </c>
      <c r="B1375" s="123" t="s">
        <v>339</v>
      </c>
      <c r="C1375" s="123"/>
      <c r="D1375" s="89"/>
      <c r="E1375" s="89"/>
      <c r="F1375" s="262" t="s">
        <v>763</v>
      </c>
      <c r="G1375" s="91"/>
      <c r="H1375" s="92"/>
      <c r="I1375" s="94"/>
      <c r="J1375" s="95"/>
      <c r="K1375" s="10">
        <v>1</v>
      </c>
    </row>
    <row r="1376" spans="1:11" ht="13" x14ac:dyDescent="0.35">
      <c r="A1376" s="11" t="s">
        <v>760</v>
      </c>
      <c r="B1376" s="123" t="s">
        <v>339</v>
      </c>
      <c r="C1376" s="123"/>
      <c r="D1376" s="89"/>
      <c r="E1376" s="89"/>
      <c r="F1376" s="100" t="s">
        <v>340</v>
      </c>
      <c r="G1376" s="91"/>
      <c r="H1376" s="92"/>
      <c r="I1376" s="94"/>
      <c r="J1376" s="95"/>
      <c r="K1376" s="10">
        <v>1</v>
      </c>
    </row>
    <row r="1377" spans="1:11" ht="13" x14ac:dyDescent="0.35">
      <c r="A1377" s="11" t="s">
        <v>760</v>
      </c>
      <c r="B1377" s="123" t="s">
        <v>339</v>
      </c>
      <c r="C1377" s="123"/>
      <c r="D1377" s="89"/>
      <c r="E1377" s="89"/>
      <c r="F1377" s="100" t="s">
        <v>341</v>
      </c>
      <c r="G1377" s="91"/>
      <c r="H1377" s="92"/>
      <c r="I1377" s="94"/>
      <c r="J1377" s="95"/>
      <c r="K1377" s="10">
        <v>1</v>
      </c>
    </row>
    <row r="1378" spans="1:11" ht="13" x14ac:dyDescent="0.35">
      <c r="A1378" s="11" t="s">
        <v>760</v>
      </c>
      <c r="B1378" s="123" t="s">
        <v>339</v>
      </c>
      <c r="C1378" s="123"/>
      <c r="D1378" s="89"/>
      <c r="E1378" s="89"/>
      <c r="F1378" s="90" t="s">
        <v>100</v>
      </c>
      <c r="G1378" s="91"/>
      <c r="H1378" s="92"/>
      <c r="I1378" s="94"/>
      <c r="J1378" s="95"/>
      <c r="K1378" s="10">
        <v>1</v>
      </c>
    </row>
    <row r="1379" spans="1:11" x14ac:dyDescent="0.35">
      <c r="A1379" s="11" t="s">
        <v>760</v>
      </c>
      <c r="B1379" s="123" t="s">
        <v>339</v>
      </c>
      <c r="C1379" s="123"/>
      <c r="D1379" s="89"/>
      <c r="E1379" s="89"/>
      <c r="F1379" s="108" t="s">
        <v>101</v>
      </c>
      <c r="G1379" s="91"/>
      <c r="H1379" s="92"/>
      <c r="I1379" s="94"/>
      <c r="J1379" s="95"/>
      <c r="K1379" s="10">
        <v>1</v>
      </c>
    </row>
    <row r="1380" spans="1:11" ht="13" x14ac:dyDescent="0.35">
      <c r="A1380" s="11" t="s">
        <v>760</v>
      </c>
      <c r="B1380" s="123" t="s">
        <v>339</v>
      </c>
      <c r="C1380" s="123"/>
      <c r="D1380" s="89"/>
      <c r="E1380" s="89"/>
      <c r="F1380" s="90" t="s">
        <v>102</v>
      </c>
      <c r="G1380" s="91"/>
      <c r="H1380" s="92"/>
      <c r="I1380" s="94"/>
      <c r="J1380" s="95"/>
      <c r="K1380" s="10">
        <v>1</v>
      </c>
    </row>
    <row r="1381" spans="1:11" x14ac:dyDescent="0.35">
      <c r="A1381" s="11" t="s">
        <v>760</v>
      </c>
      <c r="B1381" s="123" t="s">
        <v>339</v>
      </c>
      <c r="C1381" s="123"/>
      <c r="D1381" s="89"/>
      <c r="E1381" s="124"/>
      <c r="F1381" s="108" t="s">
        <v>342</v>
      </c>
      <c r="G1381" s="91"/>
      <c r="H1381" s="45"/>
      <c r="I1381" s="125"/>
      <c r="J1381" s="48"/>
      <c r="K1381" s="10">
        <v>1</v>
      </c>
    </row>
    <row r="1382" spans="1:11" ht="37.5" x14ac:dyDescent="0.35">
      <c r="A1382" s="11" t="s">
        <v>760</v>
      </c>
      <c r="B1382" s="123" t="s">
        <v>339</v>
      </c>
      <c r="C1382" s="123"/>
      <c r="D1382" s="89"/>
      <c r="E1382" s="124"/>
      <c r="F1382" s="108" t="s">
        <v>343</v>
      </c>
      <c r="G1382" s="91"/>
      <c r="H1382" s="45"/>
      <c r="I1382" s="125"/>
      <c r="J1382" s="48"/>
      <c r="K1382" s="10">
        <v>1</v>
      </c>
    </row>
    <row r="1383" spans="1:11" ht="25" x14ac:dyDescent="0.35">
      <c r="A1383" s="11" t="s">
        <v>760</v>
      </c>
      <c r="B1383" s="123" t="s">
        <v>339</v>
      </c>
      <c r="C1383" s="123"/>
      <c r="D1383" s="89"/>
      <c r="E1383" s="124"/>
      <c r="F1383" s="108" t="s">
        <v>344</v>
      </c>
      <c r="G1383" s="91"/>
      <c r="H1383" s="45"/>
      <c r="I1383" s="125"/>
      <c r="J1383" s="48"/>
      <c r="K1383" s="10">
        <v>1</v>
      </c>
    </row>
    <row r="1384" spans="1:11" ht="13" x14ac:dyDescent="0.35">
      <c r="A1384" s="11" t="s">
        <v>760</v>
      </c>
      <c r="B1384" s="123" t="s">
        <v>339</v>
      </c>
      <c r="C1384" s="123"/>
      <c r="D1384" s="89"/>
      <c r="E1384" s="89"/>
      <c r="F1384" s="126" t="s">
        <v>345</v>
      </c>
      <c r="G1384" s="91"/>
      <c r="H1384" s="92"/>
      <c r="I1384" s="94"/>
      <c r="J1384" s="95"/>
      <c r="K1384" s="10">
        <v>1</v>
      </c>
    </row>
    <row r="1385" spans="1:11" ht="13" x14ac:dyDescent="0.35">
      <c r="A1385" s="11" t="s">
        <v>760</v>
      </c>
      <c r="B1385" s="123" t="s">
        <v>339</v>
      </c>
      <c r="C1385" s="123"/>
      <c r="D1385" s="89"/>
      <c r="E1385" s="89"/>
      <c r="F1385" s="90" t="s">
        <v>346</v>
      </c>
      <c r="G1385" s="91"/>
      <c r="H1385" s="58"/>
      <c r="I1385" s="94"/>
      <c r="J1385" s="95"/>
      <c r="K1385" s="10">
        <v>1</v>
      </c>
    </row>
    <row r="1386" spans="1:11" ht="13" x14ac:dyDescent="0.35">
      <c r="A1386" s="11" t="s">
        <v>760</v>
      </c>
      <c r="B1386" s="123" t="s">
        <v>339</v>
      </c>
      <c r="C1386" s="123"/>
      <c r="D1386" s="89"/>
      <c r="E1386" s="89"/>
      <c r="F1386" s="90" t="s">
        <v>347</v>
      </c>
      <c r="G1386" s="91"/>
      <c r="H1386" s="117"/>
      <c r="I1386" s="94"/>
      <c r="J1386" s="95"/>
      <c r="K1386" s="10">
        <v>1</v>
      </c>
    </row>
    <row r="1387" spans="1:11" x14ac:dyDescent="0.35">
      <c r="A1387" s="11" t="s">
        <v>760</v>
      </c>
      <c r="B1387" s="123" t="s">
        <v>339</v>
      </c>
      <c r="C1387" s="123"/>
      <c r="D1387" s="89" t="s">
        <v>20</v>
      </c>
      <c r="E1387" s="89"/>
      <c r="F1387" s="108" t="s">
        <v>656</v>
      </c>
      <c r="G1387" s="91" t="s">
        <v>175</v>
      </c>
      <c r="H1387" s="117">
        <v>5</v>
      </c>
      <c r="I1387" s="127">
        <v>1450</v>
      </c>
      <c r="J1387" s="95">
        <f>I1387*H1387</f>
        <v>7250</v>
      </c>
      <c r="K1387" s="10">
        <v>1</v>
      </c>
    </row>
    <row r="1388" spans="1:11" x14ac:dyDescent="0.35">
      <c r="A1388" s="11" t="s">
        <v>760</v>
      </c>
      <c r="B1388" s="123" t="s">
        <v>339</v>
      </c>
      <c r="C1388" s="123"/>
      <c r="D1388" s="89" t="s">
        <v>26</v>
      </c>
      <c r="E1388" s="89"/>
      <c r="F1388" s="108" t="s">
        <v>799</v>
      </c>
      <c r="G1388" s="91" t="s">
        <v>175</v>
      </c>
      <c r="H1388" s="117">
        <v>1</v>
      </c>
      <c r="I1388" s="127">
        <v>1550</v>
      </c>
      <c r="J1388" s="95">
        <f>I1388*H1388</f>
        <v>1550</v>
      </c>
      <c r="K1388" s="10">
        <v>1</v>
      </c>
    </row>
    <row r="1389" spans="1:11" ht="13" x14ac:dyDescent="0.35">
      <c r="A1389" s="11" t="s">
        <v>760</v>
      </c>
      <c r="B1389" s="123" t="s">
        <v>339</v>
      </c>
      <c r="C1389" s="123"/>
      <c r="D1389" s="89"/>
      <c r="E1389" s="89"/>
      <c r="F1389" s="126" t="s">
        <v>349</v>
      </c>
      <c r="G1389" s="91"/>
      <c r="H1389" s="128"/>
      <c r="I1389" s="127"/>
      <c r="J1389" s="95"/>
      <c r="K1389" s="10">
        <v>1</v>
      </c>
    </row>
    <row r="1390" spans="1:11" ht="13" x14ac:dyDescent="0.35">
      <c r="A1390" s="11" t="s">
        <v>760</v>
      </c>
      <c r="B1390" s="123" t="s">
        <v>339</v>
      </c>
      <c r="C1390" s="123"/>
      <c r="D1390" s="89"/>
      <c r="E1390" s="89"/>
      <c r="F1390" s="126" t="s">
        <v>350</v>
      </c>
      <c r="G1390" s="91"/>
      <c r="H1390" s="128"/>
      <c r="I1390" s="127"/>
      <c r="J1390" s="95"/>
      <c r="K1390" s="10">
        <v>1</v>
      </c>
    </row>
    <row r="1391" spans="1:11" ht="25" x14ac:dyDescent="0.35">
      <c r="A1391" s="11" t="s">
        <v>760</v>
      </c>
      <c r="B1391" s="123" t="s">
        <v>339</v>
      </c>
      <c r="C1391" s="123"/>
      <c r="D1391" s="89" t="s">
        <v>29</v>
      </c>
      <c r="E1391" s="89"/>
      <c r="F1391" s="108" t="s">
        <v>800</v>
      </c>
      <c r="G1391" s="91" t="s">
        <v>175</v>
      </c>
      <c r="H1391" s="128">
        <v>4</v>
      </c>
      <c r="I1391" s="125">
        <v>1450</v>
      </c>
      <c r="J1391" s="48">
        <f>I1391*H1391</f>
        <v>5800</v>
      </c>
      <c r="K1391" s="10">
        <v>1</v>
      </c>
    </row>
    <row r="1392" spans="1:11" ht="37.5" x14ac:dyDescent="0.35">
      <c r="A1392" s="11" t="s">
        <v>760</v>
      </c>
      <c r="B1392" s="123" t="s">
        <v>339</v>
      </c>
      <c r="C1392" s="123"/>
      <c r="D1392" s="89" t="s">
        <v>32</v>
      </c>
      <c r="E1392" s="89"/>
      <c r="F1392" s="132" t="s">
        <v>801</v>
      </c>
      <c r="G1392" s="112" t="s">
        <v>175</v>
      </c>
      <c r="H1392" s="45">
        <v>1</v>
      </c>
      <c r="I1392" s="94">
        <v>18000</v>
      </c>
      <c r="J1392" s="95">
        <f>H1392*I1392</f>
        <v>18000</v>
      </c>
      <c r="K1392" s="10">
        <v>1</v>
      </c>
    </row>
    <row r="1393" spans="1:11" ht="13" x14ac:dyDescent="0.35">
      <c r="A1393" s="11" t="s">
        <v>760</v>
      </c>
      <c r="B1393" s="10" t="s">
        <v>358</v>
      </c>
      <c r="C1393" s="10"/>
      <c r="D1393" s="11"/>
      <c r="E1393" s="11"/>
      <c r="F1393" s="262" t="s">
        <v>762</v>
      </c>
      <c r="G1393" s="44"/>
      <c r="H1393" s="117"/>
      <c r="I1393" s="70"/>
      <c r="J1393" s="48"/>
      <c r="K1393" s="10">
        <v>1</v>
      </c>
    </row>
    <row r="1394" spans="1:11" ht="13" x14ac:dyDescent="0.35">
      <c r="A1394" s="11" t="s">
        <v>760</v>
      </c>
      <c r="B1394" s="10" t="s">
        <v>358</v>
      </c>
      <c r="C1394" s="10"/>
      <c r="D1394" s="11"/>
      <c r="E1394" s="11"/>
      <c r="F1394" s="262" t="s">
        <v>763</v>
      </c>
      <c r="G1394" s="44"/>
      <c r="H1394" s="117"/>
      <c r="I1394" s="70"/>
      <c r="J1394" s="48"/>
      <c r="K1394" s="10">
        <v>1</v>
      </c>
    </row>
    <row r="1395" spans="1:11" ht="13" x14ac:dyDescent="0.35">
      <c r="A1395" s="11" t="s">
        <v>760</v>
      </c>
      <c r="B1395" s="10" t="s">
        <v>358</v>
      </c>
      <c r="C1395" s="10"/>
      <c r="D1395" s="11"/>
      <c r="E1395" s="11"/>
      <c r="F1395" s="43" t="s">
        <v>359</v>
      </c>
      <c r="G1395" s="44"/>
      <c r="H1395" s="117"/>
      <c r="I1395" s="70"/>
      <c r="J1395" s="48"/>
      <c r="K1395" s="10">
        <v>1</v>
      </c>
    </row>
    <row r="1396" spans="1:11" ht="13" x14ac:dyDescent="0.35">
      <c r="A1396" s="11" t="s">
        <v>760</v>
      </c>
      <c r="B1396" s="10" t="s">
        <v>358</v>
      </c>
      <c r="C1396" s="10"/>
      <c r="D1396" s="11"/>
      <c r="E1396" s="11"/>
      <c r="F1396" s="43" t="s">
        <v>360</v>
      </c>
      <c r="G1396" s="44"/>
      <c r="H1396" s="117"/>
      <c r="I1396" s="70"/>
      <c r="J1396" s="48"/>
      <c r="K1396" s="10">
        <v>1</v>
      </c>
    </row>
    <row r="1397" spans="1:11" ht="13" x14ac:dyDescent="0.35">
      <c r="A1397" s="11" t="s">
        <v>760</v>
      </c>
      <c r="B1397" s="10" t="s">
        <v>358</v>
      </c>
      <c r="C1397" s="10"/>
      <c r="D1397" s="50"/>
      <c r="E1397" s="50"/>
      <c r="F1397" s="57" t="s">
        <v>100</v>
      </c>
      <c r="G1397" s="51"/>
      <c r="H1397" s="72"/>
      <c r="I1397" s="133"/>
      <c r="J1397" s="55"/>
      <c r="K1397" s="10">
        <v>1</v>
      </c>
    </row>
    <row r="1398" spans="1:11" ht="13" x14ac:dyDescent="0.35">
      <c r="A1398" s="11" t="s">
        <v>760</v>
      </c>
      <c r="B1398" s="10" t="s">
        <v>358</v>
      </c>
      <c r="C1398" s="10"/>
      <c r="D1398" s="50"/>
      <c r="E1398" s="50"/>
      <c r="F1398" s="60" t="s">
        <v>101</v>
      </c>
      <c r="G1398" s="51"/>
      <c r="H1398" s="72"/>
      <c r="I1398" s="133"/>
      <c r="J1398" s="55"/>
      <c r="K1398" s="10">
        <v>1</v>
      </c>
    </row>
    <row r="1399" spans="1:11" ht="13" x14ac:dyDescent="0.35">
      <c r="A1399" s="11" t="s">
        <v>760</v>
      </c>
      <c r="B1399" s="10" t="s">
        <v>358</v>
      </c>
      <c r="C1399" s="10"/>
      <c r="D1399" s="11"/>
      <c r="E1399" s="134"/>
      <c r="F1399" s="57" t="s">
        <v>361</v>
      </c>
      <c r="G1399" s="44"/>
      <c r="H1399" s="117"/>
      <c r="I1399" s="70"/>
      <c r="J1399" s="48"/>
      <c r="K1399" s="10">
        <v>1</v>
      </c>
    </row>
    <row r="1400" spans="1:11" ht="13" x14ac:dyDescent="0.35">
      <c r="A1400" s="11" t="s">
        <v>760</v>
      </c>
      <c r="B1400" s="10" t="s">
        <v>358</v>
      </c>
      <c r="C1400" s="10"/>
      <c r="D1400" s="11"/>
      <c r="E1400" s="134"/>
      <c r="F1400" s="57" t="s">
        <v>362</v>
      </c>
      <c r="G1400" s="44"/>
      <c r="H1400" s="117"/>
      <c r="I1400" s="70"/>
      <c r="J1400" s="48"/>
      <c r="K1400" s="10">
        <v>1</v>
      </c>
    </row>
    <row r="1401" spans="1:11" ht="14.5" x14ac:dyDescent="0.35">
      <c r="A1401" s="11" t="s">
        <v>760</v>
      </c>
      <c r="B1401" s="10" t="s">
        <v>358</v>
      </c>
      <c r="C1401" s="10"/>
      <c r="D1401" s="11" t="s">
        <v>20</v>
      </c>
      <c r="E1401" s="134"/>
      <c r="F1401" s="60" t="s">
        <v>363</v>
      </c>
      <c r="G1401" s="44" t="s">
        <v>110</v>
      </c>
      <c r="H1401" s="135">
        <v>21</v>
      </c>
      <c r="I1401" s="70">
        <v>165</v>
      </c>
      <c r="J1401" s="48">
        <f>H1401*I1401</f>
        <v>3465</v>
      </c>
      <c r="K1401" s="10">
        <v>1</v>
      </c>
    </row>
    <row r="1402" spans="1:11" ht="13" x14ac:dyDescent="0.35">
      <c r="A1402" s="11" t="s">
        <v>760</v>
      </c>
      <c r="B1402" s="10" t="s">
        <v>358</v>
      </c>
      <c r="C1402" s="10"/>
      <c r="D1402" s="11"/>
      <c r="E1402" s="11"/>
      <c r="F1402" s="57" t="s">
        <v>364</v>
      </c>
      <c r="G1402" s="44"/>
      <c r="H1402" s="117"/>
      <c r="I1402" s="70"/>
      <c r="J1402" s="48"/>
      <c r="K1402" s="10">
        <v>1</v>
      </c>
    </row>
    <row r="1403" spans="1:11" ht="26" x14ac:dyDescent="0.35">
      <c r="A1403" s="11" t="s">
        <v>760</v>
      </c>
      <c r="B1403" s="10" t="s">
        <v>358</v>
      </c>
      <c r="C1403" s="10"/>
      <c r="D1403" s="11"/>
      <c r="E1403" s="11"/>
      <c r="F1403" s="57" t="s">
        <v>365</v>
      </c>
      <c r="G1403" s="44"/>
      <c r="H1403" s="117"/>
      <c r="I1403" s="70"/>
      <c r="J1403" s="48"/>
      <c r="K1403" s="10">
        <v>1</v>
      </c>
    </row>
    <row r="1404" spans="1:11" ht="14.5" x14ac:dyDescent="0.35">
      <c r="A1404" s="11" t="s">
        <v>760</v>
      </c>
      <c r="B1404" s="10" t="s">
        <v>358</v>
      </c>
      <c r="C1404" s="10"/>
      <c r="D1404" s="11" t="s">
        <v>26</v>
      </c>
      <c r="E1404" s="11"/>
      <c r="F1404" s="60" t="s">
        <v>366</v>
      </c>
      <c r="G1404" s="44" t="s">
        <v>110</v>
      </c>
      <c r="H1404" s="135">
        <v>148</v>
      </c>
      <c r="I1404" s="70">
        <v>95</v>
      </c>
      <c r="J1404" s="48">
        <f>H1404*I1404</f>
        <v>14060</v>
      </c>
      <c r="K1404" s="10">
        <v>1</v>
      </c>
    </row>
    <row r="1405" spans="1:11" ht="13" x14ac:dyDescent="0.35">
      <c r="A1405" s="11" t="s">
        <v>760</v>
      </c>
      <c r="B1405" s="10" t="s">
        <v>802</v>
      </c>
      <c r="C1405" s="10"/>
      <c r="D1405" s="11"/>
      <c r="E1405" s="11"/>
      <c r="F1405" s="262" t="s">
        <v>762</v>
      </c>
      <c r="G1405" s="44"/>
      <c r="H1405" s="116"/>
      <c r="I1405" s="192"/>
      <c r="J1405" s="48"/>
      <c r="K1405" s="10">
        <v>1</v>
      </c>
    </row>
    <row r="1406" spans="1:11" ht="13" x14ac:dyDescent="0.35">
      <c r="A1406" s="11" t="s">
        <v>760</v>
      </c>
      <c r="B1406" s="10" t="s">
        <v>802</v>
      </c>
      <c r="C1406" s="10"/>
      <c r="D1406" s="11"/>
      <c r="E1406" s="11"/>
      <c r="F1406" s="262" t="s">
        <v>763</v>
      </c>
      <c r="G1406" s="44"/>
      <c r="H1406" s="116"/>
      <c r="I1406" s="192"/>
      <c r="J1406" s="48"/>
      <c r="K1406" s="10">
        <v>1</v>
      </c>
    </row>
    <row r="1407" spans="1:11" ht="13" x14ac:dyDescent="0.35">
      <c r="A1407" s="11" t="s">
        <v>760</v>
      </c>
      <c r="B1407" s="10" t="s">
        <v>802</v>
      </c>
      <c r="C1407" s="10"/>
      <c r="D1407" s="11"/>
      <c r="E1407" s="11"/>
      <c r="F1407" s="43" t="s">
        <v>370</v>
      </c>
      <c r="G1407" s="44"/>
      <c r="H1407" s="116"/>
      <c r="I1407" s="192"/>
      <c r="J1407" s="48"/>
      <c r="K1407" s="10">
        <v>1</v>
      </c>
    </row>
    <row r="1408" spans="1:11" ht="13" x14ac:dyDescent="0.35">
      <c r="A1408" s="11" t="s">
        <v>760</v>
      </c>
      <c r="B1408" s="10" t="s">
        <v>802</v>
      </c>
      <c r="C1408" s="10"/>
      <c r="D1408" s="11"/>
      <c r="E1408" s="11"/>
      <c r="F1408" s="43" t="s">
        <v>371</v>
      </c>
      <c r="G1408" s="44"/>
      <c r="H1408" s="116"/>
      <c r="I1408" s="192"/>
      <c r="J1408" s="48"/>
      <c r="K1408" s="10">
        <v>1</v>
      </c>
    </row>
    <row r="1409" spans="1:11" ht="13" x14ac:dyDescent="0.35">
      <c r="A1409" s="11" t="s">
        <v>760</v>
      </c>
      <c r="B1409" s="10" t="s">
        <v>802</v>
      </c>
      <c r="C1409" s="10"/>
      <c r="D1409" s="11"/>
      <c r="E1409" s="11"/>
      <c r="F1409" s="57" t="s">
        <v>100</v>
      </c>
      <c r="G1409" s="44"/>
      <c r="H1409" s="116"/>
      <c r="I1409" s="192"/>
      <c r="J1409" s="48"/>
      <c r="K1409" s="10">
        <v>1</v>
      </c>
    </row>
    <row r="1410" spans="1:11" x14ac:dyDescent="0.35">
      <c r="A1410" s="11" t="s">
        <v>760</v>
      </c>
      <c r="B1410" s="10" t="s">
        <v>802</v>
      </c>
      <c r="C1410" s="10"/>
      <c r="D1410" s="11"/>
      <c r="E1410" s="11"/>
      <c r="F1410" s="60" t="s">
        <v>101</v>
      </c>
      <c r="G1410" s="44"/>
      <c r="H1410" s="116"/>
      <c r="I1410" s="192"/>
      <c r="J1410" s="48"/>
      <c r="K1410" s="10">
        <v>1</v>
      </c>
    </row>
    <row r="1411" spans="1:11" ht="13" x14ac:dyDescent="0.35">
      <c r="A1411" s="11" t="s">
        <v>760</v>
      </c>
      <c r="B1411" s="10" t="s">
        <v>802</v>
      </c>
      <c r="C1411" s="10"/>
      <c r="D1411" s="11"/>
      <c r="E1411" s="11"/>
      <c r="F1411" s="57" t="s">
        <v>333</v>
      </c>
      <c r="G1411" s="44"/>
      <c r="H1411" s="116"/>
      <c r="I1411" s="192"/>
      <c r="J1411" s="48"/>
      <c r="K1411" s="10">
        <v>1</v>
      </c>
    </row>
    <row r="1412" spans="1:11" x14ac:dyDescent="0.35">
      <c r="A1412" s="11" t="s">
        <v>760</v>
      </c>
      <c r="B1412" s="10" t="s">
        <v>802</v>
      </c>
      <c r="C1412" s="10"/>
      <c r="D1412" s="11"/>
      <c r="E1412" s="11"/>
      <c r="F1412" s="62" t="s">
        <v>372</v>
      </c>
      <c r="G1412" s="44"/>
      <c r="H1412" s="116"/>
      <c r="I1412" s="192"/>
      <c r="J1412" s="48"/>
      <c r="K1412" s="10">
        <v>1</v>
      </c>
    </row>
    <row r="1413" spans="1:11" ht="25" x14ac:dyDescent="0.35">
      <c r="A1413" s="11" t="s">
        <v>760</v>
      </c>
      <c r="B1413" s="10" t="s">
        <v>802</v>
      </c>
      <c r="C1413" s="10"/>
      <c r="D1413" s="11"/>
      <c r="E1413" s="11"/>
      <c r="F1413" s="60" t="s">
        <v>373</v>
      </c>
      <c r="G1413" s="44"/>
      <c r="H1413" s="116"/>
      <c r="I1413" s="192"/>
      <c r="J1413" s="48"/>
      <c r="K1413" s="10">
        <v>1</v>
      </c>
    </row>
    <row r="1414" spans="1:11" x14ac:dyDescent="0.35">
      <c r="A1414" s="11" t="s">
        <v>760</v>
      </c>
      <c r="B1414" s="10" t="s">
        <v>802</v>
      </c>
      <c r="C1414" s="10"/>
      <c r="D1414" s="11"/>
      <c r="E1414" s="11"/>
      <c r="F1414" s="62" t="s">
        <v>374</v>
      </c>
      <c r="G1414" s="44"/>
      <c r="H1414" s="116"/>
      <c r="I1414" s="192"/>
      <c r="J1414" s="48"/>
      <c r="K1414" s="10">
        <v>1</v>
      </c>
    </row>
    <row r="1415" spans="1:11" ht="75" x14ac:dyDescent="0.35">
      <c r="A1415" s="11" t="s">
        <v>760</v>
      </c>
      <c r="B1415" s="10" t="s">
        <v>802</v>
      </c>
      <c r="C1415" s="10"/>
      <c r="D1415" s="11"/>
      <c r="E1415" s="11"/>
      <c r="F1415" s="60" t="s">
        <v>375</v>
      </c>
      <c r="G1415" s="44"/>
      <c r="H1415" s="116"/>
      <c r="I1415" s="192"/>
      <c r="J1415" s="48"/>
      <c r="K1415" s="10">
        <v>1</v>
      </c>
    </row>
    <row r="1416" spans="1:11" x14ac:dyDescent="0.35">
      <c r="A1416" s="11" t="s">
        <v>760</v>
      </c>
      <c r="B1416" s="10" t="s">
        <v>802</v>
      </c>
      <c r="C1416" s="10"/>
      <c r="D1416" s="11"/>
      <c r="E1416" s="11"/>
      <c r="F1416" s="62" t="s">
        <v>376</v>
      </c>
      <c r="G1416" s="44"/>
      <c r="H1416" s="116"/>
      <c r="I1416" s="192"/>
      <c r="J1416" s="48"/>
      <c r="K1416" s="10">
        <v>1</v>
      </c>
    </row>
    <row r="1417" spans="1:11" ht="25" x14ac:dyDescent="0.35">
      <c r="A1417" s="11" t="s">
        <v>760</v>
      </c>
      <c r="B1417" s="10" t="s">
        <v>802</v>
      </c>
      <c r="C1417" s="10"/>
      <c r="D1417" s="11"/>
      <c r="E1417" s="11"/>
      <c r="F1417" s="60" t="s">
        <v>377</v>
      </c>
      <c r="G1417" s="44"/>
      <c r="H1417" s="116"/>
      <c r="I1417" s="192"/>
      <c r="J1417" s="48"/>
      <c r="K1417" s="10">
        <v>1</v>
      </c>
    </row>
    <row r="1418" spans="1:11" x14ac:dyDescent="0.35">
      <c r="A1418" s="11" t="s">
        <v>760</v>
      </c>
      <c r="B1418" s="10" t="s">
        <v>802</v>
      </c>
      <c r="C1418" s="10"/>
      <c r="D1418" s="11"/>
      <c r="E1418" s="11"/>
      <c r="F1418" s="62" t="s">
        <v>378</v>
      </c>
      <c r="G1418" s="44"/>
      <c r="H1418" s="116"/>
      <c r="I1418" s="192"/>
      <c r="J1418" s="48"/>
      <c r="K1418" s="10">
        <v>1</v>
      </c>
    </row>
    <row r="1419" spans="1:11" ht="37.5" x14ac:dyDescent="0.35">
      <c r="A1419" s="11" t="s">
        <v>760</v>
      </c>
      <c r="B1419" s="10" t="s">
        <v>802</v>
      </c>
      <c r="C1419" s="10"/>
      <c r="D1419" s="11"/>
      <c r="E1419" s="11"/>
      <c r="F1419" s="60" t="s">
        <v>379</v>
      </c>
      <c r="G1419" s="44"/>
      <c r="H1419" s="116"/>
      <c r="I1419" s="192"/>
      <c r="J1419" s="48"/>
      <c r="K1419" s="10">
        <v>1</v>
      </c>
    </row>
    <row r="1420" spans="1:11" x14ac:dyDescent="0.35">
      <c r="A1420" s="11" t="s">
        <v>760</v>
      </c>
      <c r="B1420" s="10" t="s">
        <v>802</v>
      </c>
      <c r="C1420" s="10"/>
      <c r="D1420" s="11"/>
      <c r="E1420" s="11"/>
      <c r="F1420" s="62" t="s">
        <v>380</v>
      </c>
      <c r="G1420" s="44"/>
      <c r="H1420" s="116"/>
      <c r="I1420" s="192"/>
      <c r="J1420" s="48"/>
      <c r="K1420" s="10">
        <v>1</v>
      </c>
    </row>
    <row r="1421" spans="1:11" ht="62.5" x14ac:dyDescent="0.35">
      <c r="A1421" s="11" t="s">
        <v>760</v>
      </c>
      <c r="B1421" s="10" t="s">
        <v>802</v>
      </c>
      <c r="C1421" s="10"/>
      <c r="D1421" s="11"/>
      <c r="E1421" s="11"/>
      <c r="F1421" s="60" t="s">
        <v>381</v>
      </c>
      <c r="G1421" s="44"/>
      <c r="H1421" s="116"/>
      <c r="I1421" s="192"/>
      <c r="J1421" s="48"/>
      <c r="K1421" s="10">
        <v>1</v>
      </c>
    </row>
    <row r="1422" spans="1:11" x14ac:dyDescent="0.35">
      <c r="A1422" s="11" t="s">
        <v>760</v>
      </c>
      <c r="B1422" s="10" t="s">
        <v>802</v>
      </c>
      <c r="C1422" s="10"/>
      <c r="D1422" s="11"/>
      <c r="E1422" s="11"/>
      <c r="F1422" s="62" t="s">
        <v>382</v>
      </c>
      <c r="G1422" s="44"/>
      <c r="H1422" s="116"/>
      <c r="I1422" s="192"/>
      <c r="J1422" s="48"/>
      <c r="K1422" s="10">
        <v>1</v>
      </c>
    </row>
    <row r="1423" spans="1:11" ht="75" x14ac:dyDescent="0.35">
      <c r="A1423" s="11" t="s">
        <v>760</v>
      </c>
      <c r="B1423" s="10" t="s">
        <v>802</v>
      </c>
      <c r="C1423" s="10"/>
      <c r="D1423" s="11"/>
      <c r="E1423" s="11"/>
      <c r="F1423" s="60" t="s">
        <v>383</v>
      </c>
      <c r="G1423" s="44"/>
      <c r="H1423" s="116"/>
      <c r="I1423" s="192"/>
      <c r="J1423" s="48"/>
      <c r="K1423" s="10">
        <v>1</v>
      </c>
    </row>
    <row r="1424" spans="1:11" x14ac:dyDescent="0.35">
      <c r="A1424" s="11" t="s">
        <v>760</v>
      </c>
      <c r="B1424" s="10" t="s">
        <v>802</v>
      </c>
      <c r="C1424" s="10"/>
      <c r="D1424" s="11"/>
      <c r="E1424" s="11"/>
      <c r="F1424" s="62" t="s">
        <v>384</v>
      </c>
      <c r="G1424" s="44"/>
      <c r="H1424" s="116"/>
      <c r="I1424" s="192"/>
      <c r="J1424" s="48"/>
      <c r="K1424" s="10">
        <v>1</v>
      </c>
    </row>
    <row r="1425" spans="1:11" ht="50" x14ac:dyDescent="0.35">
      <c r="A1425" s="11" t="s">
        <v>760</v>
      </c>
      <c r="B1425" s="10" t="s">
        <v>802</v>
      </c>
      <c r="C1425" s="10"/>
      <c r="D1425" s="11"/>
      <c r="E1425" s="11"/>
      <c r="F1425" s="60" t="s">
        <v>385</v>
      </c>
      <c r="G1425" s="44"/>
      <c r="H1425" s="116"/>
      <c r="I1425" s="192"/>
      <c r="J1425" s="48"/>
      <c r="K1425" s="10">
        <v>1</v>
      </c>
    </row>
    <row r="1426" spans="1:11" x14ac:dyDescent="0.35">
      <c r="A1426" s="11" t="s">
        <v>760</v>
      </c>
      <c r="B1426" s="10" t="s">
        <v>802</v>
      </c>
      <c r="C1426" s="10"/>
      <c r="D1426" s="11"/>
      <c r="E1426" s="11"/>
      <c r="F1426" s="62" t="s">
        <v>386</v>
      </c>
      <c r="G1426" s="44"/>
      <c r="H1426" s="116"/>
      <c r="I1426" s="192"/>
      <c r="J1426" s="48"/>
      <c r="K1426" s="10">
        <v>1</v>
      </c>
    </row>
    <row r="1427" spans="1:11" ht="37.5" x14ac:dyDescent="0.35">
      <c r="A1427" s="11" t="s">
        <v>760</v>
      </c>
      <c r="B1427" s="10" t="s">
        <v>802</v>
      </c>
      <c r="C1427" s="10"/>
      <c r="D1427" s="11"/>
      <c r="E1427" s="11"/>
      <c r="F1427" s="60" t="s">
        <v>387</v>
      </c>
      <c r="G1427" s="44"/>
      <c r="H1427" s="116"/>
      <c r="I1427" s="192"/>
      <c r="J1427" s="48"/>
      <c r="K1427" s="10">
        <v>1</v>
      </c>
    </row>
    <row r="1428" spans="1:11" x14ac:dyDescent="0.35">
      <c r="A1428" s="11" t="s">
        <v>760</v>
      </c>
      <c r="B1428" s="10" t="s">
        <v>802</v>
      </c>
      <c r="C1428" s="10"/>
      <c r="D1428" s="11"/>
      <c r="E1428" s="11"/>
      <c r="F1428" s="62" t="s">
        <v>388</v>
      </c>
      <c r="G1428" s="44"/>
      <c r="H1428" s="116"/>
      <c r="I1428" s="192"/>
      <c r="J1428" s="48"/>
      <c r="K1428" s="10">
        <v>1</v>
      </c>
    </row>
    <row r="1429" spans="1:11" ht="37.5" x14ac:dyDescent="0.35">
      <c r="A1429" s="11" t="s">
        <v>760</v>
      </c>
      <c r="B1429" s="10" t="s">
        <v>802</v>
      </c>
      <c r="C1429" s="10"/>
      <c r="D1429" s="11"/>
      <c r="E1429" s="11"/>
      <c r="F1429" s="60" t="s">
        <v>389</v>
      </c>
      <c r="G1429" s="44"/>
      <c r="H1429" s="116"/>
      <c r="I1429" s="192"/>
      <c r="J1429" s="48"/>
      <c r="K1429" s="10">
        <v>1</v>
      </c>
    </row>
    <row r="1430" spans="1:11" x14ac:dyDescent="0.35">
      <c r="A1430" s="11" t="s">
        <v>760</v>
      </c>
      <c r="B1430" s="10" t="s">
        <v>802</v>
      </c>
      <c r="C1430" s="10"/>
      <c r="D1430" s="11"/>
      <c r="E1430" s="11"/>
      <c r="F1430" s="62" t="s">
        <v>390</v>
      </c>
      <c r="G1430" s="44"/>
      <c r="H1430" s="116"/>
      <c r="I1430" s="192"/>
      <c r="J1430" s="48"/>
      <c r="K1430" s="10">
        <v>1</v>
      </c>
    </row>
    <row r="1431" spans="1:11" x14ac:dyDescent="0.35">
      <c r="A1431" s="11" t="s">
        <v>760</v>
      </c>
      <c r="B1431" s="10" t="s">
        <v>802</v>
      </c>
      <c r="C1431" s="10"/>
      <c r="D1431" s="11"/>
      <c r="E1431" s="11"/>
      <c r="F1431" s="60" t="s">
        <v>391</v>
      </c>
      <c r="G1431" s="44"/>
      <c r="H1431" s="116"/>
      <c r="I1431" s="192"/>
      <c r="J1431" s="48"/>
      <c r="K1431" s="10">
        <v>1</v>
      </c>
    </row>
    <row r="1432" spans="1:11" x14ac:dyDescent="0.35">
      <c r="A1432" s="11" t="s">
        <v>760</v>
      </c>
      <c r="B1432" s="10" t="s">
        <v>802</v>
      </c>
      <c r="C1432" s="10"/>
      <c r="D1432" s="11"/>
      <c r="E1432" s="11"/>
      <c r="F1432" s="62" t="s">
        <v>392</v>
      </c>
      <c r="G1432" s="44"/>
      <c r="H1432" s="116"/>
      <c r="I1432" s="192"/>
      <c r="J1432" s="48"/>
      <c r="K1432" s="10">
        <v>1</v>
      </c>
    </row>
    <row r="1433" spans="1:11" ht="50" x14ac:dyDescent="0.35">
      <c r="A1433" s="11" t="s">
        <v>760</v>
      </c>
      <c r="B1433" s="10" t="s">
        <v>802</v>
      </c>
      <c r="C1433" s="10"/>
      <c r="D1433" s="11"/>
      <c r="E1433" s="11"/>
      <c r="F1433" s="60" t="s">
        <v>393</v>
      </c>
      <c r="G1433" s="44"/>
      <c r="H1433" s="116"/>
      <c r="I1433" s="192"/>
      <c r="J1433" s="48"/>
      <c r="K1433" s="10">
        <v>1</v>
      </c>
    </row>
    <row r="1434" spans="1:11" ht="25" x14ac:dyDescent="0.35">
      <c r="A1434" s="11" t="s">
        <v>760</v>
      </c>
      <c r="B1434" s="10" t="s">
        <v>802</v>
      </c>
      <c r="C1434" s="10"/>
      <c r="D1434" s="11"/>
      <c r="E1434" s="11"/>
      <c r="F1434" s="60" t="s">
        <v>394</v>
      </c>
      <c r="G1434" s="44"/>
      <c r="H1434" s="116"/>
      <c r="I1434" s="192"/>
      <c r="J1434" s="48"/>
      <c r="K1434" s="10">
        <v>1</v>
      </c>
    </row>
    <row r="1435" spans="1:11" x14ac:dyDescent="0.35">
      <c r="A1435" s="11" t="s">
        <v>760</v>
      </c>
      <c r="B1435" s="10" t="s">
        <v>802</v>
      </c>
      <c r="C1435" s="10"/>
      <c r="D1435" s="11"/>
      <c r="E1435" s="11"/>
      <c r="F1435" s="62" t="s">
        <v>395</v>
      </c>
      <c r="G1435" s="44"/>
      <c r="H1435" s="116"/>
      <c r="I1435" s="192"/>
      <c r="J1435" s="48"/>
      <c r="K1435" s="10">
        <v>1</v>
      </c>
    </row>
    <row r="1436" spans="1:11" ht="25" x14ac:dyDescent="0.35">
      <c r="A1436" s="11" t="s">
        <v>760</v>
      </c>
      <c r="B1436" s="10" t="s">
        <v>802</v>
      </c>
      <c r="C1436" s="10"/>
      <c r="D1436" s="11"/>
      <c r="E1436" s="11"/>
      <c r="F1436" s="60" t="s">
        <v>396</v>
      </c>
      <c r="G1436" s="44"/>
      <c r="H1436" s="116"/>
      <c r="I1436" s="192"/>
      <c r="J1436" s="48"/>
      <c r="K1436" s="10">
        <v>1</v>
      </c>
    </row>
    <row r="1437" spans="1:11" ht="25" x14ac:dyDescent="0.35">
      <c r="A1437" s="11" t="s">
        <v>760</v>
      </c>
      <c r="B1437" s="10" t="s">
        <v>802</v>
      </c>
      <c r="C1437" s="10"/>
      <c r="D1437" s="11"/>
      <c r="E1437" s="11"/>
      <c r="F1437" s="60" t="s">
        <v>397</v>
      </c>
      <c r="G1437" s="44"/>
      <c r="H1437" s="116"/>
      <c r="I1437" s="192"/>
      <c r="J1437" s="48"/>
      <c r="K1437" s="10">
        <v>1</v>
      </c>
    </row>
    <row r="1438" spans="1:11" x14ac:dyDescent="0.35">
      <c r="A1438" s="11" t="s">
        <v>760</v>
      </c>
      <c r="B1438" s="10" t="s">
        <v>802</v>
      </c>
      <c r="C1438" s="10"/>
      <c r="D1438" s="11"/>
      <c r="E1438" s="11"/>
      <c r="F1438" s="62" t="s">
        <v>398</v>
      </c>
      <c r="G1438" s="44"/>
      <c r="H1438" s="116"/>
      <c r="I1438" s="192"/>
      <c r="J1438" s="48"/>
      <c r="K1438" s="10">
        <v>1</v>
      </c>
    </row>
    <row r="1439" spans="1:11" ht="50" x14ac:dyDescent="0.35">
      <c r="A1439" s="11" t="s">
        <v>760</v>
      </c>
      <c r="B1439" s="10" t="s">
        <v>802</v>
      </c>
      <c r="C1439" s="10"/>
      <c r="D1439" s="11"/>
      <c r="E1439" s="11"/>
      <c r="F1439" s="60" t="s">
        <v>399</v>
      </c>
      <c r="G1439" s="44"/>
      <c r="H1439" s="116"/>
      <c r="I1439" s="192"/>
      <c r="J1439" s="48"/>
      <c r="K1439" s="10">
        <v>1</v>
      </c>
    </row>
    <row r="1440" spans="1:11" ht="50" x14ac:dyDescent="0.35">
      <c r="A1440" s="11" t="s">
        <v>760</v>
      </c>
      <c r="B1440" s="10" t="s">
        <v>802</v>
      </c>
      <c r="C1440" s="10"/>
      <c r="D1440" s="11"/>
      <c r="E1440" s="11"/>
      <c r="F1440" s="60" t="s">
        <v>400</v>
      </c>
      <c r="G1440" s="44"/>
      <c r="H1440" s="116"/>
      <c r="I1440" s="192"/>
      <c r="J1440" s="48"/>
      <c r="K1440" s="10">
        <v>1</v>
      </c>
    </row>
    <row r="1441" spans="1:11" ht="37.5" x14ac:dyDescent="0.35">
      <c r="A1441" s="11" t="s">
        <v>760</v>
      </c>
      <c r="B1441" s="10" t="s">
        <v>802</v>
      </c>
      <c r="C1441" s="10"/>
      <c r="D1441" s="11"/>
      <c r="E1441" s="11"/>
      <c r="F1441" s="60" t="s">
        <v>401</v>
      </c>
      <c r="G1441" s="44"/>
      <c r="H1441" s="116"/>
      <c r="I1441" s="192"/>
      <c r="J1441" s="48"/>
      <c r="K1441" s="10">
        <v>1</v>
      </c>
    </row>
    <row r="1442" spans="1:11" ht="25" x14ac:dyDescent="0.35">
      <c r="A1442" s="11" t="s">
        <v>760</v>
      </c>
      <c r="B1442" s="10" t="s">
        <v>802</v>
      </c>
      <c r="C1442" s="10"/>
      <c r="D1442" s="11"/>
      <c r="E1442" s="11"/>
      <c r="F1442" s="60" t="s">
        <v>402</v>
      </c>
      <c r="G1442" s="44"/>
      <c r="H1442" s="116"/>
      <c r="I1442" s="192"/>
      <c r="J1442" s="48"/>
      <c r="K1442" s="10">
        <v>1</v>
      </c>
    </row>
    <row r="1443" spans="1:11" x14ac:dyDescent="0.35">
      <c r="A1443" s="11" t="s">
        <v>760</v>
      </c>
      <c r="B1443" s="10" t="s">
        <v>802</v>
      </c>
      <c r="C1443" s="10"/>
      <c r="D1443" s="11"/>
      <c r="E1443" s="11"/>
      <c r="F1443" s="62" t="s">
        <v>403</v>
      </c>
      <c r="G1443" s="44"/>
      <c r="H1443" s="116"/>
      <c r="I1443" s="192"/>
      <c r="J1443" s="48"/>
      <c r="K1443" s="10">
        <v>1</v>
      </c>
    </row>
    <row r="1444" spans="1:11" ht="62.5" x14ac:dyDescent="0.35">
      <c r="A1444" s="11" t="s">
        <v>760</v>
      </c>
      <c r="B1444" s="10" t="s">
        <v>802</v>
      </c>
      <c r="C1444" s="10"/>
      <c r="D1444" s="11"/>
      <c r="E1444" s="11"/>
      <c r="F1444" s="60" t="s">
        <v>404</v>
      </c>
      <c r="G1444" s="44"/>
      <c r="H1444" s="116"/>
      <c r="I1444" s="192"/>
      <c r="J1444" s="48"/>
      <c r="K1444" s="10">
        <v>1</v>
      </c>
    </row>
    <row r="1445" spans="1:11" ht="13" x14ac:dyDescent="0.35">
      <c r="A1445" s="11" t="s">
        <v>760</v>
      </c>
      <c r="B1445" s="10" t="s">
        <v>802</v>
      </c>
      <c r="C1445" s="10"/>
      <c r="D1445" s="11"/>
      <c r="E1445" s="61"/>
      <c r="F1445" s="193" t="s">
        <v>672</v>
      </c>
      <c r="G1445" s="44"/>
      <c r="H1445" s="194"/>
      <c r="I1445" s="192"/>
      <c r="J1445" s="195"/>
      <c r="K1445" s="10">
        <v>1</v>
      </c>
    </row>
    <row r="1446" spans="1:11" ht="13" x14ac:dyDescent="0.35">
      <c r="A1446" s="11" t="s">
        <v>760</v>
      </c>
      <c r="B1446" s="10" t="s">
        <v>802</v>
      </c>
      <c r="C1446" s="10"/>
      <c r="D1446" s="11"/>
      <c r="E1446" s="61"/>
      <c r="F1446" s="193" t="s">
        <v>673</v>
      </c>
      <c r="G1446" s="44"/>
      <c r="H1446" s="197"/>
      <c r="I1446" s="192"/>
      <c r="J1446" s="195"/>
      <c r="K1446" s="10">
        <v>1</v>
      </c>
    </row>
    <row r="1447" spans="1:11" ht="13" x14ac:dyDescent="0.35">
      <c r="A1447" s="11" t="s">
        <v>760</v>
      </c>
      <c r="B1447" s="10" t="s">
        <v>802</v>
      </c>
      <c r="C1447" s="10"/>
      <c r="D1447" s="11"/>
      <c r="E1447" s="61"/>
      <c r="F1447" s="193" t="s">
        <v>674</v>
      </c>
      <c r="G1447" s="44"/>
      <c r="H1447" s="194"/>
      <c r="I1447" s="192"/>
      <c r="J1447" s="195"/>
      <c r="K1447" s="10">
        <v>1</v>
      </c>
    </row>
    <row r="1448" spans="1:11" ht="50" x14ac:dyDescent="0.35">
      <c r="A1448" s="11" t="s">
        <v>760</v>
      </c>
      <c r="B1448" s="10" t="s">
        <v>802</v>
      </c>
      <c r="C1448" s="10"/>
      <c r="D1448" s="11" t="s">
        <v>20</v>
      </c>
      <c r="E1448" s="61"/>
      <c r="F1448" s="60" t="s">
        <v>675</v>
      </c>
      <c r="G1448" s="44" t="s">
        <v>175</v>
      </c>
      <c r="H1448" s="194">
        <v>2</v>
      </c>
      <c r="I1448" s="47">
        <v>3700</v>
      </c>
      <c r="J1448" s="48">
        <f>H1448*I1448</f>
        <v>7400</v>
      </c>
      <c r="K1448" s="10">
        <v>1</v>
      </c>
    </row>
    <row r="1449" spans="1:11" ht="13" x14ac:dyDescent="0.35">
      <c r="A1449" s="11" t="s">
        <v>760</v>
      </c>
      <c r="B1449" s="10" t="s">
        <v>802</v>
      </c>
      <c r="C1449" s="10"/>
      <c r="D1449" s="11"/>
      <c r="E1449" s="61"/>
      <c r="F1449" s="193" t="s">
        <v>676</v>
      </c>
      <c r="G1449" s="44"/>
      <c r="H1449" s="197"/>
      <c r="I1449" s="192"/>
      <c r="J1449" s="48"/>
      <c r="K1449" s="10">
        <v>1</v>
      </c>
    </row>
    <row r="1450" spans="1:11" ht="37.5" x14ac:dyDescent="0.35">
      <c r="A1450" s="11" t="s">
        <v>760</v>
      </c>
      <c r="B1450" s="10" t="s">
        <v>802</v>
      </c>
      <c r="C1450" s="10"/>
      <c r="D1450" s="11" t="s">
        <v>29</v>
      </c>
      <c r="E1450" s="61"/>
      <c r="F1450" s="198" t="s">
        <v>677</v>
      </c>
      <c r="G1450" s="44" t="s">
        <v>175</v>
      </c>
      <c r="H1450" s="197">
        <v>3</v>
      </c>
      <c r="I1450" s="192">
        <v>1950</v>
      </c>
      <c r="J1450" s="48">
        <f>I1450*H1450</f>
        <v>5850</v>
      </c>
      <c r="K1450" s="10">
        <v>1</v>
      </c>
    </row>
    <row r="1451" spans="1:11" ht="25" x14ac:dyDescent="0.35">
      <c r="A1451" s="11" t="s">
        <v>760</v>
      </c>
      <c r="B1451" s="10" t="s">
        <v>802</v>
      </c>
      <c r="C1451" s="10"/>
      <c r="D1451" s="11" t="s">
        <v>32</v>
      </c>
      <c r="E1451" s="199"/>
      <c r="F1451" s="198" t="s">
        <v>678</v>
      </c>
      <c r="G1451" s="200" t="s">
        <v>175</v>
      </c>
      <c r="H1451" s="201">
        <v>3</v>
      </c>
      <c r="I1451" s="192">
        <v>500</v>
      </c>
      <c r="J1451" s="203">
        <f>H1451*I1451</f>
        <v>1500</v>
      </c>
      <c r="K1451" s="10">
        <v>1</v>
      </c>
    </row>
    <row r="1452" spans="1:11" ht="25" x14ac:dyDescent="0.35">
      <c r="A1452" s="11" t="s">
        <v>760</v>
      </c>
      <c r="B1452" s="10" t="s">
        <v>802</v>
      </c>
      <c r="C1452" s="10"/>
      <c r="D1452" s="11" t="s">
        <v>36</v>
      </c>
      <c r="E1452" s="199"/>
      <c r="F1452" s="198" t="s">
        <v>679</v>
      </c>
      <c r="G1452" s="200" t="s">
        <v>175</v>
      </c>
      <c r="H1452" s="201">
        <v>3</v>
      </c>
      <c r="I1452" s="192">
        <v>650</v>
      </c>
      <c r="J1452" s="203">
        <f>H1452*I1452</f>
        <v>1950</v>
      </c>
      <c r="K1452" s="10">
        <v>1</v>
      </c>
    </row>
    <row r="1453" spans="1:11" ht="13" x14ac:dyDescent="0.35">
      <c r="A1453" s="11" t="s">
        <v>760</v>
      </c>
      <c r="B1453" s="10" t="s">
        <v>412</v>
      </c>
      <c r="C1453" s="10"/>
      <c r="D1453" s="11"/>
      <c r="E1453" s="11"/>
      <c r="F1453" s="262" t="s">
        <v>762</v>
      </c>
      <c r="G1453" s="44"/>
      <c r="H1453" s="45"/>
      <c r="I1453" s="47"/>
      <c r="J1453" s="48"/>
      <c r="K1453" s="10">
        <v>1</v>
      </c>
    </row>
    <row r="1454" spans="1:11" ht="13" x14ac:dyDescent="0.35">
      <c r="A1454" s="11" t="s">
        <v>760</v>
      </c>
      <c r="B1454" s="10" t="s">
        <v>412</v>
      </c>
      <c r="C1454" s="10"/>
      <c r="D1454" s="11"/>
      <c r="E1454" s="11"/>
      <c r="F1454" s="262" t="s">
        <v>763</v>
      </c>
      <c r="G1454" s="44"/>
      <c r="H1454" s="45"/>
      <c r="I1454" s="47"/>
      <c r="J1454" s="48"/>
      <c r="K1454" s="10">
        <v>1</v>
      </c>
    </row>
    <row r="1455" spans="1:11" ht="13" x14ac:dyDescent="0.35">
      <c r="A1455" s="11" t="s">
        <v>760</v>
      </c>
      <c r="B1455" s="10" t="s">
        <v>412</v>
      </c>
      <c r="C1455" s="10"/>
      <c r="D1455" s="11"/>
      <c r="E1455" s="11"/>
      <c r="F1455" s="43" t="s">
        <v>413</v>
      </c>
      <c r="G1455" s="44"/>
      <c r="H1455" s="45"/>
      <c r="I1455" s="47"/>
      <c r="J1455" s="48"/>
      <c r="K1455" s="10">
        <v>1</v>
      </c>
    </row>
    <row r="1456" spans="1:11" ht="13" x14ac:dyDescent="0.35">
      <c r="A1456" s="11" t="s">
        <v>760</v>
      </c>
      <c r="B1456" s="10" t="s">
        <v>412</v>
      </c>
      <c r="C1456" s="10"/>
      <c r="D1456" s="11"/>
      <c r="E1456" s="11"/>
      <c r="F1456" s="43" t="s">
        <v>414</v>
      </c>
      <c r="G1456" s="44"/>
      <c r="H1456" s="45"/>
      <c r="I1456" s="47"/>
      <c r="J1456" s="48"/>
      <c r="K1456" s="10">
        <v>1</v>
      </c>
    </row>
    <row r="1457" spans="1:11" ht="13" x14ac:dyDescent="0.35">
      <c r="A1457" s="11" t="s">
        <v>760</v>
      </c>
      <c r="B1457" s="10" t="s">
        <v>412</v>
      </c>
      <c r="C1457" s="10"/>
      <c r="D1457" s="11"/>
      <c r="E1457" s="11"/>
      <c r="F1457" s="57" t="s">
        <v>100</v>
      </c>
      <c r="G1457" s="44"/>
      <c r="H1457" s="45"/>
      <c r="I1457" s="47"/>
      <c r="J1457" s="48"/>
      <c r="K1457" s="10">
        <v>1</v>
      </c>
    </row>
    <row r="1458" spans="1:11" x14ac:dyDescent="0.35">
      <c r="A1458" s="11" t="s">
        <v>760</v>
      </c>
      <c r="B1458" s="10" t="s">
        <v>412</v>
      </c>
      <c r="C1458" s="10"/>
      <c r="D1458" s="11"/>
      <c r="E1458" s="11"/>
      <c r="F1458" s="60" t="s">
        <v>101</v>
      </c>
      <c r="G1458" s="44"/>
      <c r="H1458" s="45"/>
      <c r="I1458" s="47"/>
      <c r="J1458" s="48"/>
      <c r="K1458" s="10">
        <v>1</v>
      </c>
    </row>
    <row r="1459" spans="1:11" ht="13" x14ac:dyDescent="0.35">
      <c r="A1459" s="11" t="s">
        <v>760</v>
      </c>
      <c r="B1459" s="10" t="s">
        <v>412</v>
      </c>
      <c r="C1459" s="10"/>
      <c r="D1459" s="11"/>
      <c r="E1459" s="11"/>
      <c r="F1459" s="141" t="s">
        <v>684</v>
      </c>
      <c r="G1459" s="44"/>
      <c r="H1459" s="45"/>
      <c r="I1459" s="47"/>
      <c r="J1459" s="48"/>
      <c r="K1459" s="10">
        <v>1</v>
      </c>
    </row>
    <row r="1460" spans="1:11" ht="25" x14ac:dyDescent="0.35">
      <c r="A1460" s="11" t="s">
        <v>760</v>
      </c>
      <c r="B1460" s="10" t="s">
        <v>412</v>
      </c>
      <c r="C1460" s="10"/>
      <c r="D1460" s="11" t="s">
        <v>20</v>
      </c>
      <c r="E1460" s="11"/>
      <c r="F1460" s="142" t="s">
        <v>803</v>
      </c>
      <c r="G1460" s="44" t="s">
        <v>110</v>
      </c>
      <c r="H1460" s="45">
        <v>4</v>
      </c>
      <c r="I1460" s="47">
        <v>650</v>
      </c>
      <c r="J1460" s="48">
        <f>H1460*I1460</f>
        <v>2600</v>
      </c>
      <c r="K1460" s="10">
        <v>1</v>
      </c>
    </row>
    <row r="1461" spans="1:11" ht="13" x14ac:dyDescent="0.35">
      <c r="A1461" s="11" t="s">
        <v>760</v>
      </c>
      <c r="B1461" s="10" t="s">
        <v>418</v>
      </c>
      <c r="C1461" s="10"/>
      <c r="D1461" s="11"/>
      <c r="E1461" s="11"/>
      <c r="F1461" s="262" t="s">
        <v>762</v>
      </c>
      <c r="G1461" s="44"/>
      <c r="H1461" s="45"/>
      <c r="I1461" s="47"/>
      <c r="J1461" s="48"/>
      <c r="K1461" s="10">
        <v>1</v>
      </c>
    </row>
    <row r="1462" spans="1:11" ht="13" x14ac:dyDescent="0.35">
      <c r="A1462" s="11" t="s">
        <v>760</v>
      </c>
      <c r="B1462" s="10" t="s">
        <v>418</v>
      </c>
      <c r="C1462" s="10"/>
      <c r="D1462" s="11"/>
      <c r="E1462" s="11"/>
      <c r="F1462" s="262" t="s">
        <v>763</v>
      </c>
      <c r="G1462" s="44"/>
      <c r="H1462" s="45"/>
      <c r="I1462" s="47"/>
      <c r="J1462" s="48"/>
      <c r="K1462" s="10">
        <v>1</v>
      </c>
    </row>
    <row r="1463" spans="1:11" ht="13" x14ac:dyDescent="0.35">
      <c r="A1463" s="11" t="s">
        <v>760</v>
      </c>
      <c r="B1463" s="10" t="s">
        <v>418</v>
      </c>
      <c r="C1463" s="10"/>
      <c r="D1463" s="11"/>
      <c r="E1463" s="11"/>
      <c r="F1463" s="43" t="s">
        <v>419</v>
      </c>
      <c r="G1463" s="44"/>
      <c r="H1463" s="45"/>
      <c r="I1463" s="47"/>
      <c r="J1463" s="48"/>
      <c r="K1463" s="10">
        <v>1</v>
      </c>
    </row>
    <row r="1464" spans="1:11" ht="13" x14ac:dyDescent="0.35">
      <c r="A1464" s="11" t="s">
        <v>760</v>
      </c>
      <c r="B1464" s="10" t="s">
        <v>418</v>
      </c>
      <c r="C1464" s="10"/>
      <c r="D1464" s="11"/>
      <c r="E1464" s="11"/>
      <c r="F1464" s="43" t="s">
        <v>420</v>
      </c>
      <c r="G1464" s="44"/>
      <c r="H1464" s="45"/>
      <c r="I1464" s="47"/>
      <c r="J1464" s="48"/>
      <c r="K1464" s="10">
        <v>1</v>
      </c>
    </row>
    <row r="1465" spans="1:11" ht="13" x14ac:dyDescent="0.35">
      <c r="A1465" s="11" t="s">
        <v>760</v>
      </c>
      <c r="B1465" s="10" t="s">
        <v>418</v>
      </c>
      <c r="C1465" s="10"/>
      <c r="D1465" s="11"/>
      <c r="E1465" s="11"/>
      <c r="F1465" s="57" t="s">
        <v>100</v>
      </c>
      <c r="G1465" s="44"/>
      <c r="H1465" s="45"/>
      <c r="I1465" s="47"/>
      <c r="J1465" s="48"/>
      <c r="K1465" s="10">
        <v>1</v>
      </c>
    </row>
    <row r="1466" spans="1:11" x14ac:dyDescent="0.35">
      <c r="A1466" s="11" t="s">
        <v>760</v>
      </c>
      <c r="B1466" s="10" t="s">
        <v>418</v>
      </c>
      <c r="C1466" s="10"/>
      <c r="D1466" s="11"/>
      <c r="E1466" s="11"/>
      <c r="F1466" s="60" t="s">
        <v>101</v>
      </c>
      <c r="G1466" s="44"/>
      <c r="H1466" s="45"/>
      <c r="I1466" s="47"/>
      <c r="J1466" s="48"/>
      <c r="K1466" s="10">
        <v>1</v>
      </c>
    </row>
    <row r="1467" spans="1:11" ht="13" x14ac:dyDescent="0.35">
      <c r="A1467" s="11" t="s">
        <v>760</v>
      </c>
      <c r="B1467" s="10" t="s">
        <v>418</v>
      </c>
      <c r="C1467" s="10"/>
      <c r="D1467" s="11"/>
      <c r="E1467" s="11"/>
      <c r="F1467" s="57" t="s">
        <v>333</v>
      </c>
      <c r="G1467" s="44"/>
      <c r="H1467" s="45"/>
      <c r="I1467" s="47"/>
      <c r="J1467" s="48"/>
      <c r="K1467" s="10">
        <v>1</v>
      </c>
    </row>
    <row r="1468" spans="1:11" ht="112.5" x14ac:dyDescent="0.35">
      <c r="A1468" s="11" t="s">
        <v>760</v>
      </c>
      <c r="B1468" s="10" t="s">
        <v>418</v>
      </c>
      <c r="C1468" s="10"/>
      <c r="D1468" s="11"/>
      <c r="E1468" s="11"/>
      <c r="F1468" s="60" t="s">
        <v>421</v>
      </c>
      <c r="G1468" s="44"/>
      <c r="H1468" s="117"/>
      <c r="I1468" s="47"/>
      <c r="J1468" s="48"/>
      <c r="K1468" s="10">
        <v>1</v>
      </c>
    </row>
    <row r="1469" spans="1:11" x14ac:dyDescent="0.35">
      <c r="A1469" s="11" t="s">
        <v>760</v>
      </c>
      <c r="B1469" s="10" t="s">
        <v>418</v>
      </c>
      <c r="C1469" s="10"/>
      <c r="D1469" s="11"/>
      <c r="E1469" s="11"/>
      <c r="F1469" s="62" t="s">
        <v>422</v>
      </c>
      <c r="G1469" s="44"/>
      <c r="H1469" s="45"/>
      <c r="I1469" s="47"/>
      <c r="J1469" s="48"/>
      <c r="K1469" s="10">
        <v>1</v>
      </c>
    </row>
    <row r="1470" spans="1:11" x14ac:dyDescent="0.35">
      <c r="A1470" s="11" t="s">
        <v>760</v>
      </c>
      <c r="B1470" s="10" t="s">
        <v>418</v>
      </c>
      <c r="C1470" s="10"/>
      <c r="D1470" s="11"/>
      <c r="E1470" s="11"/>
      <c r="F1470" s="62" t="s">
        <v>423</v>
      </c>
      <c r="G1470" s="44"/>
      <c r="H1470" s="45"/>
      <c r="I1470" s="47"/>
      <c r="J1470" s="48"/>
      <c r="K1470" s="10">
        <v>1</v>
      </c>
    </row>
    <row r="1471" spans="1:11" ht="50" x14ac:dyDescent="0.35">
      <c r="A1471" s="11" t="s">
        <v>760</v>
      </c>
      <c r="B1471" s="10" t="s">
        <v>418</v>
      </c>
      <c r="C1471" s="10"/>
      <c r="D1471" s="11"/>
      <c r="E1471" s="11"/>
      <c r="F1471" s="60" t="s">
        <v>424</v>
      </c>
      <c r="G1471" s="44"/>
      <c r="H1471" s="45"/>
      <c r="I1471" s="47"/>
      <c r="J1471" s="48"/>
      <c r="K1471" s="10">
        <v>1</v>
      </c>
    </row>
    <row r="1472" spans="1:11" x14ac:dyDescent="0.35">
      <c r="A1472" s="11" t="s">
        <v>760</v>
      </c>
      <c r="B1472" s="10" t="s">
        <v>418</v>
      </c>
      <c r="C1472" s="10"/>
      <c r="D1472" s="11"/>
      <c r="E1472" s="11"/>
      <c r="F1472" s="62" t="s">
        <v>425</v>
      </c>
      <c r="G1472" s="44"/>
      <c r="H1472" s="45"/>
      <c r="I1472" s="47"/>
      <c r="J1472" s="48"/>
      <c r="K1472" s="10">
        <v>1</v>
      </c>
    </row>
    <row r="1473" spans="1:11" ht="25" x14ac:dyDescent="0.35">
      <c r="A1473" s="11" t="s">
        <v>760</v>
      </c>
      <c r="B1473" s="10" t="s">
        <v>418</v>
      </c>
      <c r="C1473" s="10"/>
      <c r="D1473" s="11"/>
      <c r="E1473" s="11"/>
      <c r="F1473" s="143" t="s">
        <v>426</v>
      </c>
      <c r="G1473" s="44"/>
      <c r="H1473" s="45"/>
      <c r="I1473" s="47"/>
      <c r="J1473" s="48"/>
      <c r="K1473" s="10">
        <v>1</v>
      </c>
    </row>
    <row r="1474" spans="1:11" ht="25" x14ac:dyDescent="0.35">
      <c r="A1474" s="11" t="s">
        <v>760</v>
      </c>
      <c r="B1474" s="10" t="s">
        <v>418</v>
      </c>
      <c r="C1474" s="10"/>
      <c r="D1474" s="11"/>
      <c r="E1474" s="11"/>
      <c r="F1474" s="143" t="s">
        <v>427</v>
      </c>
      <c r="G1474" s="44"/>
      <c r="H1474" s="45"/>
      <c r="I1474" s="47"/>
      <c r="J1474" s="48"/>
      <c r="K1474" s="10">
        <v>1</v>
      </c>
    </row>
    <row r="1475" spans="1:11" x14ac:dyDescent="0.35">
      <c r="A1475" s="11" t="s">
        <v>760</v>
      </c>
      <c r="B1475" s="10" t="s">
        <v>418</v>
      </c>
      <c r="C1475" s="10"/>
      <c r="D1475" s="11"/>
      <c r="E1475" s="11"/>
      <c r="F1475" s="62" t="s">
        <v>428</v>
      </c>
      <c r="G1475" s="44"/>
      <c r="H1475" s="45"/>
      <c r="I1475" s="47"/>
      <c r="J1475" s="48"/>
      <c r="K1475" s="10">
        <v>1</v>
      </c>
    </row>
    <row r="1476" spans="1:11" ht="37.5" x14ac:dyDescent="0.35">
      <c r="A1476" s="11" t="s">
        <v>760</v>
      </c>
      <c r="B1476" s="10" t="s">
        <v>418</v>
      </c>
      <c r="C1476" s="10"/>
      <c r="D1476" s="11"/>
      <c r="E1476" s="11"/>
      <c r="F1476" s="143" t="s">
        <v>429</v>
      </c>
      <c r="G1476" s="44"/>
      <c r="H1476" s="45"/>
      <c r="I1476" s="47"/>
      <c r="J1476" s="48"/>
      <c r="K1476" s="10">
        <v>1</v>
      </c>
    </row>
    <row r="1477" spans="1:11" ht="13" x14ac:dyDescent="0.35">
      <c r="A1477" s="11" t="s">
        <v>760</v>
      </c>
      <c r="B1477" s="10" t="s">
        <v>418</v>
      </c>
      <c r="C1477" s="10"/>
      <c r="D1477" s="11"/>
      <c r="E1477" s="11"/>
      <c r="F1477" s="57" t="s">
        <v>430</v>
      </c>
      <c r="G1477" s="44"/>
      <c r="H1477" s="45"/>
      <c r="I1477" s="47"/>
      <c r="J1477" s="48"/>
      <c r="K1477" s="10">
        <v>1</v>
      </c>
    </row>
    <row r="1478" spans="1:11" ht="13" x14ac:dyDescent="0.35">
      <c r="A1478" s="11" t="s">
        <v>760</v>
      </c>
      <c r="B1478" s="10" t="s">
        <v>418</v>
      </c>
      <c r="C1478" s="10"/>
      <c r="D1478" s="11"/>
      <c r="E1478" s="11"/>
      <c r="F1478" s="57" t="s">
        <v>431</v>
      </c>
      <c r="G1478" s="44"/>
      <c r="H1478" s="45"/>
      <c r="I1478" s="47"/>
      <c r="J1478" s="48"/>
      <c r="K1478" s="10">
        <v>1</v>
      </c>
    </row>
    <row r="1479" spans="1:11" ht="26" x14ac:dyDescent="0.35">
      <c r="A1479" s="11" t="s">
        <v>760</v>
      </c>
      <c r="B1479" s="10" t="s">
        <v>418</v>
      </c>
      <c r="C1479" s="10"/>
      <c r="D1479" s="11"/>
      <c r="E1479" s="11"/>
      <c r="F1479" s="57" t="s">
        <v>432</v>
      </c>
      <c r="G1479" s="44"/>
      <c r="H1479" s="45"/>
      <c r="I1479" s="47"/>
      <c r="J1479" s="48"/>
      <c r="K1479" s="10">
        <v>1</v>
      </c>
    </row>
    <row r="1480" spans="1:11" ht="14.5" x14ac:dyDescent="0.35">
      <c r="A1480" s="11" t="s">
        <v>760</v>
      </c>
      <c r="B1480" s="10" t="s">
        <v>418</v>
      </c>
      <c r="C1480" s="10"/>
      <c r="D1480" s="11" t="s">
        <v>20</v>
      </c>
      <c r="E1480" s="11"/>
      <c r="F1480" s="60" t="s">
        <v>433</v>
      </c>
      <c r="G1480" s="44" t="s">
        <v>110</v>
      </c>
      <c r="H1480" s="45">
        <f>H1404</f>
        <v>148</v>
      </c>
      <c r="I1480" s="47">
        <v>85</v>
      </c>
      <c r="J1480" s="48">
        <f>H1480*I1480</f>
        <v>12580</v>
      </c>
      <c r="K1480" s="10">
        <v>1</v>
      </c>
    </row>
    <row r="1481" spans="1:11" ht="14.5" x14ac:dyDescent="0.35">
      <c r="A1481" s="11" t="s">
        <v>760</v>
      </c>
      <c r="B1481" s="10" t="s">
        <v>418</v>
      </c>
      <c r="C1481" s="10"/>
      <c r="D1481" s="11" t="s">
        <v>26</v>
      </c>
      <c r="E1481" s="11"/>
      <c r="F1481" s="60" t="s">
        <v>434</v>
      </c>
      <c r="G1481" s="44" t="s">
        <v>110</v>
      </c>
      <c r="H1481" s="45">
        <f>H1480*0.15</f>
        <v>22.2</v>
      </c>
      <c r="I1481" s="47">
        <v>85</v>
      </c>
      <c r="J1481" s="48">
        <f>H1481*I1481</f>
        <v>1887</v>
      </c>
      <c r="K1481" s="10">
        <v>1</v>
      </c>
    </row>
    <row r="1482" spans="1:11" ht="13" x14ac:dyDescent="0.35">
      <c r="A1482" s="11" t="s">
        <v>760</v>
      </c>
      <c r="B1482" s="10" t="s">
        <v>418</v>
      </c>
      <c r="C1482" s="10"/>
      <c r="D1482" s="11"/>
      <c r="E1482" s="11"/>
      <c r="F1482" s="57" t="s">
        <v>435</v>
      </c>
      <c r="G1482" s="44"/>
      <c r="H1482" s="45"/>
      <c r="I1482" s="47"/>
      <c r="J1482" s="48"/>
      <c r="K1482" s="10">
        <v>1</v>
      </c>
    </row>
    <row r="1483" spans="1:11" ht="26" x14ac:dyDescent="0.35">
      <c r="A1483" s="11" t="s">
        <v>760</v>
      </c>
      <c r="B1483" s="10" t="s">
        <v>418</v>
      </c>
      <c r="C1483" s="10"/>
      <c r="D1483" s="11"/>
      <c r="E1483" s="11"/>
      <c r="F1483" s="57" t="s">
        <v>436</v>
      </c>
      <c r="G1483" s="44"/>
      <c r="H1483" s="45"/>
      <c r="I1483" s="47"/>
      <c r="J1483" s="48"/>
      <c r="K1483" s="10">
        <v>1</v>
      </c>
    </row>
    <row r="1484" spans="1:11" ht="14.5" x14ac:dyDescent="0.35">
      <c r="A1484" s="11" t="s">
        <v>760</v>
      </c>
      <c r="B1484" s="10" t="s">
        <v>418</v>
      </c>
      <c r="C1484" s="10"/>
      <c r="D1484" s="11" t="s">
        <v>29</v>
      </c>
      <c r="E1484" s="11"/>
      <c r="F1484" s="60" t="s">
        <v>437</v>
      </c>
      <c r="G1484" s="44" t="s">
        <v>110</v>
      </c>
      <c r="H1484" s="45">
        <f>H1336</f>
        <v>62</v>
      </c>
      <c r="I1484" s="47">
        <v>85</v>
      </c>
      <c r="J1484" s="48">
        <f>H1484*I1484</f>
        <v>5270</v>
      </c>
      <c r="K1484" s="10">
        <v>1</v>
      </c>
    </row>
    <row r="1485" spans="1:11" ht="14.5" x14ac:dyDescent="0.35">
      <c r="A1485" s="11" t="s">
        <v>760</v>
      </c>
      <c r="B1485" s="10" t="s">
        <v>418</v>
      </c>
      <c r="C1485" s="10"/>
      <c r="D1485" s="11" t="s">
        <v>32</v>
      </c>
      <c r="E1485" s="11"/>
      <c r="F1485" s="60" t="s">
        <v>438</v>
      </c>
      <c r="G1485" s="44" t="s">
        <v>110</v>
      </c>
      <c r="H1485" s="45">
        <f>H1339*0.3</f>
        <v>21.3</v>
      </c>
      <c r="I1485" s="47">
        <v>85</v>
      </c>
      <c r="J1485" s="48">
        <f>H1485*I1485</f>
        <v>1810.5</v>
      </c>
      <c r="K1485" s="10">
        <v>1</v>
      </c>
    </row>
    <row r="1486" spans="1:11" ht="13" x14ac:dyDescent="0.35">
      <c r="A1486" s="11" t="s">
        <v>760</v>
      </c>
      <c r="B1486" s="10" t="s">
        <v>418</v>
      </c>
      <c r="C1486" s="10"/>
      <c r="D1486" s="11"/>
      <c r="E1486" s="134"/>
      <c r="F1486" s="57" t="s">
        <v>440</v>
      </c>
      <c r="G1486" s="44"/>
      <c r="H1486" s="122"/>
      <c r="I1486" s="121"/>
      <c r="J1486" s="48"/>
      <c r="K1486" s="10">
        <v>1</v>
      </c>
    </row>
    <row r="1487" spans="1:11" ht="26" x14ac:dyDescent="0.35">
      <c r="A1487" s="11" t="s">
        <v>760</v>
      </c>
      <c r="B1487" s="10" t="s">
        <v>418</v>
      </c>
      <c r="C1487" s="10"/>
      <c r="D1487" s="11"/>
      <c r="E1487" s="134"/>
      <c r="F1487" s="57" t="s">
        <v>441</v>
      </c>
      <c r="G1487" s="44"/>
      <c r="H1487" s="122"/>
      <c r="I1487" s="121"/>
      <c r="J1487" s="48"/>
      <c r="K1487" s="10">
        <v>1</v>
      </c>
    </row>
    <row r="1488" spans="1:11" ht="14.5" x14ac:dyDescent="0.35">
      <c r="A1488" s="11" t="s">
        <v>760</v>
      </c>
      <c r="B1488" s="10" t="s">
        <v>418</v>
      </c>
      <c r="C1488" s="10"/>
      <c r="D1488" s="11" t="s">
        <v>36</v>
      </c>
      <c r="E1488" s="134"/>
      <c r="F1488" s="60" t="s">
        <v>442</v>
      </c>
      <c r="G1488" s="44" t="s">
        <v>110</v>
      </c>
      <c r="H1488" s="122">
        <v>40</v>
      </c>
      <c r="I1488" s="121">
        <v>85</v>
      </c>
      <c r="J1488" s="48">
        <f>H1488*I1488</f>
        <v>3400</v>
      </c>
      <c r="K1488" s="10">
        <v>1</v>
      </c>
    </row>
    <row r="1489" spans="1:11" ht="14.5" x14ac:dyDescent="0.35">
      <c r="A1489" s="11" t="s">
        <v>760</v>
      </c>
      <c r="B1489" s="10" t="s">
        <v>418</v>
      </c>
      <c r="C1489" s="10"/>
      <c r="D1489" s="144" t="s">
        <v>39</v>
      </c>
      <c r="E1489" s="145"/>
      <c r="F1489" s="146" t="s">
        <v>443</v>
      </c>
      <c r="G1489" s="147" t="s">
        <v>110</v>
      </c>
      <c r="H1489" s="148">
        <v>32</v>
      </c>
      <c r="I1489" s="150">
        <v>85</v>
      </c>
      <c r="J1489" s="151">
        <f>H1489*I1489</f>
        <v>2720</v>
      </c>
      <c r="K1489" s="10">
        <v>1</v>
      </c>
    </row>
    <row r="1490" spans="1:11" ht="13" x14ac:dyDescent="0.35">
      <c r="A1490" s="11" t="s">
        <v>760</v>
      </c>
      <c r="B1490" s="10" t="s">
        <v>418</v>
      </c>
      <c r="C1490" s="10"/>
      <c r="D1490" s="11"/>
      <c r="E1490" s="134"/>
      <c r="F1490" s="57" t="s">
        <v>444</v>
      </c>
      <c r="G1490" s="44"/>
      <c r="H1490" s="122"/>
      <c r="I1490" s="121"/>
      <c r="J1490" s="48"/>
      <c r="K1490" s="10">
        <v>1</v>
      </c>
    </row>
    <row r="1491" spans="1:11" ht="25" x14ac:dyDescent="0.35">
      <c r="A1491" s="11" t="s">
        <v>760</v>
      </c>
      <c r="B1491" s="10" t="s">
        <v>418</v>
      </c>
      <c r="C1491" s="10"/>
      <c r="D1491" s="11"/>
      <c r="E1491" s="134"/>
      <c r="F1491" s="62" t="s">
        <v>445</v>
      </c>
      <c r="G1491" s="44"/>
      <c r="H1491" s="122"/>
      <c r="I1491" s="121"/>
      <c r="J1491" s="48"/>
      <c r="K1491" s="10">
        <v>1</v>
      </c>
    </row>
    <row r="1492" spans="1:11" ht="14.5" x14ac:dyDescent="0.35">
      <c r="A1492" s="11" t="s">
        <v>760</v>
      </c>
      <c r="B1492" s="10" t="s">
        <v>418</v>
      </c>
      <c r="C1492" s="10"/>
      <c r="D1492" s="11" t="s">
        <v>42</v>
      </c>
      <c r="E1492" s="134"/>
      <c r="F1492" s="60" t="s">
        <v>446</v>
      </c>
      <c r="G1492" s="44" t="s">
        <v>110</v>
      </c>
      <c r="H1492" s="122">
        <v>24</v>
      </c>
      <c r="I1492" s="121">
        <v>85</v>
      </c>
      <c r="J1492" s="48">
        <f>H1492*I1492</f>
        <v>2040</v>
      </c>
      <c r="K1492" s="10">
        <v>1</v>
      </c>
    </row>
    <row r="1493" spans="1:11" x14ac:dyDescent="0.35">
      <c r="A1493" s="11" t="s">
        <v>760</v>
      </c>
      <c r="B1493" s="10" t="s">
        <v>418</v>
      </c>
      <c r="C1493" s="10"/>
      <c r="D1493" s="11" t="s">
        <v>45</v>
      </c>
      <c r="E1493" s="134"/>
      <c r="F1493" s="60" t="s">
        <v>447</v>
      </c>
      <c r="G1493" s="44" t="s">
        <v>186</v>
      </c>
      <c r="H1493" s="122">
        <v>73</v>
      </c>
      <c r="I1493" s="121">
        <v>95</v>
      </c>
      <c r="J1493" s="48">
        <f>H1493*I1493</f>
        <v>6935</v>
      </c>
      <c r="K1493" s="10">
        <v>1</v>
      </c>
    </row>
    <row r="1494" spans="1:11" ht="13" x14ac:dyDescent="0.35">
      <c r="A1494" s="11" t="s">
        <v>760</v>
      </c>
      <c r="B1494" s="10" t="s">
        <v>418</v>
      </c>
      <c r="C1494" s="10"/>
      <c r="D1494" s="217"/>
      <c r="E1494" s="50"/>
      <c r="F1494" s="262" t="s">
        <v>762</v>
      </c>
      <c r="G1494" s="44"/>
      <c r="H1494" s="45"/>
      <c r="I1494" s="47"/>
      <c r="J1494" s="55"/>
      <c r="K1494" s="10">
        <v>1</v>
      </c>
    </row>
    <row r="1495" spans="1:11" ht="13" x14ac:dyDescent="0.35">
      <c r="A1495" s="11" t="s">
        <v>760</v>
      </c>
      <c r="B1495" s="10" t="s">
        <v>418</v>
      </c>
      <c r="C1495" s="10"/>
      <c r="D1495" s="217"/>
      <c r="E1495" s="50"/>
      <c r="F1495" s="262" t="s">
        <v>763</v>
      </c>
      <c r="G1495" s="44"/>
      <c r="H1495" s="45"/>
      <c r="I1495" s="47"/>
      <c r="J1495" s="55"/>
      <c r="K1495" s="10">
        <v>1</v>
      </c>
    </row>
    <row r="1496" spans="1:11" ht="13" x14ac:dyDescent="0.35">
      <c r="A1496" s="11" t="s">
        <v>760</v>
      </c>
      <c r="B1496" s="10" t="s">
        <v>448</v>
      </c>
      <c r="C1496" s="10"/>
      <c r="D1496" s="217"/>
      <c r="E1496" s="50"/>
      <c r="F1496" s="43" t="s">
        <v>449</v>
      </c>
      <c r="G1496" s="44"/>
      <c r="H1496" s="45"/>
      <c r="I1496" s="47"/>
      <c r="J1496" s="55"/>
      <c r="K1496" s="10">
        <v>1</v>
      </c>
    </row>
    <row r="1497" spans="1:11" ht="13" x14ac:dyDescent="0.35">
      <c r="A1497" s="11" t="s">
        <v>760</v>
      </c>
      <c r="B1497" s="10" t="s">
        <v>448</v>
      </c>
      <c r="C1497" s="10"/>
      <c r="D1497" s="217"/>
      <c r="E1497" s="50"/>
      <c r="F1497" s="43" t="s">
        <v>450</v>
      </c>
      <c r="G1497" s="44"/>
      <c r="H1497" s="45"/>
      <c r="I1497" s="47"/>
      <c r="J1497" s="55"/>
      <c r="K1497" s="10">
        <v>1</v>
      </c>
    </row>
    <row r="1498" spans="1:11" ht="13" x14ac:dyDescent="0.35">
      <c r="A1498" s="11" t="s">
        <v>760</v>
      </c>
      <c r="B1498" s="10" t="s">
        <v>448</v>
      </c>
      <c r="C1498" s="10"/>
      <c r="D1498" s="217"/>
      <c r="E1498" s="50"/>
      <c r="F1498" s="57" t="s">
        <v>100</v>
      </c>
      <c r="G1498" s="44"/>
      <c r="H1498" s="45"/>
      <c r="I1498" s="47"/>
      <c r="J1498" s="55"/>
      <c r="K1498" s="10">
        <v>1</v>
      </c>
    </row>
    <row r="1499" spans="1:11" ht="13" x14ac:dyDescent="0.35">
      <c r="A1499" s="11" t="s">
        <v>760</v>
      </c>
      <c r="B1499" s="10" t="s">
        <v>448</v>
      </c>
      <c r="C1499" s="10"/>
      <c r="D1499" s="217"/>
      <c r="E1499" s="50"/>
      <c r="F1499" s="60" t="s">
        <v>101</v>
      </c>
      <c r="G1499" s="44"/>
      <c r="H1499" s="45"/>
      <c r="I1499" s="47"/>
      <c r="J1499" s="55"/>
      <c r="K1499" s="10">
        <v>1</v>
      </c>
    </row>
    <row r="1500" spans="1:11" ht="13" x14ac:dyDescent="0.3">
      <c r="A1500" s="11" t="s">
        <v>760</v>
      </c>
      <c r="B1500" s="10" t="s">
        <v>448</v>
      </c>
      <c r="C1500" s="10"/>
      <c r="D1500" s="217"/>
      <c r="E1500" s="50"/>
      <c r="F1500" s="218" t="s">
        <v>698</v>
      </c>
      <c r="G1500" s="44"/>
      <c r="H1500" s="45"/>
      <c r="I1500" s="47"/>
      <c r="J1500" s="55"/>
      <c r="K1500" s="10">
        <v>1</v>
      </c>
    </row>
    <row r="1501" spans="1:11" ht="13" x14ac:dyDescent="0.3">
      <c r="A1501" s="11" t="s">
        <v>760</v>
      </c>
      <c r="B1501" s="10" t="s">
        <v>448</v>
      </c>
      <c r="C1501" s="10"/>
      <c r="D1501" s="217"/>
      <c r="E1501" s="50"/>
      <c r="F1501" s="219" t="s">
        <v>699</v>
      </c>
      <c r="G1501" s="44"/>
      <c r="H1501" s="45"/>
      <c r="I1501" s="47"/>
      <c r="J1501" s="55"/>
      <c r="K1501" s="10">
        <v>1</v>
      </c>
    </row>
    <row r="1502" spans="1:11" ht="26" x14ac:dyDescent="0.3">
      <c r="A1502" s="11" t="s">
        <v>760</v>
      </c>
      <c r="B1502" s="10" t="s">
        <v>448</v>
      </c>
      <c r="C1502" s="10"/>
      <c r="D1502" s="217"/>
      <c r="E1502" s="50"/>
      <c r="F1502" s="219" t="s">
        <v>452</v>
      </c>
      <c r="G1502" s="44"/>
      <c r="H1502" s="45"/>
      <c r="I1502" s="47"/>
      <c r="J1502" s="55"/>
      <c r="K1502" s="10">
        <v>1</v>
      </c>
    </row>
    <row r="1503" spans="1:11" ht="50" x14ac:dyDescent="0.25">
      <c r="A1503" s="11" t="s">
        <v>760</v>
      </c>
      <c r="B1503" s="10" t="s">
        <v>448</v>
      </c>
      <c r="C1503" s="10"/>
      <c r="D1503" s="217"/>
      <c r="E1503" s="50"/>
      <c r="F1503" s="220" t="s">
        <v>453</v>
      </c>
      <c r="G1503" s="44"/>
      <c r="H1503" s="45"/>
      <c r="I1503" s="47"/>
      <c r="J1503" s="55"/>
      <c r="K1503" s="10">
        <v>1</v>
      </c>
    </row>
    <row r="1504" spans="1:11" ht="13" x14ac:dyDescent="0.3">
      <c r="A1504" s="11" t="s">
        <v>760</v>
      </c>
      <c r="B1504" s="10" t="s">
        <v>448</v>
      </c>
      <c r="C1504" s="10"/>
      <c r="D1504" s="217"/>
      <c r="E1504" s="50"/>
      <c r="F1504" s="218" t="s">
        <v>700</v>
      </c>
      <c r="G1504" s="44"/>
      <c r="H1504" s="45"/>
      <c r="I1504" s="47"/>
      <c r="J1504" s="55"/>
      <c r="K1504" s="10">
        <v>1</v>
      </c>
    </row>
    <row r="1505" spans="1:11" ht="62.5" x14ac:dyDescent="0.35">
      <c r="A1505" s="11" t="s">
        <v>760</v>
      </c>
      <c r="B1505" s="10" t="s">
        <v>448</v>
      </c>
      <c r="C1505" s="10"/>
      <c r="D1505" s="163" t="s">
        <v>20</v>
      </c>
      <c r="E1505" s="50"/>
      <c r="F1505" s="159" t="s">
        <v>455</v>
      </c>
      <c r="G1505" s="44" t="s">
        <v>175</v>
      </c>
      <c r="H1505" s="45">
        <v>1</v>
      </c>
      <c r="I1505" s="47">
        <v>4000</v>
      </c>
      <c r="J1505" s="48">
        <f>H1505*I1505</f>
        <v>4000</v>
      </c>
      <c r="K1505" s="10">
        <v>1</v>
      </c>
    </row>
    <row r="1506" spans="1:11" ht="13" x14ac:dyDescent="0.35">
      <c r="A1506" s="11" t="s">
        <v>760</v>
      </c>
      <c r="B1506" s="10" t="s">
        <v>448</v>
      </c>
      <c r="C1506" s="10"/>
      <c r="D1506" s="217"/>
      <c r="E1506" s="50"/>
      <c r="F1506" s="221" t="s">
        <v>701</v>
      </c>
      <c r="G1506" s="44"/>
      <c r="H1506" s="45"/>
      <c r="I1506" s="47"/>
      <c r="J1506" s="48"/>
      <c r="K1506" s="10">
        <v>1</v>
      </c>
    </row>
    <row r="1507" spans="1:11" ht="13" x14ac:dyDescent="0.35">
      <c r="A1507" s="11" t="s">
        <v>760</v>
      </c>
      <c r="B1507" s="10" t="s">
        <v>448</v>
      </c>
      <c r="C1507" s="10"/>
      <c r="D1507" s="217"/>
      <c r="E1507" s="50"/>
      <c r="F1507" s="221" t="s">
        <v>457</v>
      </c>
      <c r="G1507" s="44"/>
      <c r="H1507" s="45"/>
      <c r="I1507" s="47"/>
      <c r="J1507" s="48"/>
      <c r="K1507" s="10">
        <v>1</v>
      </c>
    </row>
    <row r="1508" spans="1:11" ht="13" x14ac:dyDescent="0.35">
      <c r="A1508" s="11" t="s">
        <v>760</v>
      </c>
      <c r="B1508" s="10" t="s">
        <v>448</v>
      </c>
      <c r="C1508" s="10"/>
      <c r="D1508" s="163" t="s">
        <v>26</v>
      </c>
      <c r="E1508" s="50"/>
      <c r="F1508" s="222" t="s">
        <v>458</v>
      </c>
      <c r="G1508" s="44" t="s">
        <v>175</v>
      </c>
      <c r="H1508" s="45">
        <v>3</v>
      </c>
      <c r="I1508" s="47">
        <v>300</v>
      </c>
      <c r="J1508" s="48">
        <f>H1508*I1508</f>
        <v>900</v>
      </c>
      <c r="K1508" s="10">
        <v>1</v>
      </c>
    </row>
    <row r="1509" spans="1:11" ht="13" x14ac:dyDescent="0.35">
      <c r="A1509" s="11" t="s">
        <v>760</v>
      </c>
      <c r="B1509" s="10" t="s">
        <v>448</v>
      </c>
      <c r="C1509" s="10"/>
      <c r="D1509" s="217" t="s">
        <v>29</v>
      </c>
      <c r="E1509" s="50"/>
      <c r="F1509" s="222" t="s">
        <v>459</v>
      </c>
      <c r="G1509" s="44" t="s">
        <v>175</v>
      </c>
      <c r="H1509" s="45">
        <v>2</v>
      </c>
      <c r="I1509" s="47">
        <v>400</v>
      </c>
      <c r="J1509" s="48">
        <f>H1509*I1509</f>
        <v>800</v>
      </c>
      <c r="K1509" s="10">
        <v>1</v>
      </c>
    </row>
    <row r="1510" spans="1:11" ht="13" x14ac:dyDescent="0.35">
      <c r="A1510" s="11" t="s">
        <v>760</v>
      </c>
      <c r="B1510" s="10" t="s">
        <v>448</v>
      </c>
      <c r="C1510" s="10"/>
      <c r="D1510" s="163" t="s">
        <v>32</v>
      </c>
      <c r="E1510" s="50"/>
      <c r="F1510" s="222" t="s">
        <v>461</v>
      </c>
      <c r="G1510" s="44" t="s">
        <v>175</v>
      </c>
      <c r="H1510" s="45">
        <v>1</v>
      </c>
      <c r="I1510" s="47">
        <v>4500</v>
      </c>
      <c r="J1510" s="48">
        <f>H1510*I1510</f>
        <v>4500</v>
      </c>
      <c r="K1510" s="10">
        <v>1</v>
      </c>
    </row>
    <row r="1511" spans="1:11" ht="13" x14ac:dyDescent="0.35">
      <c r="A1511" s="11" t="s">
        <v>760</v>
      </c>
      <c r="B1511" s="10" t="s">
        <v>448</v>
      </c>
      <c r="C1511" s="10"/>
      <c r="D1511" s="163"/>
      <c r="E1511" s="50"/>
      <c r="F1511" s="221" t="s">
        <v>462</v>
      </c>
      <c r="G1511" s="44"/>
      <c r="H1511" s="45"/>
      <c r="I1511" s="47"/>
      <c r="J1511" s="48"/>
      <c r="K1511" s="10">
        <v>1</v>
      </c>
    </row>
    <row r="1512" spans="1:11" ht="13" x14ac:dyDescent="0.35">
      <c r="A1512" s="11" t="s">
        <v>760</v>
      </c>
      <c r="B1512" s="10" t="s">
        <v>448</v>
      </c>
      <c r="C1512" s="10"/>
      <c r="D1512" s="163" t="s">
        <v>36</v>
      </c>
      <c r="E1512" s="50"/>
      <c r="F1512" s="222" t="s">
        <v>463</v>
      </c>
      <c r="G1512" s="44" t="s">
        <v>175</v>
      </c>
      <c r="H1512" s="45">
        <v>1</v>
      </c>
      <c r="I1512" s="47">
        <v>1500</v>
      </c>
      <c r="J1512" s="48">
        <f>H1512*I1512</f>
        <v>1500</v>
      </c>
      <c r="K1512" s="10">
        <v>1</v>
      </c>
    </row>
    <row r="1513" spans="1:11" ht="13" x14ac:dyDescent="0.35">
      <c r="A1513" s="11" t="s">
        <v>760</v>
      </c>
      <c r="B1513" s="10" t="s">
        <v>448</v>
      </c>
      <c r="C1513" s="10"/>
      <c r="D1513" s="163"/>
      <c r="E1513" s="50"/>
      <c r="F1513" s="221" t="s">
        <v>702</v>
      </c>
      <c r="G1513" s="44"/>
      <c r="H1513" s="45"/>
      <c r="I1513" s="47"/>
      <c r="J1513" s="48"/>
      <c r="K1513" s="10">
        <v>1</v>
      </c>
    </row>
    <row r="1514" spans="1:11" ht="13" x14ac:dyDescent="0.35">
      <c r="A1514" s="11" t="s">
        <v>760</v>
      </c>
      <c r="B1514" s="10" t="s">
        <v>448</v>
      </c>
      <c r="C1514" s="10"/>
      <c r="D1514" s="163"/>
      <c r="E1514" s="50"/>
      <c r="F1514" s="221" t="s">
        <v>466</v>
      </c>
      <c r="G1514" s="44"/>
      <c r="H1514" s="45"/>
      <c r="I1514" s="47"/>
      <c r="J1514" s="55"/>
      <c r="K1514" s="10">
        <v>1</v>
      </c>
    </row>
    <row r="1515" spans="1:11" ht="13" x14ac:dyDescent="0.35">
      <c r="A1515" s="11" t="s">
        <v>760</v>
      </c>
      <c r="B1515" s="10" t="s">
        <v>448</v>
      </c>
      <c r="C1515" s="10"/>
      <c r="D1515" s="163" t="s">
        <v>39</v>
      </c>
      <c r="E1515" s="50"/>
      <c r="F1515" s="222" t="s">
        <v>467</v>
      </c>
      <c r="G1515" s="44" t="s">
        <v>703</v>
      </c>
      <c r="H1515" s="45">
        <v>8</v>
      </c>
      <c r="I1515" s="47">
        <v>100</v>
      </c>
      <c r="J1515" s="48">
        <f>H1515*I1515</f>
        <v>800</v>
      </c>
      <c r="K1515" s="10">
        <v>1</v>
      </c>
    </row>
    <row r="1516" spans="1:11" ht="13" x14ac:dyDescent="0.3">
      <c r="A1516" s="11" t="s">
        <v>760</v>
      </c>
      <c r="B1516" s="10" t="s">
        <v>448</v>
      </c>
      <c r="C1516" s="10"/>
      <c r="D1516" s="163"/>
      <c r="E1516" s="50"/>
      <c r="F1516" s="223" t="s">
        <v>704</v>
      </c>
      <c r="G1516" s="44"/>
      <c r="H1516" s="45"/>
      <c r="I1516" s="47"/>
      <c r="J1516" s="55"/>
      <c r="K1516" s="10">
        <v>1</v>
      </c>
    </row>
    <row r="1517" spans="1:11" ht="13" x14ac:dyDescent="0.3">
      <c r="A1517" s="11" t="s">
        <v>760</v>
      </c>
      <c r="B1517" s="10" t="s">
        <v>448</v>
      </c>
      <c r="C1517" s="10"/>
      <c r="D1517" s="163"/>
      <c r="E1517" s="50"/>
      <c r="F1517" s="218" t="s">
        <v>705</v>
      </c>
      <c r="G1517" s="44"/>
      <c r="H1517" s="45"/>
      <c r="I1517" s="47"/>
      <c r="J1517" s="55"/>
      <c r="K1517" s="10">
        <v>1</v>
      </c>
    </row>
    <row r="1518" spans="1:11" ht="13" x14ac:dyDescent="0.25">
      <c r="A1518" s="11" t="s">
        <v>760</v>
      </c>
      <c r="B1518" s="10" t="s">
        <v>448</v>
      </c>
      <c r="C1518" s="10"/>
      <c r="D1518" s="163"/>
      <c r="E1518" s="50"/>
      <c r="F1518" s="224" t="s">
        <v>497</v>
      </c>
      <c r="G1518" s="44"/>
      <c r="H1518" s="45"/>
      <c r="I1518" s="47"/>
      <c r="J1518" s="55"/>
      <c r="K1518" s="10">
        <v>1</v>
      </c>
    </row>
    <row r="1519" spans="1:11" ht="13" x14ac:dyDescent="0.25">
      <c r="A1519" s="11" t="s">
        <v>760</v>
      </c>
      <c r="B1519" s="10" t="s">
        <v>448</v>
      </c>
      <c r="C1519" s="10"/>
      <c r="D1519" s="163"/>
      <c r="E1519" s="50"/>
      <c r="F1519" s="220" t="s">
        <v>498</v>
      </c>
      <c r="G1519" s="44"/>
      <c r="H1519" s="45"/>
      <c r="I1519" s="47"/>
      <c r="J1519" s="55"/>
      <c r="K1519" s="10">
        <v>1</v>
      </c>
    </row>
    <row r="1520" spans="1:11" ht="13" x14ac:dyDescent="0.3">
      <c r="A1520" s="11" t="s">
        <v>760</v>
      </c>
      <c r="B1520" s="10" t="s">
        <v>448</v>
      </c>
      <c r="C1520" s="10"/>
      <c r="D1520" s="163"/>
      <c r="E1520" s="50"/>
      <c r="F1520" s="218" t="s">
        <v>499</v>
      </c>
      <c r="G1520" s="44"/>
      <c r="H1520" s="45"/>
      <c r="I1520" s="47"/>
      <c r="J1520" s="55"/>
      <c r="K1520" s="10">
        <v>1</v>
      </c>
    </row>
    <row r="1521" spans="1:11" ht="13" x14ac:dyDescent="0.3">
      <c r="A1521" s="11" t="s">
        <v>760</v>
      </c>
      <c r="B1521" s="10" t="s">
        <v>448</v>
      </c>
      <c r="C1521" s="10"/>
      <c r="D1521" s="163"/>
      <c r="E1521" s="50"/>
      <c r="F1521" s="225" t="s">
        <v>706</v>
      </c>
      <c r="G1521" s="44"/>
      <c r="H1521" s="45"/>
      <c r="I1521" s="47"/>
      <c r="J1521" s="55"/>
      <c r="K1521" s="10">
        <v>1</v>
      </c>
    </row>
    <row r="1522" spans="1:11" ht="62.5" x14ac:dyDescent="0.35">
      <c r="A1522" s="11" t="s">
        <v>760</v>
      </c>
      <c r="B1522" s="10" t="s">
        <v>448</v>
      </c>
      <c r="C1522" s="10"/>
      <c r="D1522" s="163"/>
      <c r="E1522" s="50"/>
      <c r="F1522" s="159" t="s">
        <v>500</v>
      </c>
      <c r="G1522" s="44"/>
      <c r="H1522" s="45"/>
      <c r="I1522" s="47"/>
      <c r="J1522" s="55"/>
      <c r="K1522" s="10">
        <v>1</v>
      </c>
    </row>
    <row r="1523" spans="1:11" ht="13" x14ac:dyDescent="0.35">
      <c r="A1523" s="11" t="s">
        <v>760</v>
      </c>
      <c r="B1523" s="10" t="s">
        <v>448</v>
      </c>
      <c r="C1523" s="10"/>
      <c r="D1523" s="163" t="s">
        <v>42</v>
      </c>
      <c r="E1523" s="50"/>
      <c r="F1523" s="222" t="s">
        <v>502</v>
      </c>
      <c r="G1523" s="44" t="s">
        <v>186</v>
      </c>
      <c r="H1523" s="45">
        <v>300</v>
      </c>
      <c r="I1523" s="47">
        <v>20</v>
      </c>
      <c r="J1523" s="48">
        <f>H1523*I1523</f>
        <v>6000</v>
      </c>
      <c r="K1523" s="10">
        <v>1</v>
      </c>
    </row>
    <row r="1524" spans="1:11" ht="13" x14ac:dyDescent="0.35">
      <c r="A1524" s="11" t="s">
        <v>760</v>
      </c>
      <c r="B1524" s="10" t="s">
        <v>448</v>
      </c>
      <c r="C1524" s="10"/>
      <c r="D1524" s="238" t="s">
        <v>45</v>
      </c>
      <c r="E1524" s="239"/>
      <c r="F1524" s="280" t="s">
        <v>504</v>
      </c>
      <c r="G1524" s="147" t="s">
        <v>186</v>
      </c>
      <c r="H1524" s="206">
        <v>100</v>
      </c>
      <c r="I1524" s="208">
        <v>22</v>
      </c>
      <c r="J1524" s="151">
        <f>H1524*I1524</f>
        <v>2200</v>
      </c>
      <c r="K1524" s="10">
        <v>1</v>
      </c>
    </row>
    <row r="1525" spans="1:11" ht="37.5" x14ac:dyDescent="0.35">
      <c r="A1525" s="11" t="s">
        <v>760</v>
      </c>
      <c r="B1525" s="10" t="s">
        <v>448</v>
      </c>
      <c r="C1525" s="10"/>
      <c r="D1525" s="163"/>
      <c r="E1525" s="50"/>
      <c r="F1525" s="159" t="s">
        <v>505</v>
      </c>
      <c r="G1525" s="44"/>
      <c r="H1525" s="45"/>
      <c r="I1525" s="47"/>
      <c r="J1525" s="55"/>
      <c r="K1525" s="10">
        <v>1</v>
      </c>
    </row>
    <row r="1526" spans="1:11" ht="13" x14ac:dyDescent="0.35">
      <c r="A1526" s="11" t="s">
        <v>760</v>
      </c>
      <c r="B1526" s="10" t="s">
        <v>448</v>
      </c>
      <c r="C1526" s="10"/>
      <c r="D1526" s="163" t="s">
        <v>48</v>
      </c>
      <c r="E1526" s="50"/>
      <c r="F1526" s="222" t="s">
        <v>707</v>
      </c>
      <c r="G1526" s="44" t="s">
        <v>175</v>
      </c>
      <c r="H1526" s="45">
        <v>5</v>
      </c>
      <c r="I1526" s="47">
        <v>24</v>
      </c>
      <c r="J1526" s="48">
        <f>H1526*I1526</f>
        <v>120</v>
      </c>
      <c r="K1526" s="10">
        <v>1</v>
      </c>
    </row>
    <row r="1527" spans="1:11" ht="25" x14ac:dyDescent="0.25">
      <c r="A1527" s="11" t="s">
        <v>760</v>
      </c>
      <c r="B1527" s="10" t="s">
        <v>448</v>
      </c>
      <c r="C1527" s="10"/>
      <c r="D1527" s="163"/>
      <c r="E1527" s="50"/>
      <c r="F1527" s="161" t="s">
        <v>508</v>
      </c>
      <c r="G1527" s="44"/>
      <c r="H1527" s="45"/>
      <c r="I1527" s="47"/>
      <c r="J1527" s="55"/>
      <c r="K1527" s="10">
        <v>1</v>
      </c>
    </row>
    <row r="1528" spans="1:11" ht="25" x14ac:dyDescent="0.25">
      <c r="A1528" s="11" t="s">
        <v>760</v>
      </c>
      <c r="B1528" s="10" t="s">
        <v>448</v>
      </c>
      <c r="C1528" s="10"/>
      <c r="D1528" s="163"/>
      <c r="E1528" s="50"/>
      <c r="F1528" s="161" t="s">
        <v>509</v>
      </c>
      <c r="G1528" s="44"/>
      <c r="H1528" s="45"/>
      <c r="I1528" s="47"/>
      <c r="J1528" s="55"/>
      <c r="K1528" s="10">
        <v>1</v>
      </c>
    </row>
    <row r="1529" spans="1:11" ht="13" x14ac:dyDescent="0.25">
      <c r="A1529" s="11" t="s">
        <v>760</v>
      </c>
      <c r="B1529" s="10" t="s">
        <v>448</v>
      </c>
      <c r="C1529" s="10"/>
      <c r="D1529" s="163" t="s">
        <v>51</v>
      </c>
      <c r="E1529" s="50"/>
      <c r="F1529" s="234" t="s">
        <v>511</v>
      </c>
      <c r="G1529" s="44" t="s">
        <v>175</v>
      </c>
      <c r="H1529" s="45">
        <v>7</v>
      </c>
      <c r="I1529" s="47">
        <v>19</v>
      </c>
      <c r="J1529" s="48">
        <f>H1529*I1529</f>
        <v>133</v>
      </c>
      <c r="K1529" s="10">
        <v>1</v>
      </c>
    </row>
    <row r="1530" spans="1:11" ht="13" x14ac:dyDescent="0.25">
      <c r="A1530" s="11" t="s">
        <v>760</v>
      </c>
      <c r="B1530" s="10" t="s">
        <v>448</v>
      </c>
      <c r="C1530" s="10"/>
      <c r="D1530" s="163" t="s">
        <v>53</v>
      </c>
      <c r="E1530" s="50"/>
      <c r="F1530" s="234" t="s">
        <v>513</v>
      </c>
      <c r="G1530" s="44" t="s">
        <v>175</v>
      </c>
      <c r="H1530" s="45">
        <v>10</v>
      </c>
      <c r="I1530" s="47">
        <v>20</v>
      </c>
      <c r="J1530" s="48">
        <f>H1530*I1530</f>
        <v>200</v>
      </c>
      <c r="K1530" s="10">
        <v>1</v>
      </c>
    </row>
    <row r="1531" spans="1:11" ht="13" x14ac:dyDescent="0.25">
      <c r="A1531" s="11" t="s">
        <v>760</v>
      </c>
      <c r="B1531" s="10" t="s">
        <v>448</v>
      </c>
      <c r="C1531" s="10"/>
      <c r="D1531" s="163" t="s">
        <v>55</v>
      </c>
      <c r="E1531" s="50"/>
      <c r="F1531" s="234" t="s">
        <v>708</v>
      </c>
      <c r="G1531" s="44" t="s">
        <v>175</v>
      </c>
      <c r="H1531" s="45">
        <v>1</v>
      </c>
      <c r="I1531" s="47">
        <v>300</v>
      </c>
      <c r="J1531" s="48">
        <f>H1531*I1531</f>
        <v>300</v>
      </c>
      <c r="K1531" s="10">
        <v>1</v>
      </c>
    </row>
    <row r="1532" spans="1:11" ht="13" x14ac:dyDescent="0.3">
      <c r="A1532" s="11" t="s">
        <v>760</v>
      </c>
      <c r="B1532" s="10" t="s">
        <v>448</v>
      </c>
      <c r="C1532" s="10"/>
      <c r="D1532" s="163"/>
      <c r="E1532" s="50"/>
      <c r="F1532" s="235" t="s">
        <v>514</v>
      </c>
      <c r="G1532" s="44"/>
      <c r="H1532" s="45"/>
      <c r="I1532" s="47"/>
      <c r="J1532" s="55"/>
      <c r="K1532" s="10">
        <v>1</v>
      </c>
    </row>
    <row r="1533" spans="1:11" ht="13" x14ac:dyDescent="0.25">
      <c r="A1533" s="11" t="s">
        <v>760</v>
      </c>
      <c r="B1533" s="10" t="s">
        <v>448</v>
      </c>
      <c r="C1533" s="10"/>
      <c r="D1533" s="163" t="s">
        <v>58</v>
      </c>
      <c r="E1533" s="50"/>
      <c r="F1533" s="234" t="s">
        <v>516</v>
      </c>
      <c r="G1533" s="44" t="s">
        <v>175</v>
      </c>
      <c r="H1533" s="45">
        <v>1</v>
      </c>
      <c r="I1533" s="47">
        <v>25</v>
      </c>
      <c r="J1533" s="48">
        <f>H1533*I1533</f>
        <v>25</v>
      </c>
      <c r="K1533" s="10">
        <v>1</v>
      </c>
    </row>
    <row r="1534" spans="1:11" ht="13" x14ac:dyDescent="0.25">
      <c r="A1534" s="11" t="s">
        <v>760</v>
      </c>
      <c r="B1534" s="10" t="s">
        <v>448</v>
      </c>
      <c r="C1534" s="10"/>
      <c r="D1534" s="163" t="s">
        <v>87</v>
      </c>
      <c r="E1534" s="50"/>
      <c r="F1534" s="234" t="s">
        <v>709</v>
      </c>
      <c r="G1534" s="44" t="s">
        <v>175</v>
      </c>
      <c r="H1534" s="45">
        <v>1</v>
      </c>
      <c r="I1534" s="47">
        <v>400</v>
      </c>
      <c r="J1534" s="48">
        <f>H1534*I1534</f>
        <v>400</v>
      </c>
      <c r="K1534" s="10">
        <v>1</v>
      </c>
    </row>
    <row r="1535" spans="1:11" ht="13" x14ac:dyDescent="0.3">
      <c r="A1535" s="11" t="s">
        <v>760</v>
      </c>
      <c r="B1535" s="10" t="s">
        <v>448</v>
      </c>
      <c r="C1535" s="10"/>
      <c r="D1535" s="163"/>
      <c r="E1535" s="50"/>
      <c r="F1535" s="235" t="s">
        <v>517</v>
      </c>
      <c r="G1535" s="44"/>
      <c r="H1535" s="45"/>
      <c r="I1535" s="47"/>
      <c r="J1535" s="55"/>
      <c r="K1535" s="10">
        <v>1</v>
      </c>
    </row>
    <row r="1536" spans="1:11" ht="13" x14ac:dyDescent="0.25">
      <c r="A1536" s="11" t="s">
        <v>760</v>
      </c>
      <c r="B1536" s="10" t="s">
        <v>448</v>
      </c>
      <c r="C1536" s="10"/>
      <c r="D1536" s="163"/>
      <c r="E1536" s="50"/>
      <c r="F1536" s="224" t="s">
        <v>710</v>
      </c>
      <c r="G1536" s="44"/>
      <c r="H1536" s="45"/>
      <c r="I1536" s="47"/>
      <c r="J1536" s="55"/>
      <c r="K1536" s="10">
        <v>1</v>
      </c>
    </row>
    <row r="1537" spans="1:11" ht="13" x14ac:dyDescent="0.25">
      <c r="A1537" s="11" t="s">
        <v>760</v>
      </c>
      <c r="B1537" s="10" t="s">
        <v>448</v>
      </c>
      <c r="C1537" s="10"/>
      <c r="D1537" s="163"/>
      <c r="E1537" s="50"/>
      <c r="F1537" s="224" t="s">
        <v>711</v>
      </c>
      <c r="G1537" s="44"/>
      <c r="H1537" s="45"/>
      <c r="I1537" s="47"/>
      <c r="J1537" s="55"/>
      <c r="K1537" s="10">
        <v>1</v>
      </c>
    </row>
    <row r="1538" spans="1:11" ht="13" x14ac:dyDescent="0.25">
      <c r="A1538" s="11" t="s">
        <v>760</v>
      </c>
      <c r="B1538" s="10" t="s">
        <v>448</v>
      </c>
      <c r="C1538" s="10"/>
      <c r="D1538" s="163" t="s">
        <v>90</v>
      </c>
      <c r="E1538" s="50"/>
      <c r="F1538" s="236" t="s">
        <v>521</v>
      </c>
      <c r="G1538" s="44" t="s">
        <v>186</v>
      </c>
      <c r="H1538" s="45">
        <v>390</v>
      </c>
      <c r="I1538" s="47">
        <v>10</v>
      </c>
      <c r="J1538" s="48">
        <f>H1538*I1538</f>
        <v>3900</v>
      </c>
      <c r="K1538" s="10">
        <v>1</v>
      </c>
    </row>
    <row r="1539" spans="1:11" ht="13" x14ac:dyDescent="0.25">
      <c r="A1539" s="11" t="s">
        <v>760</v>
      </c>
      <c r="B1539" s="10" t="s">
        <v>448</v>
      </c>
      <c r="C1539" s="10"/>
      <c r="D1539" s="163" t="s">
        <v>187</v>
      </c>
      <c r="E1539" s="50"/>
      <c r="F1539" s="236" t="s">
        <v>523</v>
      </c>
      <c r="G1539" s="44" t="s">
        <v>186</v>
      </c>
      <c r="H1539" s="45">
        <v>600</v>
      </c>
      <c r="I1539" s="47">
        <v>12</v>
      </c>
      <c r="J1539" s="48">
        <f>H1539*I1539</f>
        <v>7200</v>
      </c>
      <c r="K1539" s="10">
        <v>1</v>
      </c>
    </row>
    <row r="1540" spans="1:11" ht="13" x14ac:dyDescent="0.25">
      <c r="A1540" s="11" t="s">
        <v>760</v>
      </c>
      <c r="B1540" s="10" t="s">
        <v>448</v>
      </c>
      <c r="C1540" s="10"/>
      <c r="D1540" s="163" t="s">
        <v>484</v>
      </c>
      <c r="E1540" s="50"/>
      <c r="F1540" s="236" t="s">
        <v>525</v>
      </c>
      <c r="G1540" s="44" t="s">
        <v>186</v>
      </c>
      <c r="H1540" s="45">
        <v>300</v>
      </c>
      <c r="I1540" s="47">
        <v>21.5</v>
      </c>
      <c r="J1540" s="48">
        <f>H1540*I1540</f>
        <v>6450</v>
      </c>
      <c r="K1540" s="10">
        <v>1</v>
      </c>
    </row>
    <row r="1541" spans="1:11" ht="13" x14ac:dyDescent="0.25">
      <c r="A1541" s="11" t="s">
        <v>760</v>
      </c>
      <c r="B1541" s="10" t="s">
        <v>448</v>
      </c>
      <c r="C1541" s="10"/>
      <c r="D1541" s="163"/>
      <c r="E1541" s="50"/>
      <c r="F1541" s="237" t="s">
        <v>712</v>
      </c>
      <c r="G1541" s="44"/>
      <c r="H1541" s="45"/>
      <c r="I1541" s="47"/>
      <c r="J1541" s="55"/>
      <c r="K1541" s="10">
        <v>1</v>
      </c>
    </row>
    <row r="1542" spans="1:11" ht="13" x14ac:dyDescent="0.25">
      <c r="A1542" s="11" t="s">
        <v>760</v>
      </c>
      <c r="B1542" s="10" t="s">
        <v>448</v>
      </c>
      <c r="C1542" s="10"/>
      <c r="D1542" s="163"/>
      <c r="E1542" s="50"/>
      <c r="F1542" s="237" t="s">
        <v>713</v>
      </c>
      <c r="G1542" s="44"/>
      <c r="H1542" s="45"/>
      <c r="I1542" s="47"/>
      <c r="J1542" s="55"/>
      <c r="K1542" s="10">
        <v>1</v>
      </c>
    </row>
    <row r="1543" spans="1:11" ht="13" x14ac:dyDescent="0.25">
      <c r="A1543" s="11" t="s">
        <v>760</v>
      </c>
      <c r="B1543" s="10" t="s">
        <v>448</v>
      </c>
      <c r="C1543" s="10"/>
      <c r="D1543" s="163" t="s">
        <v>487</v>
      </c>
      <c r="E1543" s="50"/>
      <c r="F1543" s="236" t="s">
        <v>521</v>
      </c>
      <c r="G1543" s="44" t="s">
        <v>186</v>
      </c>
      <c r="H1543" s="45">
        <v>1290</v>
      </c>
      <c r="I1543" s="47">
        <v>10</v>
      </c>
      <c r="J1543" s="48">
        <f>H1543*I1543</f>
        <v>12900</v>
      </c>
      <c r="K1543" s="10">
        <v>1</v>
      </c>
    </row>
    <row r="1544" spans="1:11" ht="13" x14ac:dyDescent="0.3">
      <c r="A1544" s="11" t="s">
        <v>760</v>
      </c>
      <c r="B1544" s="10" t="s">
        <v>448</v>
      </c>
      <c r="C1544" s="10"/>
      <c r="D1544" s="163"/>
      <c r="E1544" s="50"/>
      <c r="F1544" s="218" t="s">
        <v>530</v>
      </c>
      <c r="G1544" s="44"/>
      <c r="H1544" s="45"/>
      <c r="I1544" s="47"/>
      <c r="J1544" s="48"/>
      <c r="K1544" s="10">
        <v>1</v>
      </c>
    </row>
    <row r="1545" spans="1:11" ht="13" x14ac:dyDescent="0.25">
      <c r="A1545" s="11" t="s">
        <v>760</v>
      </c>
      <c r="B1545" s="10" t="s">
        <v>448</v>
      </c>
      <c r="C1545" s="10"/>
      <c r="D1545" s="163"/>
      <c r="E1545" s="50"/>
      <c r="F1545" s="224" t="s">
        <v>714</v>
      </c>
      <c r="G1545" s="44"/>
      <c r="H1545" s="45"/>
      <c r="I1545" s="47"/>
      <c r="J1545" s="48"/>
      <c r="K1545" s="10">
        <v>1</v>
      </c>
    </row>
    <row r="1546" spans="1:11" ht="13" x14ac:dyDescent="0.25">
      <c r="A1546" s="11" t="s">
        <v>760</v>
      </c>
      <c r="B1546" s="10" t="s">
        <v>448</v>
      </c>
      <c r="C1546" s="10"/>
      <c r="D1546" s="163"/>
      <c r="E1546" s="50"/>
      <c r="F1546" s="224" t="s">
        <v>715</v>
      </c>
      <c r="G1546" s="44"/>
      <c r="H1546" s="45"/>
      <c r="I1546" s="47"/>
      <c r="J1546" s="48"/>
      <c r="K1546" s="10">
        <v>1</v>
      </c>
    </row>
    <row r="1547" spans="1:11" ht="13" x14ac:dyDescent="0.3">
      <c r="A1547" s="11" t="s">
        <v>760</v>
      </c>
      <c r="B1547" s="10" t="s">
        <v>448</v>
      </c>
      <c r="C1547" s="10"/>
      <c r="D1547" s="163"/>
      <c r="E1547" s="50"/>
      <c r="F1547" s="218" t="s">
        <v>532</v>
      </c>
      <c r="G1547" s="44"/>
      <c r="H1547" s="45"/>
      <c r="I1547" s="47"/>
      <c r="J1547" s="48"/>
      <c r="K1547" s="10">
        <v>1</v>
      </c>
    </row>
    <row r="1548" spans="1:11" ht="13" x14ac:dyDescent="0.25">
      <c r="A1548" s="11" t="s">
        <v>760</v>
      </c>
      <c r="B1548" s="10" t="s">
        <v>448</v>
      </c>
      <c r="C1548" s="10"/>
      <c r="D1548" s="163" t="s">
        <v>489</v>
      </c>
      <c r="E1548" s="50"/>
      <c r="F1548" s="220" t="s">
        <v>533</v>
      </c>
      <c r="G1548" s="44" t="s">
        <v>175</v>
      </c>
      <c r="H1548" s="45">
        <v>9</v>
      </c>
      <c r="I1548" s="47">
        <v>200</v>
      </c>
      <c r="J1548" s="48">
        <f>H1548*I1548</f>
        <v>1800</v>
      </c>
      <c r="K1548" s="10">
        <v>1</v>
      </c>
    </row>
    <row r="1549" spans="1:11" ht="13" x14ac:dyDescent="0.25">
      <c r="A1549" s="11" t="s">
        <v>760</v>
      </c>
      <c r="B1549" s="10" t="s">
        <v>448</v>
      </c>
      <c r="C1549" s="10"/>
      <c r="D1549" s="163"/>
      <c r="E1549" s="50"/>
      <c r="F1549" s="220" t="s">
        <v>535</v>
      </c>
      <c r="G1549" s="44"/>
      <c r="H1549" s="45"/>
      <c r="I1549" s="47"/>
      <c r="J1549" s="55"/>
      <c r="K1549" s="10">
        <v>1</v>
      </c>
    </row>
    <row r="1550" spans="1:11" ht="13" x14ac:dyDescent="0.25">
      <c r="A1550" s="11" t="s">
        <v>760</v>
      </c>
      <c r="B1550" s="10" t="s">
        <v>448</v>
      </c>
      <c r="C1550" s="10"/>
      <c r="D1550" s="163" t="s">
        <v>491</v>
      </c>
      <c r="E1550" s="50"/>
      <c r="F1550" s="234" t="s">
        <v>543</v>
      </c>
      <c r="G1550" s="44"/>
      <c r="H1550" s="45"/>
      <c r="I1550" s="47"/>
      <c r="J1550" s="55"/>
      <c r="K1550" s="10">
        <v>1</v>
      </c>
    </row>
    <row r="1551" spans="1:11" ht="13" x14ac:dyDescent="0.35">
      <c r="A1551" s="11" t="s">
        <v>760</v>
      </c>
      <c r="B1551" s="10" t="s">
        <v>448</v>
      </c>
      <c r="C1551" s="10"/>
      <c r="D1551" s="163" t="s">
        <v>494</v>
      </c>
      <c r="E1551" s="50"/>
      <c r="F1551" s="222" t="s">
        <v>545</v>
      </c>
      <c r="G1551" s="44" t="s">
        <v>175</v>
      </c>
      <c r="H1551" s="45">
        <v>1</v>
      </c>
      <c r="I1551" s="47">
        <v>320</v>
      </c>
      <c r="J1551" s="48">
        <f>H1551*I1551</f>
        <v>320</v>
      </c>
      <c r="K1551" s="10">
        <v>1</v>
      </c>
    </row>
    <row r="1552" spans="1:11" ht="13" x14ac:dyDescent="0.35">
      <c r="A1552" s="11" t="s">
        <v>760</v>
      </c>
      <c r="B1552" s="10" t="s">
        <v>448</v>
      </c>
      <c r="C1552" s="10"/>
      <c r="D1552" s="163" t="s">
        <v>501</v>
      </c>
      <c r="E1552" s="50"/>
      <c r="F1552" s="222" t="s">
        <v>547</v>
      </c>
      <c r="G1552" s="44" t="s">
        <v>175</v>
      </c>
      <c r="H1552" s="45">
        <v>1</v>
      </c>
      <c r="I1552" s="47">
        <v>380</v>
      </c>
      <c r="J1552" s="48">
        <f>H1552*I1552</f>
        <v>380</v>
      </c>
      <c r="K1552" s="10">
        <v>1</v>
      </c>
    </row>
    <row r="1553" spans="1:11" ht="13" x14ac:dyDescent="0.3">
      <c r="A1553" s="11" t="s">
        <v>760</v>
      </c>
      <c r="B1553" s="10" t="s">
        <v>448</v>
      </c>
      <c r="C1553" s="10"/>
      <c r="D1553" s="163"/>
      <c r="E1553" s="50"/>
      <c r="F1553" s="218" t="s">
        <v>548</v>
      </c>
      <c r="G1553" s="44"/>
      <c r="H1553" s="45"/>
      <c r="I1553" s="47"/>
      <c r="J1553" s="55"/>
      <c r="K1553" s="10">
        <v>1</v>
      </c>
    </row>
    <row r="1554" spans="1:11" ht="13" x14ac:dyDescent="0.25">
      <c r="A1554" s="11" t="s">
        <v>760</v>
      </c>
      <c r="B1554" s="10" t="s">
        <v>448</v>
      </c>
      <c r="C1554" s="10"/>
      <c r="D1554" s="163" t="s">
        <v>503</v>
      </c>
      <c r="E1554" s="50"/>
      <c r="F1554" s="224" t="s">
        <v>550</v>
      </c>
      <c r="G1554" s="44" t="s">
        <v>175</v>
      </c>
      <c r="H1554" s="45">
        <v>5</v>
      </c>
      <c r="I1554" s="47">
        <v>155</v>
      </c>
      <c r="J1554" s="48">
        <f>H1554*I1554</f>
        <v>775</v>
      </c>
      <c r="K1554" s="10">
        <v>1</v>
      </c>
    </row>
    <row r="1555" spans="1:11" ht="13" x14ac:dyDescent="0.25">
      <c r="A1555" s="11" t="s">
        <v>760</v>
      </c>
      <c r="B1555" s="10" t="s">
        <v>448</v>
      </c>
      <c r="C1555" s="10"/>
      <c r="D1555" s="163" t="s">
        <v>506</v>
      </c>
      <c r="E1555" s="50"/>
      <c r="F1555" s="224" t="s">
        <v>552</v>
      </c>
      <c r="G1555" s="44" t="s">
        <v>175</v>
      </c>
      <c r="H1555" s="45">
        <v>2</v>
      </c>
      <c r="I1555" s="47">
        <v>165</v>
      </c>
      <c r="J1555" s="48">
        <f>H1555*I1555</f>
        <v>330</v>
      </c>
      <c r="K1555" s="10">
        <v>1</v>
      </c>
    </row>
    <row r="1556" spans="1:11" ht="13" x14ac:dyDescent="0.25">
      <c r="A1556" s="11" t="s">
        <v>760</v>
      </c>
      <c r="B1556" s="10" t="s">
        <v>448</v>
      </c>
      <c r="C1556" s="10"/>
      <c r="D1556" s="163" t="s">
        <v>510</v>
      </c>
      <c r="E1556" s="50"/>
      <c r="F1556" s="224" t="s">
        <v>558</v>
      </c>
      <c r="G1556" s="44" t="s">
        <v>186</v>
      </c>
      <c r="H1556" s="45">
        <v>430</v>
      </c>
      <c r="I1556" s="47">
        <v>4.2</v>
      </c>
      <c r="J1556" s="48">
        <f>H1556*I1556</f>
        <v>1806</v>
      </c>
      <c r="K1556" s="10">
        <v>1</v>
      </c>
    </row>
    <row r="1557" spans="1:11" ht="13" x14ac:dyDescent="0.3">
      <c r="A1557" s="11" t="s">
        <v>760</v>
      </c>
      <c r="B1557" s="10" t="s">
        <v>448</v>
      </c>
      <c r="C1557" s="10"/>
      <c r="D1557" s="163"/>
      <c r="E1557" s="50"/>
      <c r="F1557" s="218" t="s">
        <v>738</v>
      </c>
      <c r="G1557" s="44"/>
      <c r="H1557" s="45"/>
      <c r="I1557" s="47"/>
      <c r="J1557" s="48"/>
      <c r="K1557" s="10">
        <v>1</v>
      </c>
    </row>
    <row r="1558" spans="1:11" ht="13" x14ac:dyDescent="0.25">
      <c r="A1558" s="11" t="s">
        <v>760</v>
      </c>
      <c r="B1558" s="10" t="s">
        <v>448</v>
      </c>
      <c r="C1558" s="10"/>
      <c r="D1558" s="163"/>
      <c r="E1558" s="50"/>
      <c r="F1558" s="244" t="s">
        <v>513</v>
      </c>
      <c r="G1558" s="44" t="s">
        <v>175</v>
      </c>
      <c r="H1558" s="45">
        <v>5</v>
      </c>
      <c r="I1558" s="47">
        <v>24</v>
      </c>
      <c r="J1558" s="48">
        <f>H1558*I1558</f>
        <v>120</v>
      </c>
      <c r="K1558" s="10">
        <v>1</v>
      </c>
    </row>
    <row r="1559" spans="1:11" ht="13" x14ac:dyDescent="0.3">
      <c r="A1559" s="11" t="s">
        <v>760</v>
      </c>
      <c r="B1559" s="10" t="s">
        <v>448</v>
      </c>
      <c r="C1559" s="10"/>
      <c r="D1559" s="163"/>
      <c r="E1559" s="50"/>
      <c r="F1559" s="218" t="s">
        <v>486</v>
      </c>
      <c r="G1559" s="44"/>
      <c r="H1559" s="45"/>
      <c r="I1559" s="47"/>
      <c r="J1559" s="48"/>
      <c r="K1559" s="10">
        <v>1</v>
      </c>
    </row>
    <row r="1560" spans="1:11" ht="13" x14ac:dyDescent="0.25">
      <c r="A1560" s="11" t="s">
        <v>760</v>
      </c>
      <c r="B1560" s="10" t="s">
        <v>448</v>
      </c>
      <c r="C1560" s="10"/>
      <c r="D1560" s="163" t="s">
        <v>512</v>
      </c>
      <c r="E1560" s="50"/>
      <c r="F1560" s="220" t="s">
        <v>490</v>
      </c>
      <c r="G1560" s="44" t="s">
        <v>186</v>
      </c>
      <c r="H1560" s="45">
        <v>10</v>
      </c>
      <c r="I1560" s="47">
        <v>50</v>
      </c>
      <c r="J1560" s="48">
        <f>H1560*I1560</f>
        <v>500</v>
      </c>
      <c r="K1560" s="10">
        <v>1</v>
      </c>
    </row>
    <row r="1561" spans="1:11" ht="13" x14ac:dyDescent="0.3">
      <c r="A1561" s="11" t="s">
        <v>760</v>
      </c>
      <c r="B1561" s="10" t="s">
        <v>448</v>
      </c>
      <c r="C1561" s="10"/>
      <c r="D1561" s="163"/>
      <c r="E1561" s="50"/>
      <c r="F1561" s="218" t="s">
        <v>563</v>
      </c>
      <c r="G1561" s="44"/>
      <c r="H1561" s="45"/>
      <c r="I1561" s="47"/>
      <c r="J1561" s="48"/>
      <c r="K1561" s="10">
        <v>1</v>
      </c>
    </row>
    <row r="1562" spans="1:11" ht="13" x14ac:dyDescent="0.25">
      <c r="A1562" s="11" t="s">
        <v>760</v>
      </c>
      <c r="B1562" s="10" t="s">
        <v>448</v>
      </c>
      <c r="C1562" s="10"/>
      <c r="D1562" s="163"/>
      <c r="E1562" s="50"/>
      <c r="F1562" s="224" t="s">
        <v>740</v>
      </c>
      <c r="G1562" s="44"/>
      <c r="H1562" s="45"/>
      <c r="I1562" s="47"/>
      <c r="J1562" s="48"/>
      <c r="K1562" s="10">
        <v>1</v>
      </c>
    </row>
    <row r="1563" spans="1:11" ht="13" x14ac:dyDescent="0.25">
      <c r="A1563" s="11" t="s">
        <v>760</v>
      </c>
      <c r="B1563" s="10" t="s">
        <v>448</v>
      </c>
      <c r="C1563" s="10"/>
      <c r="D1563" s="163"/>
      <c r="E1563" s="50"/>
      <c r="F1563" s="224" t="s">
        <v>741</v>
      </c>
      <c r="G1563" s="44"/>
      <c r="H1563" s="45"/>
      <c r="I1563" s="47"/>
      <c r="J1563" s="48"/>
      <c r="K1563" s="10">
        <v>1</v>
      </c>
    </row>
    <row r="1564" spans="1:11" ht="13" x14ac:dyDescent="0.25">
      <c r="A1564" s="11" t="s">
        <v>760</v>
      </c>
      <c r="B1564" s="10" t="s">
        <v>448</v>
      </c>
      <c r="C1564" s="10"/>
      <c r="D1564" s="163"/>
      <c r="E1564" s="50"/>
      <c r="F1564" s="224" t="s">
        <v>742</v>
      </c>
      <c r="G1564" s="44"/>
      <c r="H1564" s="45"/>
      <c r="I1564" s="47"/>
      <c r="J1564" s="48"/>
      <c r="K1564" s="10">
        <v>1</v>
      </c>
    </row>
    <row r="1565" spans="1:11" ht="13" x14ac:dyDescent="0.25">
      <c r="A1565" s="11" t="s">
        <v>760</v>
      </c>
      <c r="B1565" s="10" t="s">
        <v>448</v>
      </c>
      <c r="C1565" s="10"/>
      <c r="D1565" s="163"/>
      <c r="E1565" s="50"/>
      <c r="F1565" s="224" t="s">
        <v>743</v>
      </c>
      <c r="G1565" s="44"/>
      <c r="H1565" s="45"/>
      <c r="I1565" s="47"/>
      <c r="J1565" s="48"/>
      <c r="K1565" s="10">
        <v>1</v>
      </c>
    </row>
    <row r="1566" spans="1:11" ht="13" x14ac:dyDescent="0.25">
      <c r="A1566" s="11" t="s">
        <v>760</v>
      </c>
      <c r="B1566" s="10" t="s">
        <v>448</v>
      </c>
      <c r="C1566" s="10"/>
      <c r="D1566" s="163"/>
      <c r="E1566" s="50"/>
      <c r="F1566" s="246" t="s">
        <v>566</v>
      </c>
      <c r="G1566" s="44"/>
      <c r="H1566" s="45"/>
      <c r="I1566" s="47"/>
      <c r="J1566" s="48"/>
      <c r="K1566" s="10">
        <v>1</v>
      </c>
    </row>
    <row r="1567" spans="1:11" ht="25" x14ac:dyDescent="0.25">
      <c r="A1567" s="11" t="s">
        <v>760</v>
      </c>
      <c r="B1567" s="10" t="s">
        <v>448</v>
      </c>
      <c r="C1567" s="10"/>
      <c r="D1567" s="163" t="s">
        <v>515</v>
      </c>
      <c r="E1567" s="50"/>
      <c r="F1567" s="234" t="s">
        <v>568</v>
      </c>
      <c r="G1567" s="44" t="s">
        <v>175</v>
      </c>
      <c r="H1567" s="45">
        <v>13</v>
      </c>
      <c r="I1567" s="47">
        <v>1050</v>
      </c>
      <c r="J1567" s="48">
        <f>H1567*I1567</f>
        <v>13650</v>
      </c>
      <c r="K1567" s="10">
        <v>1</v>
      </c>
    </row>
    <row r="1568" spans="1:11" ht="13" x14ac:dyDescent="0.25">
      <c r="A1568" s="11" t="s">
        <v>760</v>
      </c>
      <c r="B1568" s="10" t="s">
        <v>448</v>
      </c>
      <c r="C1568" s="10"/>
      <c r="D1568" s="163"/>
      <c r="E1568" s="50"/>
      <c r="F1568" s="248" t="s">
        <v>572</v>
      </c>
      <c r="G1568" s="44"/>
      <c r="H1568" s="45"/>
      <c r="I1568" s="47"/>
      <c r="J1568" s="48"/>
      <c r="K1568" s="10">
        <v>1</v>
      </c>
    </row>
    <row r="1569" spans="1:11" ht="25" x14ac:dyDescent="0.25">
      <c r="A1569" s="11" t="s">
        <v>760</v>
      </c>
      <c r="B1569" s="10" t="s">
        <v>448</v>
      </c>
      <c r="C1569" s="10"/>
      <c r="D1569" s="163" t="s">
        <v>520</v>
      </c>
      <c r="E1569" s="50"/>
      <c r="F1569" s="234" t="s">
        <v>745</v>
      </c>
      <c r="G1569" s="44" t="s">
        <v>175</v>
      </c>
      <c r="H1569" s="45">
        <v>9</v>
      </c>
      <c r="I1569" s="47">
        <v>1980</v>
      </c>
      <c r="J1569" s="48">
        <f>H1569*I1569</f>
        <v>17820</v>
      </c>
      <c r="K1569" s="10">
        <v>1</v>
      </c>
    </row>
    <row r="1570" spans="1:11" ht="13" x14ac:dyDescent="0.3">
      <c r="A1570" s="11" t="s">
        <v>760</v>
      </c>
      <c r="B1570" s="10" t="s">
        <v>448</v>
      </c>
      <c r="C1570" s="10"/>
      <c r="D1570" s="163"/>
      <c r="E1570" s="50"/>
      <c r="F1570" s="235" t="s">
        <v>746</v>
      </c>
      <c r="G1570" s="44"/>
      <c r="H1570" s="45"/>
      <c r="I1570" s="47"/>
      <c r="J1570" s="48"/>
      <c r="K1570" s="10">
        <v>1</v>
      </c>
    </row>
    <row r="1571" spans="1:11" ht="13" x14ac:dyDescent="0.25">
      <c r="A1571" s="11" t="s">
        <v>760</v>
      </c>
      <c r="B1571" s="10" t="s">
        <v>448</v>
      </c>
      <c r="C1571" s="10"/>
      <c r="D1571" s="163" t="s">
        <v>522</v>
      </c>
      <c r="E1571" s="50"/>
      <c r="F1571" s="244" t="s">
        <v>747</v>
      </c>
      <c r="G1571" s="44" t="s">
        <v>175</v>
      </c>
      <c r="H1571" s="45">
        <v>1</v>
      </c>
      <c r="I1571" s="47">
        <v>1150</v>
      </c>
      <c r="J1571" s="48">
        <f>H1571*I1571</f>
        <v>1150</v>
      </c>
      <c r="K1571" s="10">
        <v>1</v>
      </c>
    </row>
    <row r="1572" spans="1:11" ht="13" x14ac:dyDescent="0.25">
      <c r="A1572" s="11" t="s">
        <v>760</v>
      </c>
      <c r="B1572" s="10" t="s">
        <v>448</v>
      </c>
      <c r="C1572" s="10"/>
      <c r="D1572" s="163"/>
      <c r="E1572" s="50"/>
      <c r="F1572" s="244" t="s">
        <v>748</v>
      </c>
      <c r="G1572" s="44"/>
      <c r="H1572" s="45"/>
      <c r="I1572" s="47"/>
      <c r="J1572" s="48"/>
      <c r="K1572" s="10">
        <v>1</v>
      </c>
    </row>
    <row r="1573" spans="1:11" ht="13" x14ac:dyDescent="0.25">
      <c r="A1573" s="11" t="s">
        <v>760</v>
      </c>
      <c r="B1573" s="10" t="s">
        <v>448</v>
      </c>
      <c r="C1573" s="10"/>
      <c r="D1573" s="163"/>
      <c r="E1573" s="50"/>
      <c r="F1573" s="244" t="s">
        <v>749</v>
      </c>
      <c r="G1573" s="44"/>
      <c r="H1573" s="45"/>
      <c r="I1573" s="47"/>
      <c r="J1573" s="48"/>
      <c r="K1573" s="10">
        <v>1</v>
      </c>
    </row>
    <row r="1574" spans="1:11" ht="13" x14ac:dyDescent="0.25">
      <c r="A1574" s="11" t="s">
        <v>760</v>
      </c>
      <c r="B1574" s="10" t="s">
        <v>448</v>
      </c>
      <c r="C1574" s="10"/>
      <c r="D1574" s="163"/>
      <c r="E1574" s="50"/>
      <c r="F1574" s="244" t="s">
        <v>750</v>
      </c>
      <c r="G1574" s="44"/>
      <c r="H1574" s="45"/>
      <c r="I1574" s="47"/>
      <c r="J1574" s="48"/>
      <c r="K1574" s="10">
        <v>1</v>
      </c>
    </row>
    <row r="1575" spans="1:11" ht="13" x14ac:dyDescent="0.3">
      <c r="A1575" s="11" t="s">
        <v>760</v>
      </c>
      <c r="B1575" s="10" t="s">
        <v>448</v>
      </c>
      <c r="C1575" s="10"/>
      <c r="D1575" s="163"/>
      <c r="E1575" s="50"/>
      <c r="F1575" s="218" t="s">
        <v>575</v>
      </c>
      <c r="G1575" s="44"/>
      <c r="H1575" s="45"/>
      <c r="I1575" s="47"/>
      <c r="J1575" s="48"/>
      <c r="K1575" s="10">
        <v>1</v>
      </c>
    </row>
    <row r="1576" spans="1:11" ht="37.5" x14ac:dyDescent="0.35">
      <c r="A1576" s="11" t="s">
        <v>760</v>
      </c>
      <c r="B1576" s="10" t="s">
        <v>448</v>
      </c>
      <c r="C1576" s="10"/>
      <c r="D1576" s="163"/>
      <c r="E1576" s="50"/>
      <c r="F1576" s="159" t="s">
        <v>576</v>
      </c>
      <c r="G1576" s="44"/>
      <c r="H1576" s="45"/>
      <c r="I1576" s="47"/>
      <c r="J1576" s="48"/>
      <c r="K1576" s="10">
        <v>1</v>
      </c>
    </row>
    <row r="1577" spans="1:11" ht="25" x14ac:dyDescent="0.35">
      <c r="A1577" s="11" t="s">
        <v>760</v>
      </c>
      <c r="B1577" s="10" t="s">
        <v>448</v>
      </c>
      <c r="C1577" s="10"/>
      <c r="D1577" s="163"/>
      <c r="E1577" s="50"/>
      <c r="F1577" s="159" t="s">
        <v>577</v>
      </c>
      <c r="G1577" s="44"/>
      <c r="H1577" s="45"/>
      <c r="I1577" s="47"/>
      <c r="J1577" s="55"/>
      <c r="K1577" s="10">
        <v>1</v>
      </c>
    </row>
    <row r="1578" spans="1:11" ht="13" x14ac:dyDescent="0.25">
      <c r="A1578" s="11" t="s">
        <v>760</v>
      </c>
      <c r="B1578" s="10" t="s">
        <v>448</v>
      </c>
      <c r="C1578" s="10"/>
      <c r="D1578" s="163"/>
      <c r="E1578" s="50"/>
      <c r="F1578" s="220" t="s">
        <v>578</v>
      </c>
      <c r="G1578" s="44"/>
      <c r="H1578" s="45"/>
      <c r="I1578" s="47"/>
      <c r="J1578" s="55"/>
      <c r="K1578" s="10">
        <v>1</v>
      </c>
    </row>
    <row r="1579" spans="1:11" ht="13" x14ac:dyDescent="0.25">
      <c r="A1579" s="11" t="s">
        <v>760</v>
      </c>
      <c r="B1579" s="10" t="s">
        <v>448</v>
      </c>
      <c r="C1579" s="10"/>
      <c r="D1579" s="163"/>
      <c r="E1579" s="50"/>
      <c r="F1579" s="234" t="s">
        <v>579</v>
      </c>
      <c r="G1579" s="44"/>
      <c r="H1579" s="45"/>
      <c r="I1579" s="47"/>
      <c r="J1579" s="48"/>
      <c r="K1579" s="10">
        <v>1</v>
      </c>
    </row>
    <row r="1580" spans="1:11" ht="13" x14ac:dyDescent="0.25">
      <c r="A1580" s="11" t="s">
        <v>760</v>
      </c>
      <c r="B1580" s="10" t="s">
        <v>448</v>
      </c>
      <c r="C1580" s="10"/>
      <c r="D1580" s="163"/>
      <c r="E1580" s="50"/>
      <c r="F1580" s="234" t="s">
        <v>580</v>
      </c>
      <c r="G1580" s="44"/>
      <c r="H1580" s="45"/>
      <c r="I1580" s="47"/>
      <c r="J1580" s="48"/>
      <c r="K1580" s="10">
        <v>1</v>
      </c>
    </row>
    <row r="1581" spans="1:11" ht="13" x14ac:dyDescent="0.35">
      <c r="A1581" s="11" t="s">
        <v>760</v>
      </c>
      <c r="B1581" s="10" t="s">
        <v>448</v>
      </c>
      <c r="C1581" s="10"/>
      <c r="D1581" s="163" t="s">
        <v>524</v>
      </c>
      <c r="E1581" s="50"/>
      <c r="F1581" s="187" t="s">
        <v>582</v>
      </c>
      <c r="G1581" s="44" t="s">
        <v>186</v>
      </c>
      <c r="H1581" s="45">
        <v>2</v>
      </c>
      <c r="I1581" s="47">
        <v>115</v>
      </c>
      <c r="J1581" s="48">
        <f>H1581*I1581</f>
        <v>230</v>
      </c>
      <c r="K1581" s="10">
        <v>1</v>
      </c>
    </row>
    <row r="1582" spans="1:11" ht="25" x14ac:dyDescent="0.35">
      <c r="A1582" s="11" t="s">
        <v>760</v>
      </c>
      <c r="B1582" s="10" t="s">
        <v>448</v>
      </c>
      <c r="C1582" s="10"/>
      <c r="D1582" s="163" t="s">
        <v>528</v>
      </c>
      <c r="E1582" s="50"/>
      <c r="F1582" s="187" t="s">
        <v>584</v>
      </c>
      <c r="G1582" s="44" t="s">
        <v>186</v>
      </c>
      <c r="H1582" s="45">
        <v>6</v>
      </c>
      <c r="I1582" s="47">
        <v>70</v>
      </c>
      <c r="J1582" s="48">
        <f>H1582*I1582</f>
        <v>420</v>
      </c>
      <c r="K1582" s="10">
        <v>1</v>
      </c>
    </row>
    <row r="1583" spans="1:11" ht="13" x14ac:dyDescent="0.35">
      <c r="A1583" s="11" t="s">
        <v>760</v>
      </c>
      <c r="B1583" s="10" t="s">
        <v>448</v>
      </c>
      <c r="C1583" s="10"/>
      <c r="D1583" s="163" t="s">
        <v>534</v>
      </c>
      <c r="E1583" s="50"/>
      <c r="F1583" s="187" t="s">
        <v>586</v>
      </c>
      <c r="G1583" s="44" t="s">
        <v>587</v>
      </c>
      <c r="H1583" s="45">
        <v>2</v>
      </c>
      <c r="I1583" s="47">
        <v>65</v>
      </c>
      <c r="J1583" s="48">
        <f>H1583*I1583</f>
        <v>130</v>
      </c>
      <c r="K1583" s="10">
        <v>1</v>
      </c>
    </row>
    <row r="1584" spans="1:11" ht="13" x14ac:dyDescent="0.35">
      <c r="A1584" s="11" t="s">
        <v>760</v>
      </c>
      <c r="B1584" s="10" t="s">
        <v>448</v>
      </c>
      <c r="C1584" s="10"/>
      <c r="D1584" s="163"/>
      <c r="E1584" s="50"/>
      <c r="F1584" s="249" t="s">
        <v>517</v>
      </c>
      <c r="G1584" s="44"/>
      <c r="H1584" s="45"/>
      <c r="I1584" s="47"/>
      <c r="J1584" s="48"/>
      <c r="K1584" s="10">
        <v>1</v>
      </c>
    </row>
    <row r="1585" spans="1:11" ht="13" x14ac:dyDescent="0.35">
      <c r="A1585" s="11" t="s">
        <v>760</v>
      </c>
      <c r="B1585" s="10" t="s">
        <v>448</v>
      </c>
      <c r="C1585" s="10"/>
      <c r="D1585" s="163" t="s">
        <v>536</v>
      </c>
      <c r="E1585" s="50"/>
      <c r="F1585" s="187" t="s">
        <v>589</v>
      </c>
      <c r="G1585" s="44" t="s">
        <v>186</v>
      </c>
      <c r="H1585" s="45">
        <v>10</v>
      </c>
      <c r="I1585" s="47">
        <v>200</v>
      </c>
      <c r="J1585" s="48">
        <f>H1585*I1585</f>
        <v>2000</v>
      </c>
      <c r="K1585" s="10">
        <v>1</v>
      </c>
    </row>
    <row r="1586" spans="1:11" ht="13" x14ac:dyDescent="0.35">
      <c r="A1586" s="11" t="s">
        <v>760</v>
      </c>
      <c r="B1586" s="10" t="s">
        <v>448</v>
      </c>
      <c r="C1586" s="10"/>
      <c r="D1586" s="163" t="s">
        <v>538</v>
      </c>
      <c r="E1586" s="50"/>
      <c r="F1586" s="187" t="s">
        <v>591</v>
      </c>
      <c r="G1586" s="44" t="s">
        <v>186</v>
      </c>
      <c r="H1586" s="45">
        <v>10</v>
      </c>
      <c r="I1586" s="47">
        <v>65</v>
      </c>
      <c r="J1586" s="48">
        <f>H1586*I1586</f>
        <v>650</v>
      </c>
      <c r="K1586" s="10">
        <v>1</v>
      </c>
    </row>
    <row r="1587" spans="1:11" ht="13" x14ac:dyDescent="0.35">
      <c r="A1587" s="11" t="s">
        <v>760</v>
      </c>
      <c r="B1587" s="10" t="s">
        <v>448</v>
      </c>
      <c r="C1587" s="10"/>
      <c r="D1587" s="163" t="s">
        <v>540</v>
      </c>
      <c r="E1587" s="50"/>
      <c r="F1587" s="187" t="s">
        <v>593</v>
      </c>
      <c r="G1587" s="44" t="s">
        <v>186</v>
      </c>
      <c r="H1587" s="45">
        <v>10</v>
      </c>
      <c r="I1587" s="47">
        <v>55</v>
      </c>
      <c r="J1587" s="48">
        <f>H1587*I1587</f>
        <v>550</v>
      </c>
      <c r="K1587" s="10">
        <v>1</v>
      </c>
    </row>
    <row r="1588" spans="1:11" ht="37.5" x14ac:dyDescent="0.35">
      <c r="A1588" s="11" t="s">
        <v>760</v>
      </c>
      <c r="B1588" s="10" t="s">
        <v>448</v>
      </c>
      <c r="C1588" s="10"/>
      <c r="D1588" s="163" t="s">
        <v>542</v>
      </c>
      <c r="E1588" s="50"/>
      <c r="F1588" s="187" t="s">
        <v>595</v>
      </c>
      <c r="G1588" s="44" t="s">
        <v>175</v>
      </c>
      <c r="H1588" s="45">
        <v>1</v>
      </c>
      <c r="I1588" s="47">
        <v>156</v>
      </c>
      <c r="J1588" s="48">
        <f>H1588*I1588</f>
        <v>156</v>
      </c>
      <c r="K1588" s="10">
        <v>1</v>
      </c>
    </row>
    <row r="1589" spans="1:11" ht="13" x14ac:dyDescent="0.35">
      <c r="A1589" s="11" t="s">
        <v>760</v>
      </c>
      <c r="B1589" s="10" t="s">
        <v>448</v>
      </c>
      <c r="C1589" s="10"/>
      <c r="D1589" s="163" t="s">
        <v>544</v>
      </c>
      <c r="E1589" s="50"/>
      <c r="F1589" s="187" t="s">
        <v>598</v>
      </c>
      <c r="G1589" s="44" t="s">
        <v>186</v>
      </c>
      <c r="H1589" s="45">
        <v>1</v>
      </c>
      <c r="I1589" s="47">
        <v>680</v>
      </c>
      <c r="J1589" s="48">
        <f>H1589*I1589</f>
        <v>680</v>
      </c>
      <c r="K1589" s="10">
        <v>1</v>
      </c>
    </row>
    <row r="1590" spans="1:11" ht="13" x14ac:dyDescent="0.35">
      <c r="A1590" s="11" t="s">
        <v>760</v>
      </c>
      <c r="B1590" s="10" t="s">
        <v>448</v>
      </c>
      <c r="C1590" s="10"/>
      <c r="D1590" s="163" t="s">
        <v>546</v>
      </c>
      <c r="E1590" s="50"/>
      <c r="F1590" s="187" t="s">
        <v>600</v>
      </c>
      <c r="G1590" s="44" t="s">
        <v>175</v>
      </c>
      <c r="H1590" s="45">
        <v>2</v>
      </c>
      <c r="I1590" s="47">
        <v>130</v>
      </c>
      <c r="J1590" s="48">
        <f>H1590*I1590</f>
        <v>260</v>
      </c>
      <c r="K1590" s="10">
        <v>1</v>
      </c>
    </row>
    <row r="1591" spans="1:11" ht="13" x14ac:dyDescent="0.35">
      <c r="A1591" s="11" t="s">
        <v>760</v>
      </c>
      <c r="B1591" s="10" t="s">
        <v>448</v>
      </c>
      <c r="C1591" s="10"/>
      <c r="D1591" s="163" t="s">
        <v>549</v>
      </c>
      <c r="E1591" s="50"/>
      <c r="F1591" s="187" t="s">
        <v>602</v>
      </c>
      <c r="G1591" s="44" t="s">
        <v>186</v>
      </c>
      <c r="H1591" s="250">
        <v>2</v>
      </c>
      <c r="I1591" s="252">
        <v>55</v>
      </c>
      <c r="J1591" s="281">
        <f>H1591*I1591</f>
        <v>110</v>
      </c>
      <c r="K1591" s="10">
        <v>1</v>
      </c>
    </row>
    <row r="1592" spans="1:11" ht="13" x14ac:dyDescent="0.35">
      <c r="A1592" s="283" t="s">
        <v>760</v>
      </c>
      <c r="B1592" s="10" t="s">
        <v>448</v>
      </c>
      <c r="C1592" s="10"/>
      <c r="D1592" s="285" t="s">
        <v>551</v>
      </c>
      <c r="E1592" s="286"/>
      <c r="F1592" s="187" t="s">
        <v>604</v>
      </c>
      <c r="G1592" s="44" t="s">
        <v>186</v>
      </c>
      <c r="H1592" s="250">
        <v>10</v>
      </c>
      <c r="I1592" s="252">
        <v>200</v>
      </c>
      <c r="J1592" s="281">
        <f>H1592*I1592</f>
        <v>2000</v>
      </c>
      <c r="K1592" s="10">
        <v>1</v>
      </c>
    </row>
    <row r="1593" spans="1:11" ht="13" x14ac:dyDescent="0.35">
      <c r="A1593" s="283" t="s">
        <v>760</v>
      </c>
      <c r="B1593" s="10" t="s">
        <v>448</v>
      </c>
      <c r="C1593" s="10"/>
      <c r="D1593" s="285" t="s">
        <v>553</v>
      </c>
      <c r="E1593" s="286"/>
      <c r="F1593" s="187" t="s">
        <v>606</v>
      </c>
      <c r="G1593" s="44" t="s">
        <v>186</v>
      </c>
      <c r="H1593" s="250">
        <v>10</v>
      </c>
      <c r="I1593" s="252">
        <v>200</v>
      </c>
      <c r="J1593" s="281">
        <f>H1593*I1593</f>
        <v>2000</v>
      </c>
      <c r="K1593" s="10">
        <v>1</v>
      </c>
    </row>
    <row r="1594" spans="1:11" ht="13" x14ac:dyDescent="0.35">
      <c r="A1594" s="283" t="s">
        <v>760</v>
      </c>
      <c r="B1594" s="10" t="s">
        <v>448</v>
      </c>
      <c r="C1594" s="10"/>
      <c r="D1594" s="285"/>
      <c r="E1594" s="286"/>
      <c r="F1594" s="253" t="s">
        <v>607</v>
      </c>
      <c r="G1594" s="44"/>
      <c r="H1594" s="45"/>
      <c r="I1594" s="287"/>
      <c r="J1594" s="281"/>
      <c r="K1594" s="10">
        <v>1</v>
      </c>
    </row>
    <row r="1595" spans="1:11" ht="13" x14ac:dyDescent="0.35">
      <c r="A1595" s="283" t="s">
        <v>760</v>
      </c>
      <c r="B1595" s="10" t="s">
        <v>448</v>
      </c>
      <c r="C1595" s="10"/>
      <c r="D1595" s="285" t="s">
        <v>555</v>
      </c>
      <c r="E1595" s="286"/>
      <c r="F1595" s="187" t="s">
        <v>609</v>
      </c>
      <c r="G1595" s="44" t="s">
        <v>175</v>
      </c>
      <c r="H1595" s="250">
        <v>1</v>
      </c>
      <c r="I1595" s="252">
        <v>1000</v>
      </c>
      <c r="J1595" s="281">
        <f>H1595*I1595</f>
        <v>1000</v>
      </c>
      <c r="K1595" s="10">
        <v>1</v>
      </c>
    </row>
    <row r="1596" spans="1:11" ht="13" x14ac:dyDescent="0.35">
      <c r="A1596" s="283" t="s">
        <v>760</v>
      </c>
      <c r="B1596" s="10" t="s">
        <v>448</v>
      </c>
      <c r="C1596" s="10"/>
      <c r="D1596" s="285"/>
      <c r="E1596" s="286"/>
      <c r="F1596" s="253" t="s">
        <v>610</v>
      </c>
      <c r="G1596" s="44"/>
      <c r="H1596" s="250"/>
      <c r="I1596" s="252"/>
      <c r="J1596" s="281"/>
      <c r="K1596" s="10">
        <v>1</v>
      </c>
    </row>
    <row r="1597" spans="1:11" ht="13" x14ac:dyDescent="0.35">
      <c r="A1597" s="283" t="s">
        <v>760</v>
      </c>
      <c r="B1597" s="10" t="s">
        <v>448</v>
      </c>
      <c r="C1597" s="10"/>
      <c r="D1597" s="285" t="s">
        <v>557</v>
      </c>
      <c r="E1597" s="286"/>
      <c r="F1597" s="187" t="s">
        <v>612</v>
      </c>
      <c r="G1597" s="44" t="s">
        <v>175</v>
      </c>
      <c r="H1597" s="250">
        <v>1</v>
      </c>
      <c r="I1597" s="252">
        <v>125</v>
      </c>
      <c r="J1597" s="281">
        <f>H1597*I1597</f>
        <v>125</v>
      </c>
      <c r="K1597" s="10">
        <v>1</v>
      </c>
    </row>
    <row r="1598" spans="1:11" ht="13" x14ac:dyDescent="0.35">
      <c r="A1598" s="283" t="s">
        <v>760</v>
      </c>
      <c r="B1598" s="10" t="s">
        <v>448</v>
      </c>
      <c r="C1598" s="10"/>
      <c r="D1598" s="285" t="s">
        <v>561</v>
      </c>
      <c r="E1598" s="286"/>
      <c r="F1598" s="187" t="s">
        <v>614</v>
      </c>
      <c r="G1598" s="44" t="s">
        <v>175</v>
      </c>
      <c r="H1598" s="250">
        <v>1</v>
      </c>
      <c r="I1598" s="252">
        <v>500</v>
      </c>
      <c r="J1598" s="281">
        <f>H1598*I1598</f>
        <v>500</v>
      </c>
      <c r="K1598" s="10">
        <v>1</v>
      </c>
    </row>
    <row r="1599" spans="1:11" ht="37.5" x14ac:dyDescent="0.35">
      <c r="A1599" s="283" t="s">
        <v>760</v>
      </c>
      <c r="B1599" s="10" t="s">
        <v>448</v>
      </c>
      <c r="C1599" s="10"/>
      <c r="D1599" s="285" t="s">
        <v>567</v>
      </c>
      <c r="E1599" s="286"/>
      <c r="F1599" s="187" t="s">
        <v>616</v>
      </c>
      <c r="G1599" s="44" t="s">
        <v>175</v>
      </c>
      <c r="H1599" s="250">
        <v>1</v>
      </c>
      <c r="I1599" s="252">
        <v>3500</v>
      </c>
      <c r="J1599" s="281">
        <f>H1599*I1599</f>
        <v>3500</v>
      </c>
      <c r="K1599" s="10">
        <v>1</v>
      </c>
    </row>
    <row r="1600" spans="1:11" ht="13" x14ac:dyDescent="0.3">
      <c r="A1600" s="283" t="s">
        <v>760</v>
      </c>
      <c r="B1600" s="10" t="s">
        <v>448</v>
      </c>
      <c r="C1600" s="10"/>
      <c r="D1600" s="285"/>
      <c r="E1600" s="286"/>
      <c r="F1600" s="218" t="s">
        <v>617</v>
      </c>
      <c r="G1600" s="44"/>
      <c r="H1600" s="254"/>
      <c r="I1600" s="256"/>
      <c r="J1600" s="281"/>
      <c r="K1600" s="10">
        <v>1</v>
      </c>
    </row>
    <row r="1601" spans="1:11" ht="13" x14ac:dyDescent="0.25">
      <c r="A1601" s="283" t="s">
        <v>760</v>
      </c>
      <c r="B1601" s="10" t="s">
        <v>448</v>
      </c>
      <c r="C1601" s="10"/>
      <c r="D1601" s="285" t="s">
        <v>570</v>
      </c>
      <c r="E1601" s="286"/>
      <c r="F1601" s="257" t="s">
        <v>752</v>
      </c>
      <c r="G1601" s="258"/>
      <c r="H1601" s="254"/>
      <c r="I1601" s="256"/>
      <c r="J1601" s="281"/>
      <c r="K1601" s="10">
        <v>1</v>
      </c>
    </row>
    <row r="1602" spans="1:11" ht="13" x14ac:dyDescent="0.25">
      <c r="A1602" s="283" t="s">
        <v>760</v>
      </c>
      <c r="B1602" s="10" t="s">
        <v>448</v>
      </c>
      <c r="C1602" s="10"/>
      <c r="D1602" s="285"/>
      <c r="E1602" s="286"/>
      <c r="F1602" s="257" t="s">
        <v>753</v>
      </c>
      <c r="G1602" s="258" t="s">
        <v>468</v>
      </c>
      <c r="H1602" s="250">
        <v>1</v>
      </c>
      <c r="I1602" s="259">
        <v>5000</v>
      </c>
      <c r="J1602" s="281">
        <f>H1602*I1602</f>
        <v>5000</v>
      </c>
      <c r="K1602" s="10">
        <v>1</v>
      </c>
    </row>
    <row r="1603" spans="1:11" ht="13" x14ac:dyDescent="0.35">
      <c r="A1603" s="283" t="s">
        <v>760</v>
      </c>
      <c r="B1603" s="10" t="s">
        <v>804</v>
      </c>
      <c r="C1603" s="10"/>
      <c r="D1603" s="283"/>
      <c r="E1603" s="283"/>
      <c r="F1603" s="288" t="s">
        <v>762</v>
      </c>
      <c r="G1603" s="44"/>
      <c r="H1603" s="45"/>
      <c r="I1603" s="289"/>
      <c r="J1603" s="281"/>
      <c r="K1603" s="10">
        <v>1</v>
      </c>
    </row>
    <row r="1604" spans="1:11" ht="13" x14ac:dyDescent="0.35">
      <c r="A1604" s="283" t="s">
        <v>760</v>
      </c>
      <c r="B1604" s="10" t="s">
        <v>804</v>
      </c>
      <c r="C1604" s="10"/>
      <c r="D1604" s="283"/>
      <c r="E1604" s="283"/>
      <c r="F1604" s="288" t="s">
        <v>763</v>
      </c>
      <c r="G1604" s="44"/>
      <c r="H1604" s="45"/>
      <c r="I1604" s="289"/>
      <c r="J1604" s="290"/>
      <c r="K1604" s="10">
        <v>1</v>
      </c>
    </row>
    <row r="1605" spans="1:11" ht="13" x14ac:dyDescent="0.35">
      <c r="A1605" s="283" t="s">
        <v>760</v>
      </c>
      <c r="B1605" s="10" t="s">
        <v>804</v>
      </c>
      <c r="C1605" s="10"/>
      <c r="D1605" s="283"/>
      <c r="E1605" s="283"/>
      <c r="F1605" s="292" t="s">
        <v>622</v>
      </c>
      <c r="G1605" s="44"/>
      <c r="H1605" s="45"/>
      <c r="I1605" s="289"/>
      <c r="J1605" s="290"/>
      <c r="K1605" s="10">
        <v>1</v>
      </c>
    </row>
    <row r="1606" spans="1:11" ht="13" x14ac:dyDescent="0.35">
      <c r="A1606" s="283" t="s">
        <v>760</v>
      </c>
      <c r="B1606" s="10" t="s">
        <v>804</v>
      </c>
      <c r="C1606" s="10"/>
      <c r="D1606" s="164"/>
      <c r="E1606" s="165"/>
      <c r="F1606" s="153" t="s">
        <v>623</v>
      </c>
      <c r="G1606" s="166"/>
      <c r="H1606" s="167"/>
      <c r="I1606" s="169"/>
      <c r="J1606" s="170"/>
      <c r="K1606" s="10">
        <v>1</v>
      </c>
    </row>
    <row r="1607" spans="1:11" ht="13" x14ac:dyDescent="0.35">
      <c r="A1607" s="283" t="s">
        <v>760</v>
      </c>
      <c r="B1607" s="10" t="s">
        <v>804</v>
      </c>
      <c r="C1607" s="10"/>
      <c r="D1607" s="173"/>
      <c r="E1607" s="174"/>
      <c r="F1607" s="154" t="s">
        <v>100</v>
      </c>
      <c r="G1607" s="175"/>
      <c r="H1607" s="176"/>
      <c r="I1607" s="178"/>
      <c r="J1607" s="179"/>
      <c r="K1607" s="10">
        <v>1</v>
      </c>
    </row>
    <row r="1608" spans="1:11" ht="13" x14ac:dyDescent="0.35">
      <c r="A1608" s="283" t="s">
        <v>760</v>
      </c>
      <c r="B1608" s="10" t="s">
        <v>804</v>
      </c>
      <c r="C1608" s="10"/>
      <c r="D1608" s="173"/>
      <c r="E1608" s="174"/>
      <c r="F1608" s="155" t="s">
        <v>101</v>
      </c>
      <c r="G1608" s="175"/>
      <c r="H1608" s="176"/>
      <c r="I1608" s="178"/>
      <c r="J1608" s="179"/>
      <c r="K1608" s="10">
        <v>1</v>
      </c>
    </row>
    <row r="1609" spans="1:11" ht="13" x14ac:dyDescent="0.35">
      <c r="A1609" s="283" t="s">
        <v>760</v>
      </c>
      <c r="B1609" s="10" t="s">
        <v>804</v>
      </c>
      <c r="C1609" s="10"/>
      <c r="D1609" s="293"/>
      <c r="E1609" s="293"/>
      <c r="F1609" s="294" t="s">
        <v>754</v>
      </c>
      <c r="G1609" s="110"/>
      <c r="H1609" s="182"/>
      <c r="I1609" s="295"/>
      <c r="J1609" s="296"/>
      <c r="K1609" s="10">
        <v>1</v>
      </c>
    </row>
    <row r="1610" spans="1:11" ht="37.5" x14ac:dyDescent="0.35">
      <c r="A1610" s="283" t="s">
        <v>760</v>
      </c>
      <c r="B1610" s="10" t="s">
        <v>804</v>
      </c>
      <c r="C1610" s="10"/>
      <c r="D1610" s="293" t="s">
        <v>20</v>
      </c>
      <c r="E1610" s="293"/>
      <c r="F1610" s="298" t="s">
        <v>805</v>
      </c>
      <c r="G1610" s="110" t="s">
        <v>468</v>
      </c>
      <c r="H1610" s="182">
        <v>1</v>
      </c>
      <c r="I1610" s="295">
        <v>20000</v>
      </c>
      <c r="J1610" s="296">
        <f>H1610*I1610</f>
        <v>20000</v>
      </c>
      <c r="K1610" s="10">
        <v>1</v>
      </c>
    </row>
    <row r="1611" spans="1:11" x14ac:dyDescent="0.35">
      <c r="A1611" s="283" t="s">
        <v>760</v>
      </c>
      <c r="B1611" s="10" t="s">
        <v>804</v>
      </c>
      <c r="C1611" s="10"/>
      <c r="D1611" s="293" t="s">
        <v>26</v>
      </c>
      <c r="E1611" s="293"/>
      <c r="F1611" s="299" t="s">
        <v>626</v>
      </c>
      <c r="G1611" s="110" t="s">
        <v>627</v>
      </c>
      <c r="H1611" s="189">
        <v>0.05</v>
      </c>
      <c r="I1611" s="295">
        <f>I1610</f>
        <v>20000</v>
      </c>
      <c r="J1611" s="296">
        <f>H1611*I1611</f>
        <v>1000</v>
      </c>
      <c r="K1611" s="10">
        <v>1</v>
      </c>
    </row>
    <row r="1612" spans="1:11" x14ac:dyDescent="0.35">
      <c r="A1612" s="283" t="s">
        <v>760</v>
      </c>
      <c r="B1612" s="10" t="s">
        <v>804</v>
      </c>
      <c r="C1612" s="10"/>
      <c r="D1612" s="293" t="s">
        <v>29</v>
      </c>
      <c r="E1612" s="293"/>
      <c r="F1612" s="299" t="s">
        <v>628</v>
      </c>
      <c r="G1612" s="110" t="s">
        <v>627</v>
      </c>
      <c r="H1612" s="189">
        <v>0.1</v>
      </c>
      <c r="I1612" s="295">
        <f>I1611</f>
        <v>20000</v>
      </c>
      <c r="J1612" s="296">
        <f>H1612*I1612</f>
        <v>2000</v>
      </c>
      <c r="K1612" s="10">
        <v>1</v>
      </c>
    </row>
    <row r="1613" spans="1:11" ht="13" x14ac:dyDescent="0.35">
      <c r="A1613" s="283" t="s">
        <v>760</v>
      </c>
      <c r="B1613" s="10" t="s">
        <v>804</v>
      </c>
      <c r="C1613" s="10"/>
      <c r="D1613" s="293"/>
      <c r="E1613" s="293"/>
      <c r="F1613" s="294" t="s">
        <v>624</v>
      </c>
      <c r="G1613" s="110"/>
      <c r="H1613" s="182"/>
      <c r="I1613" s="295"/>
      <c r="J1613" s="296"/>
      <c r="K1613" s="10">
        <v>1</v>
      </c>
    </row>
    <row r="1614" spans="1:11" ht="25" x14ac:dyDescent="0.35">
      <c r="A1614" s="283" t="s">
        <v>760</v>
      </c>
      <c r="B1614" s="10" t="s">
        <v>804</v>
      </c>
      <c r="C1614" s="10"/>
      <c r="D1614" s="293" t="s">
        <v>32</v>
      </c>
      <c r="E1614" s="293"/>
      <c r="F1614" s="298" t="s">
        <v>625</v>
      </c>
      <c r="G1614" s="110" t="s">
        <v>468</v>
      </c>
      <c r="H1614" s="182">
        <v>1</v>
      </c>
      <c r="I1614" s="295">
        <v>10000</v>
      </c>
      <c r="J1614" s="296">
        <f>H1614*I1614</f>
        <v>10000</v>
      </c>
      <c r="K1614" s="10">
        <v>1</v>
      </c>
    </row>
    <row r="1615" spans="1:11" x14ac:dyDescent="0.35">
      <c r="A1615" s="283" t="s">
        <v>760</v>
      </c>
      <c r="B1615" s="10" t="s">
        <v>804</v>
      </c>
      <c r="C1615" s="10"/>
      <c r="D1615" s="293" t="s">
        <v>36</v>
      </c>
      <c r="E1615" s="293"/>
      <c r="F1615" s="299" t="s">
        <v>626</v>
      </c>
      <c r="G1615" s="110" t="s">
        <v>627</v>
      </c>
      <c r="H1615" s="189">
        <v>0.05</v>
      </c>
      <c r="I1615" s="295">
        <f>I1614</f>
        <v>10000</v>
      </c>
      <c r="J1615" s="296">
        <f>H1615*I1615</f>
        <v>500</v>
      </c>
      <c r="K1615" s="10">
        <v>1</v>
      </c>
    </row>
    <row r="1616" spans="1:11" x14ac:dyDescent="0.35">
      <c r="A1616" s="283" t="s">
        <v>760</v>
      </c>
      <c r="B1616" s="10" t="s">
        <v>804</v>
      </c>
      <c r="C1616" s="10"/>
      <c r="D1616" s="293" t="s">
        <v>39</v>
      </c>
      <c r="E1616" s="293"/>
      <c r="F1616" s="299" t="s">
        <v>628</v>
      </c>
      <c r="G1616" s="110" t="s">
        <v>627</v>
      </c>
      <c r="H1616" s="189">
        <v>0.1</v>
      </c>
      <c r="I1616" s="295">
        <f>I1615</f>
        <v>10000</v>
      </c>
      <c r="J1616" s="296">
        <f>H1616*I1616</f>
        <v>1000</v>
      </c>
      <c r="K1616" s="10">
        <v>1</v>
      </c>
    </row>
    <row r="1617" spans="1:11" ht="13" x14ac:dyDescent="0.35">
      <c r="A1617" s="283" t="s">
        <v>760</v>
      </c>
      <c r="B1617" s="10" t="s">
        <v>804</v>
      </c>
      <c r="C1617" s="10"/>
      <c r="D1617" s="293"/>
      <c r="E1617" s="293"/>
      <c r="F1617" s="294" t="s">
        <v>629</v>
      </c>
      <c r="G1617" s="110"/>
      <c r="H1617" s="182"/>
      <c r="I1617" s="295"/>
      <c r="J1617" s="296"/>
      <c r="K1617" s="10">
        <v>1</v>
      </c>
    </row>
    <row r="1618" spans="1:11" ht="25" x14ac:dyDescent="0.35">
      <c r="A1618" s="283" t="s">
        <v>760</v>
      </c>
      <c r="B1618" s="10" t="s">
        <v>804</v>
      </c>
      <c r="C1618" s="10"/>
      <c r="D1618" s="293" t="s">
        <v>42</v>
      </c>
      <c r="E1618" s="293"/>
      <c r="F1618" s="67" t="s">
        <v>630</v>
      </c>
      <c r="G1618" s="110" t="s">
        <v>468</v>
      </c>
      <c r="H1618" s="182">
        <v>1</v>
      </c>
      <c r="I1618" s="295">
        <v>5000</v>
      </c>
      <c r="J1618" s="296">
        <f>H1618*I1618</f>
        <v>5000</v>
      </c>
      <c r="K1618" s="10">
        <v>1</v>
      </c>
    </row>
    <row r="1619" spans="1:11" x14ac:dyDescent="0.35">
      <c r="A1619" s="283" t="s">
        <v>760</v>
      </c>
      <c r="B1619" s="10" t="s">
        <v>804</v>
      </c>
      <c r="C1619" s="10"/>
      <c r="D1619" s="293" t="s">
        <v>45</v>
      </c>
      <c r="E1619" s="293"/>
      <c r="F1619" s="299" t="s">
        <v>626</v>
      </c>
      <c r="G1619" s="110" t="s">
        <v>627</v>
      </c>
      <c r="H1619" s="189">
        <v>0.05</v>
      </c>
      <c r="I1619" s="295">
        <f>I1618</f>
        <v>5000</v>
      </c>
      <c r="J1619" s="296">
        <f>H1619*I1619</f>
        <v>250</v>
      </c>
      <c r="K1619" s="10">
        <v>1</v>
      </c>
    </row>
    <row r="1620" spans="1:11" x14ac:dyDescent="0.35">
      <c r="A1620" s="283" t="s">
        <v>760</v>
      </c>
      <c r="B1620" s="10" t="s">
        <v>804</v>
      </c>
      <c r="C1620" s="10"/>
      <c r="D1620" s="293" t="s">
        <v>48</v>
      </c>
      <c r="E1620" s="293"/>
      <c r="F1620" s="299" t="s">
        <v>628</v>
      </c>
      <c r="G1620" s="110" t="s">
        <v>627</v>
      </c>
      <c r="H1620" s="189">
        <v>0.1</v>
      </c>
      <c r="I1620" s="295">
        <f>I1619</f>
        <v>5000</v>
      </c>
      <c r="J1620" s="296">
        <f>H1620*I1620</f>
        <v>500</v>
      </c>
      <c r="K1620" s="10">
        <v>1</v>
      </c>
    </row>
    <row r="1621" spans="1:11" ht="13" x14ac:dyDescent="0.35">
      <c r="A1621" s="283" t="s">
        <v>760</v>
      </c>
      <c r="B1621" s="10" t="s">
        <v>804</v>
      </c>
      <c r="C1621" s="10"/>
      <c r="D1621" s="293"/>
      <c r="E1621" s="293"/>
      <c r="F1621" s="294" t="s">
        <v>757</v>
      </c>
      <c r="G1621" s="110"/>
      <c r="H1621" s="260"/>
      <c r="I1621" s="295"/>
      <c r="J1621" s="296"/>
      <c r="K1621" s="10">
        <v>1</v>
      </c>
    </row>
    <row r="1622" spans="1:11" ht="25" x14ac:dyDescent="0.35">
      <c r="A1622" s="283" t="s">
        <v>760</v>
      </c>
      <c r="B1622" s="10" t="s">
        <v>804</v>
      </c>
      <c r="C1622" s="10"/>
      <c r="D1622" s="293" t="s">
        <v>51</v>
      </c>
      <c r="E1622" s="293"/>
      <c r="F1622" s="67" t="s">
        <v>806</v>
      </c>
      <c r="G1622" s="110" t="s">
        <v>468</v>
      </c>
      <c r="H1622" s="182">
        <v>1</v>
      </c>
      <c r="I1622" s="295">
        <v>80000</v>
      </c>
      <c r="J1622" s="296">
        <f>H1622*I1622</f>
        <v>80000</v>
      </c>
      <c r="K1622" s="10">
        <v>1</v>
      </c>
    </row>
    <row r="1623" spans="1:11" x14ac:dyDescent="0.35">
      <c r="A1623" s="283" t="s">
        <v>760</v>
      </c>
      <c r="B1623" s="10" t="s">
        <v>804</v>
      </c>
      <c r="C1623" s="10"/>
      <c r="D1623" s="293" t="s">
        <v>53</v>
      </c>
      <c r="E1623" s="293"/>
      <c r="F1623" s="299" t="s">
        <v>626</v>
      </c>
      <c r="G1623" s="110" t="s">
        <v>627</v>
      </c>
      <c r="H1623" s="189">
        <v>0.05</v>
      </c>
      <c r="I1623" s="295">
        <f>I1622</f>
        <v>80000</v>
      </c>
      <c r="J1623" s="296">
        <f>H1623*I1623</f>
        <v>4000</v>
      </c>
      <c r="K1623" s="10">
        <v>1</v>
      </c>
    </row>
    <row r="1624" spans="1:11" x14ac:dyDescent="0.35">
      <c r="A1624" s="283" t="s">
        <v>760</v>
      </c>
      <c r="B1624" s="10" t="s">
        <v>804</v>
      </c>
      <c r="C1624" s="10"/>
      <c r="D1624" s="293" t="s">
        <v>55</v>
      </c>
      <c r="E1624" s="293"/>
      <c r="F1624" s="299" t="s">
        <v>628</v>
      </c>
      <c r="G1624" s="110" t="s">
        <v>627</v>
      </c>
      <c r="H1624" s="189">
        <v>0.1</v>
      </c>
      <c r="I1624" s="295">
        <f>I1623</f>
        <v>80000</v>
      </c>
      <c r="J1624" s="296">
        <f>H1624*I1624</f>
        <v>8000</v>
      </c>
      <c r="K1624" s="10">
        <v>1</v>
      </c>
    </row>
    <row r="1625" spans="1:11" ht="13" x14ac:dyDescent="0.35">
      <c r="A1625" s="283" t="s">
        <v>760</v>
      </c>
      <c r="B1625" s="10" t="s">
        <v>804</v>
      </c>
      <c r="C1625" s="10"/>
      <c r="D1625" s="293"/>
      <c r="E1625" s="293"/>
      <c r="F1625" s="294" t="s">
        <v>807</v>
      </c>
      <c r="G1625" s="110"/>
      <c r="H1625" s="260"/>
      <c r="I1625" s="295"/>
      <c r="J1625" s="296"/>
      <c r="K1625" s="10">
        <v>1</v>
      </c>
    </row>
    <row r="1626" spans="1:11" x14ac:dyDescent="0.35">
      <c r="A1626" s="283" t="s">
        <v>760</v>
      </c>
      <c r="B1626" s="10" t="s">
        <v>804</v>
      </c>
      <c r="C1626" s="10"/>
      <c r="D1626" s="293" t="s">
        <v>58</v>
      </c>
      <c r="E1626" s="293"/>
      <c r="F1626" s="67" t="s">
        <v>808</v>
      </c>
      <c r="G1626" s="110" t="s">
        <v>468</v>
      </c>
      <c r="H1626" s="182">
        <v>1</v>
      </c>
      <c r="I1626" s="295">
        <v>50000</v>
      </c>
      <c r="J1626" s="296">
        <f>H1626*I1626</f>
        <v>50000</v>
      </c>
      <c r="K1626" s="10">
        <v>1</v>
      </c>
    </row>
    <row r="1627" spans="1:11" x14ac:dyDescent="0.35">
      <c r="A1627" s="283" t="s">
        <v>760</v>
      </c>
      <c r="B1627" s="10" t="s">
        <v>804</v>
      </c>
      <c r="C1627" s="10"/>
      <c r="D1627" s="293" t="s">
        <v>87</v>
      </c>
      <c r="E1627" s="293"/>
      <c r="F1627" s="299" t="s">
        <v>626</v>
      </c>
      <c r="G1627" s="110" t="s">
        <v>627</v>
      </c>
      <c r="H1627" s="189">
        <v>0.05</v>
      </c>
      <c r="I1627" s="295">
        <f>I1626</f>
        <v>50000</v>
      </c>
      <c r="J1627" s="296">
        <f>H1627*I1627</f>
        <v>2500</v>
      </c>
      <c r="K1627" s="10">
        <v>1</v>
      </c>
    </row>
    <row r="1628" spans="1:11" x14ac:dyDescent="0.35">
      <c r="A1628" s="283" t="s">
        <v>760</v>
      </c>
      <c r="B1628" s="10" t="s">
        <v>804</v>
      </c>
      <c r="C1628" s="10"/>
      <c r="D1628" s="293" t="s">
        <v>90</v>
      </c>
      <c r="E1628" s="293"/>
      <c r="F1628" s="299" t="s">
        <v>628</v>
      </c>
      <c r="G1628" s="110" t="s">
        <v>627</v>
      </c>
      <c r="H1628" s="189">
        <v>0.1</v>
      </c>
      <c r="I1628" s="295">
        <f>I1627</f>
        <v>50000</v>
      </c>
      <c r="J1628" s="296">
        <f>H1628*I1628</f>
        <v>5000</v>
      </c>
      <c r="K1628" s="10">
        <v>1</v>
      </c>
    </row>
    <row r="1629" spans="1:11" ht="13" x14ac:dyDescent="0.35">
      <c r="A1629" s="84" t="s">
        <v>809</v>
      </c>
      <c r="B1629" s="84" t="s">
        <v>761</v>
      </c>
      <c r="C1629" s="84"/>
      <c r="D1629" s="300"/>
      <c r="E1629" s="300"/>
      <c r="F1629" s="292" t="s">
        <v>810</v>
      </c>
      <c r="G1629" s="78"/>
      <c r="H1629" s="79"/>
      <c r="I1629" s="301"/>
      <c r="J1629" s="302"/>
      <c r="K1629" s="10">
        <v>1</v>
      </c>
    </row>
    <row r="1630" spans="1:11" ht="13" x14ac:dyDescent="0.35">
      <c r="A1630" s="84" t="s">
        <v>809</v>
      </c>
      <c r="B1630" s="84" t="s">
        <v>761</v>
      </c>
      <c r="C1630" s="84"/>
      <c r="D1630" s="300"/>
      <c r="E1630" s="300"/>
      <c r="F1630" s="292" t="s">
        <v>811</v>
      </c>
      <c r="G1630" s="78"/>
      <c r="H1630" s="79"/>
      <c r="I1630" s="301"/>
      <c r="J1630" s="302"/>
      <c r="K1630" s="10">
        <v>1</v>
      </c>
    </row>
    <row r="1631" spans="1:11" ht="13" x14ac:dyDescent="0.35">
      <c r="A1631" s="84" t="s">
        <v>809</v>
      </c>
      <c r="B1631" s="84" t="s">
        <v>761</v>
      </c>
      <c r="C1631" s="84"/>
      <c r="D1631" s="300"/>
      <c r="E1631" s="304"/>
      <c r="F1631" s="288" t="s">
        <v>97</v>
      </c>
      <c r="G1631" s="78"/>
      <c r="H1631" s="79"/>
      <c r="I1631" s="301"/>
      <c r="J1631" s="302"/>
      <c r="K1631" s="10">
        <v>1</v>
      </c>
    </row>
    <row r="1632" spans="1:11" ht="13" x14ac:dyDescent="0.35">
      <c r="A1632" s="84" t="s">
        <v>809</v>
      </c>
      <c r="B1632" s="84" t="s">
        <v>761</v>
      </c>
      <c r="C1632" s="84"/>
      <c r="D1632" s="300"/>
      <c r="E1632" s="300"/>
      <c r="F1632" s="288" t="s">
        <v>764</v>
      </c>
      <c r="G1632" s="78"/>
      <c r="H1632" s="79"/>
      <c r="I1632" s="301"/>
      <c r="J1632" s="302"/>
      <c r="K1632" s="10">
        <v>1</v>
      </c>
    </row>
    <row r="1633" spans="1:11" ht="13" x14ac:dyDescent="0.35">
      <c r="A1633" s="84" t="s">
        <v>809</v>
      </c>
      <c r="B1633" s="84" t="s">
        <v>761</v>
      </c>
      <c r="C1633" s="84"/>
      <c r="D1633" s="300"/>
      <c r="E1633" s="300"/>
      <c r="F1633" s="305" t="s">
        <v>100</v>
      </c>
      <c r="G1633" s="78"/>
      <c r="H1633" s="79"/>
      <c r="I1633" s="301"/>
      <c r="J1633" s="302"/>
      <c r="K1633" s="10">
        <v>1</v>
      </c>
    </row>
    <row r="1634" spans="1:11" x14ac:dyDescent="0.35">
      <c r="A1634" s="84" t="s">
        <v>809</v>
      </c>
      <c r="B1634" s="84" t="s">
        <v>761</v>
      </c>
      <c r="C1634" s="84"/>
      <c r="D1634" s="300"/>
      <c r="E1634" s="300"/>
      <c r="F1634" s="306" t="s">
        <v>101</v>
      </c>
      <c r="G1634" s="78"/>
      <c r="H1634" s="79"/>
      <c r="I1634" s="301"/>
      <c r="J1634" s="302"/>
      <c r="K1634" s="10">
        <v>1</v>
      </c>
    </row>
    <row r="1635" spans="1:11" ht="13" x14ac:dyDescent="0.35">
      <c r="A1635" s="84" t="s">
        <v>809</v>
      </c>
      <c r="B1635" s="84" t="s">
        <v>761</v>
      </c>
      <c r="C1635" s="84"/>
      <c r="D1635" s="300"/>
      <c r="E1635" s="300"/>
      <c r="F1635" s="305" t="s">
        <v>102</v>
      </c>
      <c r="G1635" s="78"/>
      <c r="H1635" s="79"/>
      <c r="I1635" s="301"/>
      <c r="J1635" s="302"/>
      <c r="K1635" s="10">
        <v>1</v>
      </c>
    </row>
    <row r="1636" spans="1:11" ht="13" x14ac:dyDescent="0.35">
      <c r="A1636" s="84" t="s">
        <v>809</v>
      </c>
      <c r="B1636" s="84" t="s">
        <v>761</v>
      </c>
      <c r="C1636" s="84"/>
      <c r="D1636" s="300"/>
      <c r="E1636" s="300"/>
      <c r="F1636" s="305" t="s">
        <v>765</v>
      </c>
      <c r="G1636" s="78"/>
      <c r="H1636" s="79"/>
      <c r="I1636" s="301"/>
      <c r="J1636" s="302"/>
      <c r="K1636" s="10">
        <v>1</v>
      </c>
    </row>
    <row r="1637" spans="1:11" ht="62.5" x14ac:dyDescent="0.35">
      <c r="A1637" s="84" t="s">
        <v>809</v>
      </c>
      <c r="B1637" s="84" t="s">
        <v>761</v>
      </c>
      <c r="C1637" s="84"/>
      <c r="D1637" s="300"/>
      <c r="E1637" s="300"/>
      <c r="F1637" s="307" t="s">
        <v>766</v>
      </c>
      <c r="G1637" s="78"/>
      <c r="H1637" s="79"/>
      <c r="I1637" s="301"/>
      <c r="J1637" s="302"/>
      <c r="K1637" s="10">
        <v>1</v>
      </c>
    </row>
    <row r="1638" spans="1:11" ht="13" x14ac:dyDescent="0.35">
      <c r="A1638" s="84" t="s">
        <v>809</v>
      </c>
      <c r="B1638" s="84" t="s">
        <v>761</v>
      </c>
      <c r="C1638" s="84"/>
      <c r="D1638" s="300"/>
      <c r="E1638" s="300"/>
      <c r="F1638" s="305" t="s">
        <v>767</v>
      </c>
      <c r="G1638" s="78"/>
      <c r="H1638" s="79"/>
      <c r="I1638" s="301"/>
      <c r="J1638" s="302"/>
      <c r="K1638" s="10">
        <v>1</v>
      </c>
    </row>
    <row r="1639" spans="1:11" ht="25" x14ac:dyDescent="0.35">
      <c r="A1639" s="84" t="s">
        <v>809</v>
      </c>
      <c r="B1639" s="84" t="s">
        <v>761</v>
      </c>
      <c r="C1639" s="84"/>
      <c r="D1639" s="300"/>
      <c r="E1639" s="300"/>
      <c r="F1639" s="307" t="s">
        <v>768</v>
      </c>
      <c r="G1639" s="78"/>
      <c r="H1639" s="79"/>
      <c r="I1639" s="301"/>
      <c r="J1639" s="302"/>
      <c r="K1639" s="10">
        <v>1</v>
      </c>
    </row>
    <row r="1640" spans="1:11" ht="13" x14ac:dyDescent="0.35">
      <c r="A1640" s="84" t="s">
        <v>809</v>
      </c>
      <c r="B1640" s="84" t="s">
        <v>761</v>
      </c>
      <c r="C1640" s="84"/>
      <c r="D1640" s="300"/>
      <c r="E1640" s="300"/>
      <c r="F1640" s="305" t="s">
        <v>398</v>
      </c>
      <c r="G1640" s="78"/>
      <c r="H1640" s="79"/>
      <c r="I1640" s="301"/>
      <c r="J1640" s="302"/>
      <c r="K1640" s="10">
        <v>1</v>
      </c>
    </row>
    <row r="1641" spans="1:11" ht="75" x14ac:dyDescent="0.35">
      <c r="A1641" s="84" t="s">
        <v>809</v>
      </c>
      <c r="B1641" s="84" t="s">
        <v>761</v>
      </c>
      <c r="C1641" s="84"/>
      <c r="D1641" s="300"/>
      <c r="E1641" s="300"/>
      <c r="F1641" s="307" t="s">
        <v>769</v>
      </c>
      <c r="G1641" s="78"/>
      <c r="H1641" s="79"/>
      <c r="I1641" s="301"/>
      <c r="J1641" s="302"/>
      <c r="K1641" s="10">
        <v>1</v>
      </c>
    </row>
    <row r="1642" spans="1:11" ht="100" x14ac:dyDescent="0.35">
      <c r="A1642" s="84" t="s">
        <v>809</v>
      </c>
      <c r="B1642" s="84" t="s">
        <v>761</v>
      </c>
      <c r="C1642" s="84"/>
      <c r="D1642" s="300"/>
      <c r="E1642" s="300"/>
      <c r="F1642" s="307" t="s">
        <v>770</v>
      </c>
      <c r="G1642" s="78"/>
      <c r="H1642" s="79"/>
      <c r="I1642" s="301"/>
      <c r="J1642" s="302"/>
      <c r="K1642" s="10">
        <v>1</v>
      </c>
    </row>
    <row r="1643" spans="1:11" ht="25" x14ac:dyDescent="0.35">
      <c r="A1643" s="84" t="s">
        <v>809</v>
      </c>
      <c r="B1643" s="84" t="s">
        <v>761</v>
      </c>
      <c r="C1643" s="84"/>
      <c r="D1643" s="300"/>
      <c r="E1643" s="300"/>
      <c r="F1643" s="307" t="s">
        <v>771</v>
      </c>
      <c r="G1643" s="78"/>
      <c r="H1643" s="79"/>
      <c r="I1643" s="301"/>
      <c r="J1643" s="302"/>
      <c r="K1643" s="10">
        <v>1</v>
      </c>
    </row>
    <row r="1644" spans="1:11" ht="25" x14ac:dyDescent="0.35">
      <c r="A1644" s="84" t="s">
        <v>809</v>
      </c>
      <c r="B1644" s="84" t="s">
        <v>761</v>
      </c>
      <c r="C1644" s="84"/>
      <c r="D1644" s="300"/>
      <c r="E1644" s="300"/>
      <c r="F1644" s="307" t="s">
        <v>772</v>
      </c>
      <c r="G1644" s="78"/>
      <c r="H1644" s="79"/>
      <c r="I1644" s="301"/>
      <c r="J1644" s="302"/>
      <c r="K1644" s="10">
        <v>1</v>
      </c>
    </row>
    <row r="1645" spans="1:11" ht="37.5" x14ac:dyDescent="0.35">
      <c r="A1645" s="84" t="s">
        <v>809</v>
      </c>
      <c r="B1645" s="84" t="s">
        <v>761</v>
      </c>
      <c r="C1645" s="84"/>
      <c r="D1645" s="300"/>
      <c r="E1645" s="300"/>
      <c r="F1645" s="307" t="s">
        <v>773</v>
      </c>
      <c r="G1645" s="78"/>
      <c r="H1645" s="79"/>
      <c r="I1645" s="301"/>
      <c r="J1645" s="302"/>
      <c r="K1645" s="10">
        <v>1</v>
      </c>
    </row>
    <row r="1646" spans="1:11" ht="37.5" x14ac:dyDescent="0.35">
      <c r="A1646" s="84" t="s">
        <v>809</v>
      </c>
      <c r="B1646" s="84" t="s">
        <v>761</v>
      </c>
      <c r="C1646" s="84"/>
      <c r="D1646" s="300"/>
      <c r="E1646" s="300"/>
      <c r="F1646" s="307" t="s">
        <v>774</v>
      </c>
      <c r="G1646" s="78"/>
      <c r="H1646" s="308"/>
      <c r="I1646" s="301"/>
      <c r="J1646" s="302"/>
      <c r="K1646" s="10">
        <v>1</v>
      </c>
    </row>
    <row r="1647" spans="1:11" ht="50" x14ac:dyDescent="0.35">
      <c r="A1647" s="84" t="s">
        <v>809</v>
      </c>
      <c r="B1647" s="84" t="s">
        <v>761</v>
      </c>
      <c r="C1647" s="84"/>
      <c r="D1647" s="300"/>
      <c r="E1647" s="300"/>
      <c r="F1647" s="307" t="s">
        <v>775</v>
      </c>
      <c r="G1647" s="78"/>
      <c r="H1647" s="79"/>
      <c r="I1647" s="301"/>
      <c r="J1647" s="302"/>
      <c r="K1647" s="10">
        <v>1</v>
      </c>
    </row>
    <row r="1648" spans="1:11" ht="13" x14ac:dyDescent="0.35">
      <c r="A1648" s="84" t="s">
        <v>809</v>
      </c>
      <c r="B1648" s="84" t="s">
        <v>761</v>
      </c>
      <c r="C1648" s="84"/>
      <c r="D1648" s="300"/>
      <c r="E1648" s="300"/>
      <c r="F1648" s="305" t="s">
        <v>776</v>
      </c>
      <c r="G1648" s="78"/>
      <c r="H1648" s="79"/>
      <c r="I1648" s="301"/>
      <c r="J1648" s="302"/>
      <c r="K1648" s="10">
        <v>1</v>
      </c>
    </row>
    <row r="1649" spans="1:11" ht="26" x14ac:dyDescent="0.35">
      <c r="A1649" s="84" t="s">
        <v>809</v>
      </c>
      <c r="B1649" s="84" t="s">
        <v>761</v>
      </c>
      <c r="C1649" s="84"/>
      <c r="D1649" s="300"/>
      <c r="E1649" s="300"/>
      <c r="F1649" s="310" t="s">
        <v>812</v>
      </c>
      <c r="G1649" s="78"/>
      <c r="H1649" s="79"/>
      <c r="I1649" s="301"/>
      <c r="J1649" s="302"/>
      <c r="K1649" s="10">
        <v>1</v>
      </c>
    </row>
    <row r="1650" spans="1:11" ht="25" x14ac:dyDescent="0.35">
      <c r="A1650" s="84" t="s">
        <v>809</v>
      </c>
      <c r="B1650" s="84" t="s">
        <v>761</v>
      </c>
      <c r="C1650" s="84"/>
      <c r="D1650" s="300" t="s">
        <v>20</v>
      </c>
      <c r="E1650" s="300"/>
      <c r="F1650" s="307" t="s">
        <v>813</v>
      </c>
      <c r="G1650" s="78" t="s">
        <v>175</v>
      </c>
      <c r="H1650" s="79">
        <v>18</v>
      </c>
      <c r="I1650" s="311">
        <v>300</v>
      </c>
      <c r="J1650" s="302">
        <f>H1650*I1650</f>
        <v>5400</v>
      </c>
      <c r="K1650" s="10">
        <v>1</v>
      </c>
    </row>
    <row r="1651" spans="1:11" ht="26" x14ac:dyDescent="0.35">
      <c r="A1651" s="84" t="s">
        <v>809</v>
      </c>
      <c r="B1651" s="84" t="s">
        <v>761</v>
      </c>
      <c r="C1651" s="84"/>
      <c r="D1651" s="300"/>
      <c r="E1651" s="300"/>
      <c r="F1651" s="310" t="s">
        <v>814</v>
      </c>
      <c r="G1651" s="78"/>
      <c r="H1651" s="79"/>
      <c r="I1651" s="301"/>
      <c r="J1651" s="302"/>
      <c r="K1651" s="10">
        <v>1</v>
      </c>
    </row>
    <row r="1652" spans="1:11" x14ac:dyDescent="0.35">
      <c r="A1652" s="84" t="s">
        <v>809</v>
      </c>
      <c r="B1652" s="84" t="s">
        <v>761</v>
      </c>
      <c r="C1652" s="84"/>
      <c r="D1652" s="300" t="s">
        <v>26</v>
      </c>
      <c r="E1652" s="300"/>
      <c r="F1652" s="307" t="s">
        <v>815</v>
      </c>
      <c r="G1652" s="78" t="s">
        <v>245</v>
      </c>
      <c r="H1652" s="79">
        <f>1104</f>
        <v>1104</v>
      </c>
      <c r="I1652" s="311">
        <v>25</v>
      </c>
      <c r="J1652" s="302">
        <f>H1652*I1652</f>
        <v>27600</v>
      </c>
      <c r="K1652" s="10">
        <v>1</v>
      </c>
    </row>
    <row r="1653" spans="1:11" ht="25" x14ac:dyDescent="0.35">
      <c r="A1653" s="84" t="s">
        <v>809</v>
      </c>
      <c r="B1653" s="84" t="s">
        <v>761</v>
      </c>
      <c r="C1653" s="84"/>
      <c r="D1653" s="300" t="s">
        <v>29</v>
      </c>
      <c r="E1653" s="300"/>
      <c r="F1653" s="307" t="s">
        <v>816</v>
      </c>
      <c r="G1653" s="78" t="s">
        <v>245</v>
      </c>
      <c r="H1653" s="79">
        <v>394</v>
      </c>
      <c r="I1653" s="311">
        <v>25</v>
      </c>
      <c r="J1653" s="302">
        <f>H1653*I1653</f>
        <v>9850</v>
      </c>
      <c r="K1653" s="10">
        <v>1</v>
      </c>
    </row>
    <row r="1654" spans="1:11" x14ac:dyDescent="0.35">
      <c r="A1654" s="84" t="s">
        <v>809</v>
      </c>
      <c r="B1654" s="84" t="s">
        <v>761</v>
      </c>
      <c r="C1654" s="84"/>
      <c r="D1654" s="300" t="s">
        <v>32</v>
      </c>
      <c r="E1654" s="300"/>
      <c r="F1654" s="307" t="s">
        <v>817</v>
      </c>
      <c r="G1654" s="44" t="s">
        <v>186</v>
      </c>
      <c r="H1654" s="312">
        <v>634</v>
      </c>
      <c r="I1654" s="314">
        <v>20</v>
      </c>
      <c r="J1654" s="302">
        <f>H1654*I1654</f>
        <v>12680</v>
      </c>
      <c r="K1654" s="10">
        <v>1</v>
      </c>
    </row>
    <row r="1655" spans="1:11" ht="26" x14ac:dyDescent="0.35">
      <c r="A1655" s="84" t="s">
        <v>809</v>
      </c>
      <c r="B1655" s="84" t="s">
        <v>761</v>
      </c>
      <c r="C1655" s="84"/>
      <c r="D1655" s="300"/>
      <c r="E1655" s="300"/>
      <c r="F1655" s="310" t="s">
        <v>818</v>
      </c>
      <c r="G1655" s="44"/>
      <c r="H1655" s="315"/>
      <c r="I1655" s="317"/>
      <c r="J1655" s="318"/>
      <c r="K1655" s="10">
        <v>1</v>
      </c>
    </row>
    <row r="1656" spans="1:11" x14ac:dyDescent="0.35">
      <c r="A1656" s="84" t="s">
        <v>809</v>
      </c>
      <c r="B1656" s="84" t="s">
        <v>761</v>
      </c>
      <c r="C1656" s="84"/>
      <c r="D1656" s="300" t="s">
        <v>36</v>
      </c>
      <c r="E1656" s="300"/>
      <c r="F1656" s="306" t="s">
        <v>819</v>
      </c>
      <c r="G1656" s="44" t="s">
        <v>596</v>
      </c>
      <c r="H1656" s="315">
        <v>30</v>
      </c>
      <c r="I1656" s="317">
        <v>350</v>
      </c>
      <c r="J1656" s="318">
        <f>H1656*I1656</f>
        <v>10500</v>
      </c>
      <c r="K1656" s="10">
        <v>1</v>
      </c>
    </row>
    <row r="1657" spans="1:11" ht="39" x14ac:dyDescent="0.35">
      <c r="A1657" s="84" t="s">
        <v>809</v>
      </c>
      <c r="B1657" s="84" t="s">
        <v>761</v>
      </c>
      <c r="C1657" s="84"/>
      <c r="D1657" s="300"/>
      <c r="E1657" s="300"/>
      <c r="F1657" s="310" t="s">
        <v>820</v>
      </c>
      <c r="G1657" s="44"/>
      <c r="H1657" s="312"/>
      <c r="I1657" s="317"/>
      <c r="J1657" s="281"/>
      <c r="K1657" s="10">
        <v>1</v>
      </c>
    </row>
    <row r="1658" spans="1:11" x14ac:dyDescent="0.35">
      <c r="A1658" s="84" t="s">
        <v>809</v>
      </c>
      <c r="B1658" s="84" t="s">
        <v>761</v>
      </c>
      <c r="C1658" s="84"/>
      <c r="D1658" s="300" t="s">
        <v>39</v>
      </c>
      <c r="E1658" s="300"/>
      <c r="F1658" s="320" t="s">
        <v>780</v>
      </c>
      <c r="G1658" s="44" t="s">
        <v>245</v>
      </c>
      <c r="H1658" s="315">
        <v>1470</v>
      </c>
      <c r="I1658" s="317">
        <v>45</v>
      </c>
      <c r="J1658" s="318">
        <f>H1658*I1658</f>
        <v>66150</v>
      </c>
      <c r="K1658" s="10">
        <v>1</v>
      </c>
    </row>
    <row r="1659" spans="1:11" ht="13" x14ac:dyDescent="0.35">
      <c r="A1659" s="84" t="s">
        <v>809</v>
      </c>
      <c r="B1659" s="84" t="s">
        <v>761</v>
      </c>
      <c r="C1659" s="84"/>
      <c r="D1659" s="300"/>
      <c r="E1659" s="300"/>
      <c r="F1659" s="310" t="s">
        <v>821</v>
      </c>
      <c r="G1659" s="78"/>
      <c r="H1659" s="79"/>
      <c r="I1659" s="311"/>
      <c r="J1659" s="302"/>
      <c r="K1659" s="10">
        <v>1</v>
      </c>
    </row>
    <row r="1660" spans="1:11" x14ac:dyDescent="0.35">
      <c r="A1660" s="84" t="s">
        <v>809</v>
      </c>
      <c r="B1660" s="84" t="s">
        <v>761</v>
      </c>
      <c r="C1660" s="84"/>
      <c r="D1660" s="300" t="s">
        <v>42</v>
      </c>
      <c r="E1660" s="300"/>
      <c r="F1660" s="307" t="s">
        <v>822</v>
      </c>
      <c r="G1660" s="44" t="s">
        <v>245</v>
      </c>
      <c r="H1660" s="315">
        <v>3742</v>
      </c>
      <c r="I1660" s="317">
        <v>20</v>
      </c>
      <c r="J1660" s="318">
        <f>H1660*I1660</f>
        <v>74840</v>
      </c>
      <c r="K1660" s="10">
        <v>1</v>
      </c>
    </row>
    <row r="1661" spans="1:11" ht="13" x14ac:dyDescent="0.35">
      <c r="A1661" s="84" t="s">
        <v>809</v>
      </c>
      <c r="B1661" s="84" t="s">
        <v>761</v>
      </c>
      <c r="C1661" s="84"/>
      <c r="D1661" s="300"/>
      <c r="E1661" s="300"/>
      <c r="F1661" s="305" t="s">
        <v>823</v>
      </c>
      <c r="G1661" s="44"/>
      <c r="H1661" s="321"/>
      <c r="I1661" s="317"/>
      <c r="J1661" s="318"/>
      <c r="K1661" s="10">
        <v>1</v>
      </c>
    </row>
    <row r="1662" spans="1:11" ht="14.5" x14ac:dyDescent="0.35">
      <c r="A1662" s="84" t="s">
        <v>809</v>
      </c>
      <c r="B1662" s="84" t="s">
        <v>761</v>
      </c>
      <c r="C1662" s="84"/>
      <c r="D1662" s="300" t="s">
        <v>45</v>
      </c>
      <c r="E1662" s="300"/>
      <c r="F1662" s="307" t="s">
        <v>824</v>
      </c>
      <c r="G1662" s="44" t="s">
        <v>110</v>
      </c>
      <c r="H1662" s="321">
        <v>1341</v>
      </c>
      <c r="I1662" s="317">
        <v>65</v>
      </c>
      <c r="J1662" s="318">
        <f>H1662*I1662</f>
        <v>87165</v>
      </c>
      <c r="K1662" s="10">
        <v>1</v>
      </c>
    </row>
    <row r="1663" spans="1:11" ht="13" x14ac:dyDescent="0.35">
      <c r="A1663" s="84" t="s">
        <v>809</v>
      </c>
      <c r="B1663" s="10" t="s">
        <v>825</v>
      </c>
      <c r="C1663" s="10"/>
      <c r="D1663" s="283"/>
      <c r="E1663" s="283"/>
      <c r="F1663" s="292" t="s">
        <v>810</v>
      </c>
      <c r="G1663" s="44"/>
      <c r="H1663" s="58"/>
      <c r="I1663" s="289"/>
      <c r="J1663" s="281"/>
      <c r="K1663" s="10">
        <v>1</v>
      </c>
    </row>
    <row r="1664" spans="1:11" ht="13" x14ac:dyDescent="0.35">
      <c r="A1664" s="84" t="s">
        <v>809</v>
      </c>
      <c r="B1664" s="10" t="s">
        <v>825</v>
      </c>
      <c r="C1664" s="10"/>
      <c r="D1664" s="283"/>
      <c r="E1664" s="283"/>
      <c r="F1664" s="292" t="s">
        <v>811</v>
      </c>
      <c r="G1664" s="44"/>
      <c r="H1664" s="58"/>
      <c r="I1664" s="289"/>
      <c r="J1664" s="281"/>
      <c r="K1664" s="10">
        <v>1</v>
      </c>
    </row>
    <row r="1665" spans="1:11" ht="13" x14ac:dyDescent="0.35">
      <c r="A1665" s="84" t="s">
        <v>809</v>
      </c>
      <c r="B1665" s="10" t="s">
        <v>825</v>
      </c>
      <c r="C1665" s="10"/>
      <c r="D1665" s="283"/>
      <c r="E1665" s="283"/>
      <c r="F1665" s="292" t="s">
        <v>137</v>
      </c>
      <c r="G1665" s="44"/>
      <c r="H1665" s="58"/>
      <c r="I1665" s="289"/>
      <c r="J1665" s="281"/>
      <c r="K1665" s="10">
        <v>1</v>
      </c>
    </row>
    <row r="1666" spans="1:11" ht="13" x14ac:dyDescent="0.35">
      <c r="A1666" s="84" t="s">
        <v>809</v>
      </c>
      <c r="B1666" s="10" t="s">
        <v>825</v>
      </c>
      <c r="C1666" s="10"/>
      <c r="D1666" s="283"/>
      <c r="E1666" s="283"/>
      <c r="F1666" s="292" t="s">
        <v>237</v>
      </c>
      <c r="G1666" s="44"/>
      <c r="H1666" s="58"/>
      <c r="I1666" s="289"/>
      <c r="J1666" s="281"/>
      <c r="K1666" s="10">
        <v>1</v>
      </c>
    </row>
    <row r="1667" spans="1:11" ht="13" x14ac:dyDescent="0.35">
      <c r="A1667" s="84" t="s">
        <v>809</v>
      </c>
      <c r="B1667" s="10" t="s">
        <v>825</v>
      </c>
      <c r="C1667" s="10"/>
      <c r="D1667" s="286"/>
      <c r="E1667" s="286"/>
      <c r="F1667" s="294" t="s">
        <v>100</v>
      </c>
      <c r="G1667" s="51"/>
      <c r="H1667" s="72"/>
      <c r="I1667" s="322"/>
      <c r="J1667" s="290"/>
      <c r="K1667" s="10">
        <v>1</v>
      </c>
    </row>
    <row r="1668" spans="1:11" ht="13" x14ac:dyDescent="0.35">
      <c r="A1668" s="84" t="s">
        <v>809</v>
      </c>
      <c r="B1668" s="10" t="s">
        <v>825</v>
      </c>
      <c r="C1668" s="10"/>
      <c r="D1668" s="286"/>
      <c r="E1668" s="286"/>
      <c r="F1668" s="298" t="s">
        <v>101</v>
      </c>
      <c r="G1668" s="51"/>
      <c r="H1668" s="74"/>
      <c r="I1668" s="322"/>
      <c r="J1668" s="290"/>
      <c r="K1668" s="10">
        <v>1</v>
      </c>
    </row>
    <row r="1669" spans="1:11" ht="13" x14ac:dyDescent="0.35">
      <c r="A1669" s="84" t="s">
        <v>809</v>
      </c>
      <c r="B1669" s="10" t="s">
        <v>825</v>
      </c>
      <c r="C1669" s="10"/>
      <c r="D1669" s="283"/>
      <c r="E1669" s="283"/>
      <c r="F1669" s="294" t="s">
        <v>238</v>
      </c>
      <c r="G1669" s="44"/>
      <c r="H1669" s="58"/>
      <c r="I1669" s="289"/>
      <c r="J1669" s="281"/>
      <c r="K1669" s="10">
        <v>1</v>
      </c>
    </row>
    <row r="1670" spans="1:11" ht="52" x14ac:dyDescent="0.35">
      <c r="A1670" s="84" t="s">
        <v>809</v>
      </c>
      <c r="B1670" s="10" t="s">
        <v>825</v>
      </c>
      <c r="C1670" s="10"/>
      <c r="D1670" s="283"/>
      <c r="E1670" s="283"/>
      <c r="F1670" s="294" t="s">
        <v>239</v>
      </c>
      <c r="G1670" s="44"/>
      <c r="H1670" s="45"/>
      <c r="I1670" s="289"/>
      <c r="J1670" s="281"/>
      <c r="K1670" s="10">
        <v>1</v>
      </c>
    </row>
    <row r="1671" spans="1:11" ht="25" x14ac:dyDescent="0.35">
      <c r="A1671" s="84" t="s">
        <v>809</v>
      </c>
      <c r="B1671" s="10" t="s">
        <v>825</v>
      </c>
      <c r="C1671" s="10"/>
      <c r="D1671" s="283" t="s">
        <v>20</v>
      </c>
      <c r="E1671" s="283"/>
      <c r="F1671" s="298" t="s">
        <v>240</v>
      </c>
      <c r="G1671" s="44" t="s">
        <v>110</v>
      </c>
      <c r="H1671" s="58">
        <v>1104</v>
      </c>
      <c r="I1671" s="289">
        <v>395</v>
      </c>
      <c r="J1671" s="281">
        <f>H1671*I1671</f>
        <v>436080</v>
      </c>
      <c r="K1671" s="10">
        <v>1</v>
      </c>
    </row>
    <row r="1672" spans="1:11" ht="13" x14ac:dyDescent="0.35">
      <c r="A1672" s="84" t="s">
        <v>809</v>
      </c>
      <c r="B1672" s="10" t="s">
        <v>825</v>
      </c>
      <c r="C1672" s="10"/>
      <c r="D1672" s="283"/>
      <c r="E1672" s="283"/>
      <c r="F1672" s="294" t="s">
        <v>241</v>
      </c>
      <c r="G1672" s="44"/>
      <c r="H1672" s="58"/>
      <c r="I1672" s="289"/>
      <c r="J1672" s="281"/>
      <c r="K1672" s="10">
        <v>1</v>
      </c>
    </row>
    <row r="1673" spans="1:11" x14ac:dyDescent="0.35">
      <c r="A1673" s="84" t="s">
        <v>809</v>
      </c>
      <c r="B1673" s="10" t="s">
        <v>825</v>
      </c>
      <c r="C1673" s="10"/>
      <c r="D1673" s="283" t="s">
        <v>26</v>
      </c>
      <c r="E1673" s="283"/>
      <c r="F1673" s="298" t="s">
        <v>242</v>
      </c>
      <c r="G1673" s="44" t="s">
        <v>186</v>
      </c>
      <c r="H1673" s="85">
        <f>47*5</f>
        <v>235</v>
      </c>
      <c r="I1673" s="289">
        <v>185</v>
      </c>
      <c r="J1673" s="281">
        <f>I1673*H1673</f>
        <v>43475</v>
      </c>
      <c r="K1673" s="10">
        <v>1</v>
      </c>
    </row>
    <row r="1674" spans="1:11" ht="13" x14ac:dyDescent="0.35">
      <c r="A1674" s="84" t="s">
        <v>809</v>
      </c>
      <c r="B1674" s="10" t="s">
        <v>825</v>
      </c>
      <c r="C1674" s="10"/>
      <c r="D1674" s="323"/>
      <c r="E1674" s="300"/>
      <c r="F1674" s="305" t="s">
        <v>243</v>
      </c>
      <c r="G1674" s="78"/>
      <c r="H1674" s="79"/>
      <c r="I1674" s="301"/>
      <c r="J1674" s="302"/>
      <c r="K1674" s="10">
        <v>1</v>
      </c>
    </row>
    <row r="1675" spans="1:11" ht="25" x14ac:dyDescent="0.35">
      <c r="A1675" s="84" t="s">
        <v>809</v>
      </c>
      <c r="B1675" s="10" t="s">
        <v>825</v>
      </c>
      <c r="C1675" s="10"/>
      <c r="D1675" s="283" t="s">
        <v>29</v>
      </c>
      <c r="E1675" s="300"/>
      <c r="F1675" s="307" t="s">
        <v>826</v>
      </c>
      <c r="G1675" s="78" t="s">
        <v>245</v>
      </c>
      <c r="H1675" s="79">
        <v>1104</v>
      </c>
      <c r="I1675" s="301">
        <v>135</v>
      </c>
      <c r="J1675" s="302">
        <f>H1675*I1675</f>
        <v>149040</v>
      </c>
      <c r="K1675" s="10">
        <v>1</v>
      </c>
    </row>
    <row r="1676" spans="1:11" ht="13" x14ac:dyDescent="0.35">
      <c r="A1676" s="84" t="s">
        <v>809</v>
      </c>
      <c r="B1676" s="10" t="s">
        <v>827</v>
      </c>
      <c r="C1676" s="10"/>
      <c r="D1676" s="283"/>
      <c r="E1676" s="283"/>
      <c r="F1676" s="292" t="s">
        <v>810</v>
      </c>
      <c r="G1676" s="44"/>
      <c r="H1676" s="45"/>
      <c r="I1676" s="289"/>
      <c r="J1676" s="281"/>
      <c r="K1676" s="10">
        <v>1</v>
      </c>
    </row>
    <row r="1677" spans="1:11" ht="13" x14ac:dyDescent="0.35">
      <c r="A1677" s="84" t="s">
        <v>809</v>
      </c>
      <c r="B1677" s="10" t="s">
        <v>827</v>
      </c>
      <c r="C1677" s="10"/>
      <c r="D1677" s="283"/>
      <c r="E1677" s="283"/>
      <c r="F1677" s="292" t="s">
        <v>811</v>
      </c>
      <c r="G1677" s="44"/>
      <c r="H1677" s="45"/>
      <c r="I1677" s="289"/>
      <c r="J1677" s="281"/>
      <c r="K1677" s="10">
        <v>1</v>
      </c>
    </row>
    <row r="1678" spans="1:11" ht="13" x14ac:dyDescent="0.35">
      <c r="A1678" s="84" t="s">
        <v>809</v>
      </c>
      <c r="B1678" s="10" t="s">
        <v>827</v>
      </c>
      <c r="C1678" s="10"/>
      <c r="D1678" s="283"/>
      <c r="E1678" s="283"/>
      <c r="F1678" s="292" t="s">
        <v>190</v>
      </c>
      <c r="G1678" s="44"/>
      <c r="H1678" s="45"/>
      <c r="I1678" s="289"/>
      <c r="J1678" s="281"/>
      <c r="K1678" s="10">
        <v>1</v>
      </c>
    </row>
    <row r="1679" spans="1:11" ht="13" x14ac:dyDescent="0.35">
      <c r="A1679" s="84" t="s">
        <v>809</v>
      </c>
      <c r="B1679" s="10" t="s">
        <v>827</v>
      </c>
      <c r="C1679" s="10"/>
      <c r="D1679" s="283"/>
      <c r="E1679" s="283"/>
      <c r="F1679" s="292" t="s">
        <v>248</v>
      </c>
      <c r="G1679" s="44"/>
      <c r="H1679" s="45"/>
      <c r="I1679" s="289"/>
      <c r="J1679" s="281"/>
      <c r="K1679" s="10">
        <v>1</v>
      </c>
    </row>
    <row r="1680" spans="1:11" ht="13" x14ac:dyDescent="0.35">
      <c r="A1680" s="84" t="s">
        <v>809</v>
      </c>
      <c r="B1680" s="10" t="s">
        <v>827</v>
      </c>
      <c r="C1680" s="10"/>
      <c r="D1680" s="283"/>
      <c r="E1680" s="283"/>
      <c r="F1680" s="294" t="s">
        <v>100</v>
      </c>
      <c r="G1680" s="44"/>
      <c r="H1680" s="45"/>
      <c r="I1680" s="289"/>
      <c r="J1680" s="281"/>
      <c r="K1680" s="10">
        <v>1</v>
      </c>
    </row>
    <row r="1681" spans="1:11" x14ac:dyDescent="0.35">
      <c r="A1681" s="84" t="s">
        <v>809</v>
      </c>
      <c r="B1681" s="10" t="s">
        <v>827</v>
      </c>
      <c r="C1681" s="10"/>
      <c r="D1681" s="283"/>
      <c r="E1681" s="283"/>
      <c r="F1681" s="298" t="s">
        <v>101</v>
      </c>
      <c r="G1681" s="44"/>
      <c r="H1681" s="45"/>
      <c r="I1681" s="289"/>
      <c r="J1681" s="281"/>
      <c r="K1681" s="10">
        <v>1</v>
      </c>
    </row>
    <row r="1682" spans="1:11" ht="13" x14ac:dyDescent="0.35">
      <c r="A1682" s="84" t="s">
        <v>809</v>
      </c>
      <c r="B1682" s="10" t="s">
        <v>827</v>
      </c>
      <c r="C1682" s="10"/>
      <c r="D1682" s="283"/>
      <c r="E1682" s="283"/>
      <c r="F1682" s="294" t="s">
        <v>102</v>
      </c>
      <c r="G1682" s="44"/>
      <c r="H1682" s="45"/>
      <c r="I1682" s="289"/>
      <c r="J1682" s="281"/>
      <c r="K1682" s="10">
        <v>1</v>
      </c>
    </row>
    <row r="1683" spans="1:11" x14ac:dyDescent="0.35">
      <c r="A1683" s="84" t="s">
        <v>809</v>
      </c>
      <c r="B1683" s="10" t="s">
        <v>827</v>
      </c>
      <c r="C1683" s="10"/>
      <c r="D1683" s="283"/>
      <c r="E1683" s="283"/>
      <c r="F1683" s="324" t="s">
        <v>249</v>
      </c>
      <c r="G1683" s="44"/>
      <c r="H1683" s="45"/>
      <c r="I1683" s="289"/>
      <c r="J1683" s="281"/>
      <c r="K1683" s="10">
        <v>1</v>
      </c>
    </row>
    <row r="1684" spans="1:11" ht="25" x14ac:dyDescent="0.35">
      <c r="A1684" s="84" t="s">
        <v>809</v>
      </c>
      <c r="B1684" s="10" t="s">
        <v>827</v>
      </c>
      <c r="C1684" s="10"/>
      <c r="D1684" s="283"/>
      <c r="E1684" s="283"/>
      <c r="F1684" s="298" t="s">
        <v>250</v>
      </c>
      <c r="G1684" s="44"/>
      <c r="H1684" s="45"/>
      <c r="I1684" s="289"/>
      <c r="J1684" s="281"/>
      <c r="K1684" s="10">
        <v>1</v>
      </c>
    </row>
    <row r="1685" spans="1:11" ht="37.5" x14ac:dyDescent="0.35">
      <c r="A1685" s="84" t="s">
        <v>809</v>
      </c>
      <c r="B1685" s="10" t="s">
        <v>827</v>
      </c>
      <c r="C1685" s="10"/>
      <c r="D1685" s="283"/>
      <c r="E1685" s="283"/>
      <c r="F1685" s="298" t="s">
        <v>251</v>
      </c>
      <c r="G1685" s="44"/>
      <c r="H1685" s="45"/>
      <c r="I1685" s="289"/>
      <c r="J1685" s="281"/>
      <c r="K1685" s="10">
        <v>1</v>
      </c>
    </row>
    <row r="1686" spans="1:11" x14ac:dyDescent="0.35">
      <c r="A1686" s="84" t="s">
        <v>809</v>
      </c>
      <c r="B1686" s="10" t="s">
        <v>827</v>
      </c>
      <c r="C1686" s="10"/>
      <c r="D1686" s="283"/>
      <c r="E1686" s="283"/>
      <c r="F1686" s="324" t="s">
        <v>252</v>
      </c>
      <c r="G1686" s="44"/>
      <c r="H1686" s="45"/>
      <c r="I1686" s="289"/>
      <c r="J1686" s="281"/>
      <c r="K1686" s="10">
        <v>1</v>
      </c>
    </row>
    <row r="1687" spans="1:11" ht="25" x14ac:dyDescent="0.35">
      <c r="A1687" s="84" t="s">
        <v>809</v>
      </c>
      <c r="B1687" s="10" t="s">
        <v>827</v>
      </c>
      <c r="C1687" s="10"/>
      <c r="D1687" s="283"/>
      <c r="E1687" s="283"/>
      <c r="F1687" s="298" t="s">
        <v>253</v>
      </c>
      <c r="G1687" s="44"/>
      <c r="H1687" s="45"/>
      <c r="I1687" s="289"/>
      <c r="J1687" s="281"/>
      <c r="K1687" s="10">
        <v>1</v>
      </c>
    </row>
    <row r="1688" spans="1:11" ht="25" x14ac:dyDescent="0.35">
      <c r="A1688" s="84" t="s">
        <v>809</v>
      </c>
      <c r="B1688" s="10" t="s">
        <v>827</v>
      </c>
      <c r="C1688" s="10"/>
      <c r="D1688" s="283"/>
      <c r="E1688" s="283"/>
      <c r="F1688" s="298" t="s">
        <v>254</v>
      </c>
      <c r="G1688" s="44"/>
      <c r="H1688" s="45"/>
      <c r="I1688" s="289"/>
      <c r="J1688" s="281"/>
      <c r="K1688" s="10">
        <v>1</v>
      </c>
    </row>
    <row r="1689" spans="1:11" x14ac:dyDescent="0.35">
      <c r="A1689" s="84" t="s">
        <v>809</v>
      </c>
      <c r="B1689" s="10" t="s">
        <v>827</v>
      </c>
      <c r="C1689" s="10"/>
      <c r="D1689" s="283"/>
      <c r="E1689" s="283"/>
      <c r="F1689" s="324" t="s">
        <v>255</v>
      </c>
      <c r="G1689" s="44"/>
      <c r="H1689" s="45"/>
      <c r="I1689" s="289"/>
      <c r="J1689" s="281"/>
      <c r="K1689" s="10">
        <v>1</v>
      </c>
    </row>
    <row r="1690" spans="1:11" ht="25" x14ac:dyDescent="0.35">
      <c r="A1690" s="84" t="s">
        <v>809</v>
      </c>
      <c r="B1690" s="10" t="s">
        <v>827</v>
      </c>
      <c r="C1690" s="10"/>
      <c r="D1690" s="283"/>
      <c r="E1690" s="283"/>
      <c r="F1690" s="298" t="s">
        <v>256</v>
      </c>
      <c r="G1690" s="44"/>
      <c r="H1690" s="45"/>
      <c r="I1690" s="289"/>
      <c r="J1690" s="281"/>
      <c r="K1690" s="10">
        <v>1</v>
      </c>
    </row>
    <row r="1691" spans="1:11" ht="37.5" x14ac:dyDescent="0.35">
      <c r="A1691" s="84" t="s">
        <v>809</v>
      </c>
      <c r="B1691" s="10" t="s">
        <v>827</v>
      </c>
      <c r="C1691" s="10"/>
      <c r="D1691" s="283"/>
      <c r="E1691" s="283"/>
      <c r="F1691" s="298" t="s">
        <v>257</v>
      </c>
      <c r="G1691" s="44"/>
      <c r="H1691" s="45"/>
      <c r="I1691" s="289"/>
      <c r="J1691" s="281"/>
      <c r="K1691" s="10">
        <v>1</v>
      </c>
    </row>
    <row r="1692" spans="1:11" ht="13" x14ac:dyDescent="0.35">
      <c r="A1692" s="84" t="s">
        <v>809</v>
      </c>
      <c r="B1692" s="10" t="s">
        <v>827</v>
      </c>
      <c r="C1692" s="10"/>
      <c r="D1692" s="283"/>
      <c r="E1692" s="283"/>
      <c r="F1692" s="294" t="s">
        <v>258</v>
      </c>
      <c r="G1692" s="44"/>
      <c r="H1692" s="45"/>
      <c r="I1692" s="289"/>
      <c r="J1692" s="281"/>
      <c r="K1692" s="10">
        <v>1</v>
      </c>
    </row>
    <row r="1693" spans="1:11" ht="26" x14ac:dyDescent="0.35">
      <c r="A1693" s="84" t="s">
        <v>809</v>
      </c>
      <c r="B1693" s="10" t="s">
        <v>827</v>
      </c>
      <c r="C1693" s="10"/>
      <c r="D1693" s="283"/>
      <c r="E1693" s="325"/>
      <c r="F1693" s="294" t="s">
        <v>259</v>
      </c>
      <c r="G1693" s="44"/>
      <c r="H1693" s="326"/>
      <c r="I1693" s="289"/>
      <c r="J1693" s="281"/>
      <c r="K1693" s="10">
        <v>1</v>
      </c>
    </row>
    <row r="1694" spans="1:11" x14ac:dyDescent="0.35">
      <c r="A1694" s="84" t="s">
        <v>809</v>
      </c>
      <c r="B1694" s="10" t="s">
        <v>827</v>
      </c>
      <c r="C1694" s="10"/>
      <c r="D1694" s="283" t="s">
        <v>20</v>
      </c>
      <c r="E1694" s="325"/>
      <c r="F1694" s="298" t="s">
        <v>260</v>
      </c>
      <c r="G1694" s="44" t="s">
        <v>186</v>
      </c>
      <c r="H1694" s="326">
        <f>55*5</f>
        <v>275</v>
      </c>
      <c r="I1694" s="289">
        <v>95</v>
      </c>
      <c r="J1694" s="281">
        <f>H1694*I1694</f>
        <v>26125</v>
      </c>
      <c r="K1694" s="10">
        <v>1</v>
      </c>
    </row>
    <row r="1695" spans="1:11" ht="13" x14ac:dyDescent="0.35">
      <c r="A1695" s="84" t="s">
        <v>809</v>
      </c>
      <c r="B1695" s="10" t="s">
        <v>827</v>
      </c>
      <c r="C1695" s="10"/>
      <c r="D1695" s="283"/>
      <c r="E1695" s="283"/>
      <c r="F1695" s="294" t="s">
        <v>261</v>
      </c>
      <c r="G1695" s="44"/>
      <c r="H1695" s="45"/>
      <c r="I1695" s="289"/>
      <c r="J1695" s="281"/>
      <c r="K1695" s="10">
        <v>1</v>
      </c>
    </row>
    <row r="1696" spans="1:11" ht="13" x14ac:dyDescent="0.35">
      <c r="A1696" s="84" t="s">
        <v>809</v>
      </c>
      <c r="B1696" s="10" t="s">
        <v>827</v>
      </c>
      <c r="C1696" s="10"/>
      <c r="D1696" s="283"/>
      <c r="E1696" s="283"/>
      <c r="F1696" s="294" t="s">
        <v>262</v>
      </c>
      <c r="G1696" s="44"/>
      <c r="H1696" s="58"/>
      <c r="I1696" s="289"/>
      <c r="J1696" s="281"/>
      <c r="K1696" s="10">
        <v>1</v>
      </c>
    </row>
    <row r="1697" spans="1:11" ht="25" x14ac:dyDescent="0.35">
      <c r="A1697" s="84" t="s">
        <v>809</v>
      </c>
      <c r="B1697" s="10" t="s">
        <v>827</v>
      </c>
      <c r="C1697" s="10"/>
      <c r="D1697" s="283" t="s">
        <v>26</v>
      </c>
      <c r="E1697" s="283"/>
      <c r="F1697" s="298" t="s">
        <v>828</v>
      </c>
      <c r="G1697" s="44" t="s">
        <v>175</v>
      </c>
      <c r="H1697" s="58">
        <v>18</v>
      </c>
      <c r="I1697" s="289">
        <v>2500</v>
      </c>
      <c r="J1697" s="281">
        <f>H1697*I1697</f>
        <v>45000</v>
      </c>
      <c r="K1697" s="10">
        <v>1</v>
      </c>
    </row>
    <row r="1698" spans="1:11" ht="13" x14ac:dyDescent="0.35">
      <c r="A1698" s="84" t="s">
        <v>809</v>
      </c>
      <c r="B1698" s="10" t="s">
        <v>829</v>
      </c>
      <c r="C1698" s="10"/>
      <c r="D1698" s="283"/>
      <c r="E1698" s="283"/>
      <c r="F1698" s="292" t="s">
        <v>810</v>
      </c>
      <c r="G1698" s="44"/>
      <c r="H1698" s="45"/>
      <c r="I1698" s="289"/>
      <c r="J1698" s="281"/>
      <c r="K1698" s="10">
        <v>1</v>
      </c>
    </row>
    <row r="1699" spans="1:11" ht="13" x14ac:dyDescent="0.35">
      <c r="A1699" s="84" t="s">
        <v>809</v>
      </c>
      <c r="B1699" s="10" t="s">
        <v>829</v>
      </c>
      <c r="C1699" s="10"/>
      <c r="D1699" s="283"/>
      <c r="E1699" s="283"/>
      <c r="F1699" s="292" t="s">
        <v>811</v>
      </c>
      <c r="G1699" s="44"/>
      <c r="H1699" s="45"/>
      <c r="I1699" s="289"/>
      <c r="J1699" s="281"/>
      <c r="K1699" s="10">
        <v>1</v>
      </c>
    </row>
    <row r="1700" spans="1:11" ht="13" x14ac:dyDescent="0.35">
      <c r="A1700" s="84" t="s">
        <v>809</v>
      </c>
      <c r="B1700" s="10" t="s">
        <v>829</v>
      </c>
      <c r="C1700" s="10"/>
      <c r="D1700" s="283"/>
      <c r="E1700" s="283"/>
      <c r="F1700" s="292" t="s">
        <v>225</v>
      </c>
      <c r="G1700" s="44"/>
      <c r="H1700" s="45"/>
      <c r="I1700" s="289"/>
      <c r="J1700" s="281"/>
      <c r="K1700" s="10">
        <v>1</v>
      </c>
    </row>
    <row r="1701" spans="1:11" ht="13" x14ac:dyDescent="0.35">
      <c r="A1701" s="84" t="s">
        <v>809</v>
      </c>
      <c r="B1701" s="10" t="s">
        <v>829</v>
      </c>
      <c r="C1701" s="10"/>
      <c r="D1701" s="283"/>
      <c r="E1701" s="283"/>
      <c r="F1701" s="292" t="s">
        <v>279</v>
      </c>
      <c r="G1701" s="44"/>
      <c r="H1701" s="45"/>
      <c r="I1701" s="289"/>
      <c r="J1701" s="281"/>
      <c r="K1701" s="10">
        <v>1</v>
      </c>
    </row>
    <row r="1702" spans="1:11" ht="13" x14ac:dyDescent="0.35">
      <c r="A1702" s="84" t="s">
        <v>809</v>
      </c>
      <c r="B1702" s="10" t="s">
        <v>829</v>
      </c>
      <c r="C1702" s="10"/>
      <c r="D1702" s="283"/>
      <c r="E1702" s="283"/>
      <c r="F1702" s="294" t="s">
        <v>100</v>
      </c>
      <c r="G1702" s="44"/>
      <c r="H1702" s="45"/>
      <c r="I1702" s="289"/>
      <c r="J1702" s="281"/>
      <c r="K1702" s="10">
        <v>1</v>
      </c>
    </row>
    <row r="1703" spans="1:11" x14ac:dyDescent="0.35">
      <c r="A1703" s="84" t="s">
        <v>809</v>
      </c>
      <c r="B1703" s="10" t="s">
        <v>829</v>
      </c>
      <c r="C1703" s="10"/>
      <c r="D1703" s="283"/>
      <c r="E1703" s="283"/>
      <c r="F1703" s="298" t="s">
        <v>101</v>
      </c>
      <c r="G1703" s="44"/>
      <c r="H1703" s="45"/>
      <c r="I1703" s="289"/>
      <c r="J1703" s="281"/>
      <c r="K1703" s="10">
        <v>1</v>
      </c>
    </row>
    <row r="1704" spans="1:11" ht="13" x14ac:dyDescent="0.35">
      <c r="A1704" s="84" t="s">
        <v>809</v>
      </c>
      <c r="B1704" s="10" t="s">
        <v>829</v>
      </c>
      <c r="C1704" s="10"/>
      <c r="D1704" s="283"/>
      <c r="E1704" s="283"/>
      <c r="F1704" s="294" t="s">
        <v>102</v>
      </c>
      <c r="G1704" s="44"/>
      <c r="H1704" s="45"/>
      <c r="I1704" s="289"/>
      <c r="J1704" s="281"/>
      <c r="K1704" s="10">
        <v>1</v>
      </c>
    </row>
    <row r="1705" spans="1:11" x14ac:dyDescent="0.35">
      <c r="A1705" s="84" t="s">
        <v>809</v>
      </c>
      <c r="B1705" s="10" t="s">
        <v>829</v>
      </c>
      <c r="C1705" s="10"/>
      <c r="D1705" s="283"/>
      <c r="E1705" s="283"/>
      <c r="F1705" s="324" t="s">
        <v>280</v>
      </c>
      <c r="G1705" s="44"/>
      <c r="H1705" s="45"/>
      <c r="I1705" s="289"/>
      <c r="J1705" s="281"/>
      <c r="K1705" s="10">
        <v>1</v>
      </c>
    </row>
    <row r="1706" spans="1:11" ht="25" x14ac:dyDescent="0.35">
      <c r="A1706" s="84" t="s">
        <v>809</v>
      </c>
      <c r="B1706" s="10" t="s">
        <v>829</v>
      </c>
      <c r="C1706" s="10"/>
      <c r="D1706" s="283"/>
      <c r="E1706" s="283"/>
      <c r="F1706" s="298" t="s">
        <v>281</v>
      </c>
      <c r="G1706" s="44"/>
      <c r="H1706" s="45"/>
      <c r="I1706" s="289"/>
      <c r="J1706" s="281"/>
      <c r="K1706" s="10">
        <v>1</v>
      </c>
    </row>
    <row r="1707" spans="1:11" ht="37.5" x14ac:dyDescent="0.35">
      <c r="A1707" s="84" t="s">
        <v>809</v>
      </c>
      <c r="B1707" s="10" t="s">
        <v>829</v>
      </c>
      <c r="C1707" s="10"/>
      <c r="D1707" s="283"/>
      <c r="E1707" s="283"/>
      <c r="F1707" s="298" t="s">
        <v>282</v>
      </c>
      <c r="G1707" s="44"/>
      <c r="H1707" s="45"/>
      <c r="I1707" s="289"/>
      <c r="J1707" s="281"/>
      <c r="K1707" s="10">
        <v>1</v>
      </c>
    </row>
    <row r="1708" spans="1:11" x14ac:dyDescent="0.35">
      <c r="A1708" s="84" t="s">
        <v>809</v>
      </c>
      <c r="B1708" s="10" t="s">
        <v>829</v>
      </c>
      <c r="C1708" s="10"/>
      <c r="D1708" s="283"/>
      <c r="E1708" s="283"/>
      <c r="F1708" s="324" t="s">
        <v>283</v>
      </c>
      <c r="G1708" s="44"/>
      <c r="H1708" s="45"/>
      <c r="I1708" s="289"/>
      <c r="J1708" s="281"/>
      <c r="K1708" s="10">
        <v>1</v>
      </c>
    </row>
    <row r="1709" spans="1:11" x14ac:dyDescent="0.35">
      <c r="A1709" s="84" t="s">
        <v>809</v>
      </c>
      <c r="B1709" s="10" t="s">
        <v>829</v>
      </c>
      <c r="C1709" s="10"/>
      <c r="D1709" s="283"/>
      <c r="E1709" s="283"/>
      <c r="F1709" s="298" t="s">
        <v>284</v>
      </c>
      <c r="G1709" s="44"/>
      <c r="H1709" s="45"/>
      <c r="I1709" s="289"/>
      <c r="J1709" s="281"/>
      <c r="K1709" s="10">
        <v>1</v>
      </c>
    </row>
    <row r="1710" spans="1:11" ht="62.5" x14ac:dyDescent="0.35">
      <c r="A1710" s="84" t="s">
        <v>809</v>
      </c>
      <c r="B1710" s="10" t="s">
        <v>829</v>
      </c>
      <c r="C1710" s="10"/>
      <c r="D1710" s="283"/>
      <c r="E1710" s="283"/>
      <c r="F1710" s="298" t="s">
        <v>285</v>
      </c>
      <c r="G1710" s="44"/>
      <c r="H1710" s="45"/>
      <c r="I1710" s="289"/>
      <c r="J1710" s="281"/>
      <c r="K1710" s="10">
        <v>1</v>
      </c>
    </row>
    <row r="1711" spans="1:11" x14ac:dyDescent="0.35">
      <c r="A1711" s="84" t="s">
        <v>809</v>
      </c>
      <c r="B1711" s="10" t="s">
        <v>829</v>
      </c>
      <c r="C1711" s="10"/>
      <c r="D1711" s="283"/>
      <c r="E1711" s="283"/>
      <c r="F1711" s="324" t="s">
        <v>286</v>
      </c>
      <c r="G1711" s="44"/>
      <c r="H1711" s="45"/>
      <c r="I1711" s="289"/>
      <c r="J1711" s="281"/>
      <c r="K1711" s="10">
        <v>1</v>
      </c>
    </row>
    <row r="1712" spans="1:11" ht="25" x14ac:dyDescent="0.35">
      <c r="A1712" s="84" t="s">
        <v>809</v>
      </c>
      <c r="B1712" s="10" t="s">
        <v>829</v>
      </c>
      <c r="C1712" s="10"/>
      <c r="D1712" s="283"/>
      <c r="E1712" s="283"/>
      <c r="F1712" s="298" t="s">
        <v>287</v>
      </c>
      <c r="G1712" s="44"/>
      <c r="H1712" s="45"/>
      <c r="I1712" s="289"/>
      <c r="J1712" s="281"/>
      <c r="K1712" s="10">
        <v>1</v>
      </c>
    </row>
    <row r="1713" spans="1:11" ht="13" x14ac:dyDescent="0.35">
      <c r="A1713" s="84" t="s">
        <v>809</v>
      </c>
      <c r="B1713" s="10" t="s">
        <v>829</v>
      </c>
      <c r="C1713" s="10"/>
      <c r="D1713" s="283"/>
      <c r="E1713" s="283"/>
      <c r="F1713" s="294" t="s">
        <v>288</v>
      </c>
      <c r="G1713" s="44"/>
      <c r="H1713" s="45"/>
      <c r="I1713" s="289"/>
      <c r="J1713" s="281"/>
      <c r="K1713" s="10">
        <v>1</v>
      </c>
    </row>
    <row r="1714" spans="1:11" ht="13" x14ac:dyDescent="0.35">
      <c r="A1714" s="84" t="s">
        <v>809</v>
      </c>
      <c r="B1714" s="10" t="s">
        <v>829</v>
      </c>
      <c r="C1714" s="10"/>
      <c r="D1714" s="283"/>
      <c r="E1714" s="283"/>
      <c r="F1714" s="294" t="s">
        <v>289</v>
      </c>
      <c r="G1714" s="44"/>
      <c r="H1714" s="45"/>
      <c r="I1714" s="289"/>
      <c r="J1714" s="281"/>
      <c r="K1714" s="10">
        <v>1</v>
      </c>
    </row>
    <row r="1715" spans="1:11" ht="14.5" x14ac:dyDescent="0.35">
      <c r="A1715" s="84" t="s">
        <v>809</v>
      </c>
      <c r="B1715" s="10" t="s">
        <v>829</v>
      </c>
      <c r="C1715" s="10"/>
      <c r="D1715" s="283" t="s">
        <v>20</v>
      </c>
      <c r="E1715" s="283"/>
      <c r="F1715" s="298" t="s">
        <v>290</v>
      </c>
      <c r="G1715" s="44" t="s">
        <v>110</v>
      </c>
      <c r="H1715" s="45">
        <v>1038</v>
      </c>
      <c r="I1715" s="289">
        <v>185</v>
      </c>
      <c r="J1715" s="281">
        <f>H1715*I1715</f>
        <v>192030</v>
      </c>
      <c r="K1715" s="10">
        <v>1</v>
      </c>
    </row>
    <row r="1716" spans="1:11" ht="25" x14ac:dyDescent="0.35">
      <c r="A1716" s="84" t="s">
        <v>809</v>
      </c>
      <c r="B1716" s="10" t="s">
        <v>829</v>
      </c>
      <c r="C1716" s="10"/>
      <c r="D1716" s="283" t="s">
        <v>26</v>
      </c>
      <c r="E1716" s="283"/>
      <c r="F1716" s="298" t="s">
        <v>830</v>
      </c>
      <c r="G1716" s="44" t="s">
        <v>175</v>
      </c>
      <c r="H1716" s="45">
        <v>18</v>
      </c>
      <c r="I1716" s="289">
        <v>500</v>
      </c>
      <c r="J1716" s="281">
        <f>H1716*I1716</f>
        <v>9000</v>
      </c>
      <c r="K1716" s="10">
        <v>1</v>
      </c>
    </row>
    <row r="1717" spans="1:11" ht="13" x14ac:dyDescent="0.35">
      <c r="A1717" s="84" t="s">
        <v>809</v>
      </c>
      <c r="B1717" s="10" t="s">
        <v>829</v>
      </c>
      <c r="C1717" s="10"/>
      <c r="D1717" s="328"/>
      <c r="E1717" s="328"/>
      <c r="F1717" s="329" t="s">
        <v>292</v>
      </c>
      <c r="G1717" s="91"/>
      <c r="H1717" s="92"/>
      <c r="I1717" s="330"/>
      <c r="J1717" s="331"/>
      <c r="K1717" s="10">
        <v>1</v>
      </c>
    </row>
    <row r="1718" spans="1:11" x14ac:dyDescent="0.35">
      <c r="A1718" s="84" t="s">
        <v>809</v>
      </c>
      <c r="B1718" s="10" t="s">
        <v>829</v>
      </c>
      <c r="C1718" s="10"/>
      <c r="D1718" s="328" t="s">
        <v>29</v>
      </c>
      <c r="E1718" s="328"/>
      <c r="F1718" s="333" t="s">
        <v>831</v>
      </c>
      <c r="G1718" s="91" t="s">
        <v>186</v>
      </c>
      <c r="H1718" s="92">
        <f>83*6</f>
        <v>498</v>
      </c>
      <c r="I1718" s="330">
        <v>75</v>
      </c>
      <c r="J1718" s="331">
        <f>H1718*I1718</f>
        <v>37350</v>
      </c>
      <c r="K1718" s="10">
        <v>1</v>
      </c>
    </row>
    <row r="1719" spans="1:11" ht="13" x14ac:dyDescent="0.35">
      <c r="A1719" s="84" t="s">
        <v>809</v>
      </c>
      <c r="B1719" s="10" t="s">
        <v>829</v>
      </c>
      <c r="C1719" s="10"/>
      <c r="D1719" s="283"/>
      <c r="E1719" s="283"/>
      <c r="F1719" s="294" t="s">
        <v>294</v>
      </c>
      <c r="G1719" s="44"/>
      <c r="H1719" s="45"/>
      <c r="I1719" s="289"/>
      <c r="J1719" s="281"/>
      <c r="K1719" s="10">
        <v>1</v>
      </c>
    </row>
    <row r="1720" spans="1:11" ht="26" x14ac:dyDescent="0.35">
      <c r="A1720" s="84" t="s">
        <v>809</v>
      </c>
      <c r="B1720" s="10" t="s">
        <v>829</v>
      </c>
      <c r="C1720" s="10"/>
      <c r="D1720" s="283"/>
      <c r="E1720" s="283"/>
      <c r="F1720" s="294" t="s">
        <v>295</v>
      </c>
      <c r="G1720" s="44"/>
      <c r="H1720" s="45"/>
      <c r="I1720" s="289"/>
      <c r="J1720" s="281"/>
      <c r="K1720" s="10">
        <v>1</v>
      </c>
    </row>
    <row r="1721" spans="1:11" ht="14.5" x14ac:dyDescent="0.35">
      <c r="A1721" s="84" t="s">
        <v>809</v>
      </c>
      <c r="B1721" s="10" t="s">
        <v>829</v>
      </c>
      <c r="C1721" s="10"/>
      <c r="D1721" s="283" t="s">
        <v>32</v>
      </c>
      <c r="E1721" s="283"/>
      <c r="F1721" s="298" t="s">
        <v>296</v>
      </c>
      <c r="G1721" s="44" t="s">
        <v>110</v>
      </c>
      <c r="H1721" s="45">
        <f>H1715</f>
        <v>1038</v>
      </c>
      <c r="I1721" s="289">
        <v>145</v>
      </c>
      <c r="J1721" s="281">
        <f>H1721*I1721</f>
        <v>150510</v>
      </c>
      <c r="K1721" s="10">
        <v>1</v>
      </c>
    </row>
    <row r="1722" spans="1:11" ht="13" x14ac:dyDescent="0.35">
      <c r="A1722" s="84" t="s">
        <v>809</v>
      </c>
      <c r="B1722" s="10" t="s">
        <v>832</v>
      </c>
      <c r="C1722" s="10"/>
      <c r="D1722" s="283"/>
      <c r="E1722" s="283"/>
      <c r="F1722" s="292" t="s">
        <v>810</v>
      </c>
      <c r="G1722" s="44"/>
      <c r="H1722" s="45"/>
      <c r="I1722" s="289"/>
      <c r="J1722" s="281"/>
      <c r="K1722" s="10">
        <v>1</v>
      </c>
    </row>
    <row r="1723" spans="1:11" ht="13" x14ac:dyDescent="0.35">
      <c r="A1723" s="84" t="s">
        <v>809</v>
      </c>
      <c r="B1723" s="10" t="s">
        <v>832</v>
      </c>
      <c r="C1723" s="10"/>
      <c r="D1723" s="283"/>
      <c r="E1723" s="283"/>
      <c r="F1723" s="292" t="s">
        <v>811</v>
      </c>
      <c r="G1723" s="44"/>
      <c r="H1723" s="45"/>
      <c r="I1723" s="289"/>
      <c r="J1723" s="281"/>
      <c r="K1723" s="10">
        <v>1</v>
      </c>
    </row>
    <row r="1724" spans="1:11" ht="13" x14ac:dyDescent="0.35">
      <c r="A1724" s="84" t="s">
        <v>809</v>
      </c>
      <c r="B1724" s="10" t="s">
        <v>832</v>
      </c>
      <c r="C1724" s="10"/>
      <c r="D1724" s="283"/>
      <c r="E1724" s="283"/>
      <c r="F1724" s="292" t="s">
        <v>236</v>
      </c>
      <c r="G1724" s="44"/>
      <c r="H1724" s="45"/>
      <c r="I1724" s="289"/>
      <c r="J1724" s="281"/>
      <c r="K1724" s="10">
        <v>1</v>
      </c>
    </row>
    <row r="1725" spans="1:11" ht="13" x14ac:dyDescent="0.35">
      <c r="A1725" s="84" t="s">
        <v>809</v>
      </c>
      <c r="B1725" s="10" t="s">
        <v>832</v>
      </c>
      <c r="C1725" s="10"/>
      <c r="D1725" s="328"/>
      <c r="E1725" s="328"/>
      <c r="F1725" s="334" t="s">
        <v>308</v>
      </c>
      <c r="G1725" s="91"/>
      <c r="H1725" s="92"/>
      <c r="I1725" s="330"/>
      <c r="J1725" s="331"/>
      <c r="K1725" s="10">
        <v>1</v>
      </c>
    </row>
    <row r="1726" spans="1:11" ht="13" x14ac:dyDescent="0.35">
      <c r="A1726" s="84" t="s">
        <v>809</v>
      </c>
      <c r="B1726" s="10" t="s">
        <v>832</v>
      </c>
      <c r="C1726" s="10"/>
      <c r="D1726" s="328"/>
      <c r="E1726" s="328"/>
      <c r="F1726" s="329" t="s">
        <v>100</v>
      </c>
      <c r="G1726" s="91"/>
      <c r="H1726" s="92"/>
      <c r="I1726" s="330"/>
      <c r="J1726" s="331"/>
      <c r="K1726" s="10">
        <v>1</v>
      </c>
    </row>
    <row r="1727" spans="1:11" x14ac:dyDescent="0.35">
      <c r="A1727" s="84" t="s">
        <v>809</v>
      </c>
      <c r="B1727" s="10" t="s">
        <v>832</v>
      </c>
      <c r="C1727" s="10"/>
      <c r="D1727" s="328"/>
      <c r="E1727" s="328"/>
      <c r="F1727" s="333" t="s">
        <v>101</v>
      </c>
      <c r="G1727" s="91"/>
      <c r="H1727" s="92"/>
      <c r="I1727" s="330"/>
      <c r="J1727" s="331"/>
      <c r="K1727" s="10">
        <v>1</v>
      </c>
    </row>
    <row r="1728" spans="1:11" ht="13" x14ac:dyDescent="0.35">
      <c r="A1728" s="84" t="s">
        <v>809</v>
      </c>
      <c r="B1728" s="10" t="s">
        <v>832</v>
      </c>
      <c r="C1728" s="10"/>
      <c r="D1728" s="328"/>
      <c r="E1728" s="328"/>
      <c r="F1728" s="334" t="s">
        <v>309</v>
      </c>
      <c r="G1728" s="91"/>
      <c r="H1728" s="92"/>
      <c r="I1728" s="330"/>
      <c r="J1728" s="331"/>
      <c r="K1728" s="10">
        <v>1</v>
      </c>
    </row>
    <row r="1729" spans="1:11" x14ac:dyDescent="0.35">
      <c r="A1729" s="84" t="s">
        <v>809</v>
      </c>
      <c r="B1729" s="10" t="s">
        <v>832</v>
      </c>
      <c r="C1729" s="10"/>
      <c r="D1729" s="328" t="s">
        <v>20</v>
      </c>
      <c r="E1729" s="328"/>
      <c r="F1729" s="333" t="s">
        <v>310</v>
      </c>
      <c r="G1729" s="91" t="s">
        <v>175</v>
      </c>
      <c r="H1729" s="92">
        <f>18*2</f>
        <v>36</v>
      </c>
      <c r="I1729" s="330">
        <v>200</v>
      </c>
      <c r="J1729" s="331">
        <f>H1729*I1729</f>
        <v>7200</v>
      </c>
      <c r="K1729" s="10">
        <v>1</v>
      </c>
    </row>
    <row r="1730" spans="1:11" x14ac:dyDescent="0.35">
      <c r="A1730" s="84" t="s">
        <v>809</v>
      </c>
      <c r="B1730" s="10" t="s">
        <v>832</v>
      </c>
      <c r="C1730" s="10"/>
      <c r="D1730" s="328" t="s">
        <v>26</v>
      </c>
      <c r="E1730" s="328"/>
      <c r="F1730" s="333" t="s">
        <v>311</v>
      </c>
      <c r="G1730" s="91" t="s">
        <v>175</v>
      </c>
      <c r="H1730" s="92">
        <f>18*2</f>
        <v>36</v>
      </c>
      <c r="I1730" s="330">
        <v>200</v>
      </c>
      <c r="J1730" s="331">
        <f>H1730*I1730</f>
        <v>7200</v>
      </c>
      <c r="K1730" s="10">
        <v>1</v>
      </c>
    </row>
    <row r="1731" spans="1:11" ht="13" x14ac:dyDescent="0.35">
      <c r="A1731" s="84" t="s">
        <v>809</v>
      </c>
      <c r="B1731" s="10" t="s">
        <v>832</v>
      </c>
      <c r="C1731" s="10"/>
      <c r="D1731" s="328"/>
      <c r="E1731" s="328"/>
      <c r="F1731" s="329" t="s">
        <v>312</v>
      </c>
      <c r="G1731" s="91"/>
      <c r="H1731" s="92"/>
      <c r="I1731" s="330"/>
      <c r="J1731" s="331"/>
      <c r="K1731" s="10">
        <v>1</v>
      </c>
    </row>
    <row r="1732" spans="1:11" x14ac:dyDescent="0.35">
      <c r="A1732" s="84" t="s">
        <v>809</v>
      </c>
      <c r="B1732" s="10" t="s">
        <v>832</v>
      </c>
      <c r="C1732" s="10"/>
      <c r="D1732" s="328" t="s">
        <v>29</v>
      </c>
      <c r="E1732" s="328"/>
      <c r="F1732" s="98" t="s">
        <v>313</v>
      </c>
      <c r="G1732" s="112" t="s">
        <v>175</v>
      </c>
      <c r="H1732" s="45">
        <v>18</v>
      </c>
      <c r="I1732" s="330">
        <v>450</v>
      </c>
      <c r="J1732" s="331">
        <f>H1732*I1732</f>
        <v>8100</v>
      </c>
      <c r="K1732" s="10">
        <v>1</v>
      </c>
    </row>
    <row r="1733" spans="1:11" x14ac:dyDescent="0.35">
      <c r="A1733" s="84" t="s">
        <v>809</v>
      </c>
      <c r="B1733" s="10" t="s">
        <v>832</v>
      </c>
      <c r="C1733" s="10"/>
      <c r="D1733" s="328" t="s">
        <v>32</v>
      </c>
      <c r="E1733" s="328"/>
      <c r="F1733" s="333" t="s">
        <v>314</v>
      </c>
      <c r="G1733" s="112" t="s">
        <v>175</v>
      </c>
      <c r="H1733" s="45">
        <v>18</v>
      </c>
      <c r="I1733" s="330">
        <v>450</v>
      </c>
      <c r="J1733" s="331">
        <f>H1733*I1733</f>
        <v>8100</v>
      </c>
      <c r="K1733" s="10">
        <v>1</v>
      </c>
    </row>
    <row r="1734" spans="1:11" ht="13" x14ac:dyDescent="0.35">
      <c r="A1734" s="84" t="s">
        <v>809</v>
      </c>
      <c r="B1734" s="10" t="s">
        <v>832</v>
      </c>
      <c r="C1734" s="10"/>
      <c r="D1734" s="328"/>
      <c r="E1734" s="328"/>
      <c r="F1734" s="329" t="s">
        <v>319</v>
      </c>
      <c r="G1734" s="112"/>
      <c r="H1734" s="45"/>
      <c r="I1734" s="330"/>
      <c r="J1734" s="331"/>
      <c r="K1734" s="10">
        <v>1</v>
      </c>
    </row>
    <row r="1735" spans="1:11" x14ac:dyDescent="0.35">
      <c r="A1735" s="84" t="s">
        <v>809</v>
      </c>
      <c r="B1735" s="10" t="s">
        <v>832</v>
      </c>
      <c r="C1735" s="10"/>
      <c r="D1735" s="328" t="s">
        <v>36</v>
      </c>
      <c r="E1735" s="328"/>
      <c r="F1735" s="333" t="s">
        <v>320</v>
      </c>
      <c r="G1735" s="112" t="s">
        <v>175</v>
      </c>
      <c r="H1735" s="45">
        <v>18</v>
      </c>
      <c r="I1735" s="330">
        <v>80</v>
      </c>
      <c r="J1735" s="331">
        <f>H1735*I1735</f>
        <v>1440</v>
      </c>
      <c r="K1735" s="10">
        <v>1</v>
      </c>
    </row>
    <row r="1736" spans="1:11" ht="26" x14ac:dyDescent="0.35">
      <c r="A1736" s="84" t="s">
        <v>809</v>
      </c>
      <c r="B1736" s="10" t="s">
        <v>832</v>
      </c>
      <c r="C1736" s="10"/>
      <c r="D1736" s="328"/>
      <c r="E1736" s="328"/>
      <c r="F1736" s="329" t="s">
        <v>652</v>
      </c>
      <c r="G1736" s="112"/>
      <c r="H1736" s="45"/>
      <c r="I1736" s="330"/>
      <c r="J1736" s="331"/>
      <c r="K1736" s="10">
        <v>1</v>
      </c>
    </row>
    <row r="1737" spans="1:11" x14ac:dyDescent="0.35">
      <c r="A1737" s="84" t="s">
        <v>809</v>
      </c>
      <c r="B1737" s="10" t="s">
        <v>832</v>
      </c>
      <c r="C1737" s="10"/>
      <c r="D1737" s="328"/>
      <c r="E1737" s="328"/>
      <c r="F1737" s="335" t="s">
        <v>653</v>
      </c>
      <c r="G1737" s="112"/>
      <c r="H1737" s="45"/>
      <c r="I1737" s="330"/>
      <c r="J1737" s="331"/>
      <c r="K1737" s="10">
        <v>1</v>
      </c>
    </row>
    <row r="1738" spans="1:11" x14ac:dyDescent="0.35">
      <c r="A1738" s="84" t="s">
        <v>809</v>
      </c>
      <c r="B1738" s="10" t="s">
        <v>832</v>
      </c>
      <c r="C1738" s="10"/>
      <c r="D1738" s="328" t="s">
        <v>39</v>
      </c>
      <c r="E1738" s="328"/>
      <c r="F1738" s="333" t="s">
        <v>654</v>
      </c>
      <c r="G1738" s="112" t="s">
        <v>175</v>
      </c>
      <c r="H1738" s="45">
        <v>18</v>
      </c>
      <c r="I1738" s="330">
        <v>4000</v>
      </c>
      <c r="J1738" s="331">
        <f>H1738*I1738</f>
        <v>72000</v>
      </c>
      <c r="K1738" s="10">
        <v>1</v>
      </c>
    </row>
    <row r="1739" spans="1:11" x14ac:dyDescent="0.35">
      <c r="A1739" s="84" t="s">
        <v>809</v>
      </c>
      <c r="B1739" s="10" t="s">
        <v>832</v>
      </c>
      <c r="C1739" s="10"/>
      <c r="D1739" s="328" t="s">
        <v>42</v>
      </c>
      <c r="E1739" s="328"/>
      <c r="F1739" s="333" t="s">
        <v>833</v>
      </c>
      <c r="G1739" s="112" t="s">
        <v>175</v>
      </c>
      <c r="H1739" s="45">
        <v>18</v>
      </c>
      <c r="I1739" s="330">
        <v>6000</v>
      </c>
      <c r="J1739" s="331">
        <f>H1739*I1739</f>
        <v>108000</v>
      </c>
      <c r="K1739" s="10">
        <v>1</v>
      </c>
    </row>
    <row r="1740" spans="1:11" x14ac:dyDescent="0.35">
      <c r="A1740" s="84" t="s">
        <v>809</v>
      </c>
      <c r="B1740" s="10" t="s">
        <v>832</v>
      </c>
      <c r="C1740" s="10"/>
      <c r="D1740" s="328" t="s">
        <v>45</v>
      </c>
      <c r="E1740" s="328"/>
      <c r="F1740" s="333" t="s">
        <v>834</v>
      </c>
      <c r="G1740" s="112" t="s">
        <v>175</v>
      </c>
      <c r="H1740" s="45">
        <v>18</v>
      </c>
      <c r="I1740" s="330">
        <v>8000</v>
      </c>
      <c r="J1740" s="331">
        <f>H1740*I1740</f>
        <v>144000</v>
      </c>
      <c r="K1740" s="10">
        <v>1</v>
      </c>
    </row>
    <row r="1741" spans="1:11" ht="13" x14ac:dyDescent="0.35">
      <c r="A1741" s="84" t="s">
        <v>809</v>
      </c>
      <c r="B1741" s="10" t="s">
        <v>835</v>
      </c>
      <c r="C1741" s="10"/>
      <c r="D1741" s="336"/>
      <c r="E1741" s="114"/>
      <c r="F1741" s="292" t="s">
        <v>810</v>
      </c>
      <c r="G1741" s="44"/>
      <c r="H1741" s="116"/>
      <c r="I1741" s="289"/>
      <c r="J1741" s="281"/>
      <c r="K1741" s="10">
        <v>1</v>
      </c>
    </row>
    <row r="1742" spans="1:11" ht="13" x14ac:dyDescent="0.35">
      <c r="A1742" s="84" t="s">
        <v>809</v>
      </c>
      <c r="B1742" s="10" t="s">
        <v>835</v>
      </c>
      <c r="C1742" s="10"/>
      <c r="D1742" s="336"/>
      <c r="E1742" s="114"/>
      <c r="F1742" s="292" t="s">
        <v>811</v>
      </c>
      <c r="G1742" s="44"/>
      <c r="H1742" s="116"/>
      <c r="I1742" s="289"/>
      <c r="J1742" s="281"/>
      <c r="K1742" s="10">
        <v>1</v>
      </c>
    </row>
    <row r="1743" spans="1:11" ht="13" x14ac:dyDescent="0.35">
      <c r="A1743" s="84" t="s">
        <v>809</v>
      </c>
      <c r="B1743" s="10" t="s">
        <v>835</v>
      </c>
      <c r="C1743" s="10"/>
      <c r="D1743" s="336"/>
      <c r="E1743" s="114"/>
      <c r="F1743" s="334" t="s">
        <v>247</v>
      </c>
      <c r="G1743" s="44"/>
      <c r="H1743" s="116"/>
      <c r="I1743" s="289"/>
      <c r="J1743" s="281"/>
      <c r="K1743" s="10">
        <v>1</v>
      </c>
    </row>
    <row r="1744" spans="1:11" ht="13" x14ac:dyDescent="0.35">
      <c r="A1744" s="84" t="s">
        <v>809</v>
      </c>
      <c r="B1744" s="10" t="s">
        <v>835</v>
      </c>
      <c r="C1744" s="10"/>
      <c r="D1744" s="336"/>
      <c r="E1744" s="114"/>
      <c r="F1744" s="292" t="s">
        <v>332</v>
      </c>
      <c r="G1744" s="44"/>
      <c r="H1744" s="116"/>
      <c r="I1744" s="289"/>
      <c r="J1744" s="281"/>
      <c r="K1744" s="10">
        <v>1</v>
      </c>
    </row>
    <row r="1745" spans="1:11" ht="13" x14ac:dyDescent="0.35">
      <c r="A1745" s="84" t="s">
        <v>809</v>
      </c>
      <c r="B1745" s="10" t="s">
        <v>835</v>
      </c>
      <c r="C1745" s="10"/>
      <c r="D1745" s="336"/>
      <c r="E1745" s="114"/>
      <c r="F1745" s="294" t="s">
        <v>100</v>
      </c>
      <c r="G1745" s="44"/>
      <c r="H1745" s="116"/>
      <c r="I1745" s="289"/>
      <c r="J1745" s="281"/>
      <c r="K1745" s="10">
        <v>1</v>
      </c>
    </row>
    <row r="1746" spans="1:11" ht="13" x14ac:dyDescent="0.35">
      <c r="A1746" s="84" t="s">
        <v>809</v>
      </c>
      <c r="B1746" s="10" t="s">
        <v>835</v>
      </c>
      <c r="C1746" s="10"/>
      <c r="D1746" s="336"/>
      <c r="E1746" s="114"/>
      <c r="F1746" s="298" t="s">
        <v>101</v>
      </c>
      <c r="G1746" s="44"/>
      <c r="H1746" s="116"/>
      <c r="I1746" s="289"/>
      <c r="J1746" s="281"/>
      <c r="K1746" s="10">
        <v>1</v>
      </c>
    </row>
    <row r="1747" spans="1:11" ht="13" x14ac:dyDescent="0.35">
      <c r="A1747" s="84" t="s">
        <v>809</v>
      </c>
      <c r="B1747" s="10" t="s">
        <v>835</v>
      </c>
      <c r="C1747" s="10"/>
      <c r="D1747" s="336"/>
      <c r="E1747" s="114"/>
      <c r="F1747" s="294" t="s">
        <v>333</v>
      </c>
      <c r="G1747" s="44"/>
      <c r="H1747" s="116"/>
      <c r="I1747" s="289"/>
      <c r="J1747" s="281"/>
      <c r="K1747" s="10">
        <v>1</v>
      </c>
    </row>
    <row r="1748" spans="1:11" ht="25" x14ac:dyDescent="0.35">
      <c r="A1748" s="84" t="s">
        <v>809</v>
      </c>
      <c r="B1748" s="10" t="s">
        <v>835</v>
      </c>
      <c r="C1748" s="10"/>
      <c r="D1748" s="336"/>
      <c r="E1748" s="114"/>
      <c r="F1748" s="298" t="s">
        <v>334</v>
      </c>
      <c r="G1748" s="44"/>
      <c r="H1748" s="117"/>
      <c r="I1748" s="289"/>
      <c r="J1748" s="281"/>
      <c r="K1748" s="10">
        <v>1</v>
      </c>
    </row>
    <row r="1749" spans="1:11" ht="13" x14ac:dyDescent="0.35">
      <c r="A1749" s="84" t="s">
        <v>809</v>
      </c>
      <c r="B1749" s="10" t="s">
        <v>835</v>
      </c>
      <c r="C1749" s="10"/>
      <c r="D1749" s="336"/>
      <c r="E1749" s="114"/>
      <c r="F1749" s="324" t="s">
        <v>335</v>
      </c>
      <c r="G1749" s="44"/>
      <c r="H1749" s="116"/>
      <c r="I1749" s="289"/>
      <c r="J1749" s="281"/>
      <c r="K1749" s="10">
        <v>1</v>
      </c>
    </row>
    <row r="1750" spans="1:11" ht="37.5" x14ac:dyDescent="0.35">
      <c r="A1750" s="84" t="s">
        <v>809</v>
      </c>
      <c r="B1750" s="10" t="s">
        <v>835</v>
      </c>
      <c r="C1750" s="10"/>
      <c r="D1750" s="336"/>
      <c r="E1750" s="114"/>
      <c r="F1750" s="324" t="s">
        <v>336</v>
      </c>
      <c r="G1750" s="44"/>
      <c r="H1750" s="116"/>
      <c r="I1750" s="289"/>
      <c r="J1750" s="281"/>
      <c r="K1750" s="10">
        <v>1</v>
      </c>
    </row>
    <row r="1751" spans="1:11" ht="13" x14ac:dyDescent="0.35">
      <c r="A1751" s="84" t="s">
        <v>809</v>
      </c>
      <c r="B1751" s="10" t="s">
        <v>835</v>
      </c>
      <c r="C1751" s="10"/>
      <c r="D1751" s="336"/>
      <c r="E1751" s="114"/>
      <c r="F1751" s="294" t="s">
        <v>337</v>
      </c>
      <c r="G1751" s="44"/>
      <c r="H1751" s="119"/>
      <c r="I1751" s="337"/>
      <c r="J1751" s="281"/>
      <c r="K1751" s="10">
        <v>1</v>
      </c>
    </row>
    <row r="1752" spans="1:11" ht="37.5" x14ac:dyDescent="0.35">
      <c r="A1752" s="84" t="s">
        <v>809</v>
      </c>
      <c r="B1752" s="10" t="s">
        <v>835</v>
      </c>
      <c r="C1752" s="10"/>
      <c r="D1752" s="336" t="s">
        <v>20</v>
      </c>
      <c r="E1752" s="114"/>
      <c r="F1752" s="298" t="s">
        <v>836</v>
      </c>
      <c r="G1752" s="44" t="s">
        <v>110</v>
      </c>
      <c r="H1752" s="122">
        <v>1104</v>
      </c>
      <c r="I1752" s="337">
        <v>665</v>
      </c>
      <c r="J1752" s="281">
        <f>H1752*I1752</f>
        <v>734160</v>
      </c>
      <c r="K1752" s="10">
        <v>1</v>
      </c>
    </row>
    <row r="1753" spans="1:11" ht="13" x14ac:dyDescent="0.35">
      <c r="A1753" s="84" t="s">
        <v>809</v>
      </c>
      <c r="B1753" s="123" t="s">
        <v>837</v>
      </c>
      <c r="C1753" s="123"/>
      <c r="D1753" s="328"/>
      <c r="E1753" s="328"/>
      <c r="F1753" s="292" t="s">
        <v>810</v>
      </c>
      <c r="G1753" s="91"/>
      <c r="H1753" s="92"/>
      <c r="I1753" s="330"/>
      <c r="J1753" s="338"/>
      <c r="K1753" s="10">
        <v>1</v>
      </c>
    </row>
    <row r="1754" spans="1:11" ht="13" x14ac:dyDescent="0.35">
      <c r="A1754" s="84" t="s">
        <v>809</v>
      </c>
      <c r="B1754" s="123" t="s">
        <v>837</v>
      </c>
      <c r="C1754" s="123"/>
      <c r="D1754" s="328"/>
      <c r="E1754" s="328"/>
      <c r="F1754" s="292" t="s">
        <v>811</v>
      </c>
      <c r="G1754" s="91"/>
      <c r="H1754" s="92"/>
      <c r="I1754" s="330"/>
      <c r="J1754" s="331"/>
      <c r="K1754" s="10">
        <v>1</v>
      </c>
    </row>
    <row r="1755" spans="1:11" ht="13" x14ac:dyDescent="0.35">
      <c r="A1755" s="84" t="s">
        <v>809</v>
      </c>
      <c r="B1755" s="123" t="s">
        <v>837</v>
      </c>
      <c r="C1755" s="123"/>
      <c r="D1755" s="328"/>
      <c r="E1755" s="328"/>
      <c r="F1755" s="334" t="s">
        <v>278</v>
      </c>
      <c r="G1755" s="91"/>
      <c r="H1755" s="92"/>
      <c r="I1755" s="330"/>
      <c r="J1755" s="331"/>
      <c r="K1755" s="10">
        <v>1</v>
      </c>
    </row>
    <row r="1756" spans="1:11" ht="13" x14ac:dyDescent="0.35">
      <c r="A1756" s="84" t="s">
        <v>809</v>
      </c>
      <c r="B1756" s="123" t="s">
        <v>837</v>
      </c>
      <c r="C1756" s="123"/>
      <c r="D1756" s="328"/>
      <c r="E1756" s="328"/>
      <c r="F1756" s="334" t="s">
        <v>341</v>
      </c>
      <c r="G1756" s="91"/>
      <c r="H1756" s="92"/>
      <c r="I1756" s="330"/>
      <c r="J1756" s="331"/>
      <c r="K1756" s="10">
        <v>1</v>
      </c>
    </row>
    <row r="1757" spans="1:11" ht="13" x14ac:dyDescent="0.35">
      <c r="A1757" s="84" t="s">
        <v>809</v>
      </c>
      <c r="B1757" s="123" t="s">
        <v>837</v>
      </c>
      <c r="C1757" s="123"/>
      <c r="D1757" s="328"/>
      <c r="E1757" s="328"/>
      <c r="F1757" s="329" t="s">
        <v>100</v>
      </c>
      <c r="G1757" s="91"/>
      <c r="H1757" s="92"/>
      <c r="I1757" s="330"/>
      <c r="J1757" s="331"/>
      <c r="K1757" s="10">
        <v>1</v>
      </c>
    </row>
    <row r="1758" spans="1:11" x14ac:dyDescent="0.35">
      <c r="A1758" s="84" t="s">
        <v>809</v>
      </c>
      <c r="B1758" s="123" t="s">
        <v>837</v>
      </c>
      <c r="C1758" s="123"/>
      <c r="D1758" s="328"/>
      <c r="E1758" s="328"/>
      <c r="F1758" s="333" t="s">
        <v>101</v>
      </c>
      <c r="G1758" s="91"/>
      <c r="H1758" s="92"/>
      <c r="I1758" s="330"/>
      <c r="J1758" s="331"/>
      <c r="K1758" s="10">
        <v>1</v>
      </c>
    </row>
    <row r="1759" spans="1:11" ht="13" x14ac:dyDescent="0.35">
      <c r="A1759" s="84" t="s">
        <v>809</v>
      </c>
      <c r="B1759" s="123" t="s">
        <v>837</v>
      </c>
      <c r="C1759" s="123"/>
      <c r="D1759" s="328"/>
      <c r="E1759" s="328"/>
      <c r="F1759" s="329" t="s">
        <v>102</v>
      </c>
      <c r="G1759" s="91"/>
      <c r="H1759" s="92"/>
      <c r="I1759" s="330"/>
      <c r="J1759" s="331"/>
      <c r="K1759" s="10">
        <v>1</v>
      </c>
    </row>
    <row r="1760" spans="1:11" x14ac:dyDescent="0.35">
      <c r="A1760" s="84" t="s">
        <v>809</v>
      </c>
      <c r="B1760" s="123" t="s">
        <v>837</v>
      </c>
      <c r="C1760" s="123"/>
      <c r="D1760" s="328"/>
      <c r="E1760" s="340"/>
      <c r="F1760" s="333" t="s">
        <v>342</v>
      </c>
      <c r="G1760" s="91"/>
      <c r="H1760" s="45"/>
      <c r="I1760" s="341"/>
      <c r="J1760" s="281"/>
      <c r="K1760" s="10">
        <v>1</v>
      </c>
    </row>
    <row r="1761" spans="1:11" ht="37.5" x14ac:dyDescent="0.35">
      <c r="A1761" s="84" t="s">
        <v>809</v>
      </c>
      <c r="B1761" s="123" t="s">
        <v>837</v>
      </c>
      <c r="C1761" s="123"/>
      <c r="D1761" s="328"/>
      <c r="E1761" s="340"/>
      <c r="F1761" s="333" t="s">
        <v>343</v>
      </c>
      <c r="G1761" s="91"/>
      <c r="H1761" s="45"/>
      <c r="I1761" s="341"/>
      <c r="J1761" s="281"/>
      <c r="K1761" s="10">
        <v>1</v>
      </c>
    </row>
    <row r="1762" spans="1:11" ht="25" x14ac:dyDescent="0.35">
      <c r="A1762" s="84" t="s">
        <v>809</v>
      </c>
      <c r="B1762" s="123" t="s">
        <v>837</v>
      </c>
      <c r="C1762" s="123"/>
      <c r="D1762" s="328"/>
      <c r="E1762" s="340"/>
      <c r="F1762" s="333" t="s">
        <v>344</v>
      </c>
      <c r="G1762" s="91"/>
      <c r="H1762" s="45"/>
      <c r="I1762" s="341"/>
      <c r="J1762" s="281"/>
      <c r="K1762" s="10">
        <v>1</v>
      </c>
    </row>
    <row r="1763" spans="1:11" ht="13" x14ac:dyDescent="0.35">
      <c r="A1763" s="84" t="s">
        <v>809</v>
      </c>
      <c r="B1763" s="123" t="s">
        <v>837</v>
      </c>
      <c r="C1763" s="123"/>
      <c r="D1763" s="328"/>
      <c r="E1763" s="328"/>
      <c r="F1763" s="329" t="s">
        <v>346</v>
      </c>
      <c r="G1763" s="91"/>
      <c r="H1763" s="58"/>
      <c r="I1763" s="330"/>
      <c r="J1763" s="331"/>
      <c r="K1763" s="10">
        <v>1</v>
      </c>
    </row>
    <row r="1764" spans="1:11" ht="13" x14ac:dyDescent="0.35">
      <c r="A1764" s="84" t="s">
        <v>809</v>
      </c>
      <c r="B1764" s="123" t="s">
        <v>837</v>
      </c>
      <c r="C1764" s="123"/>
      <c r="D1764" s="328"/>
      <c r="E1764" s="328"/>
      <c r="F1764" s="329" t="s">
        <v>347</v>
      </c>
      <c r="G1764" s="91"/>
      <c r="H1764" s="117"/>
      <c r="I1764" s="330"/>
      <c r="J1764" s="331"/>
      <c r="K1764" s="10">
        <v>1</v>
      </c>
    </row>
    <row r="1765" spans="1:11" x14ac:dyDescent="0.35">
      <c r="A1765" s="84" t="s">
        <v>809</v>
      </c>
      <c r="B1765" s="123" t="s">
        <v>837</v>
      </c>
      <c r="C1765" s="123"/>
      <c r="D1765" s="328" t="s">
        <v>20</v>
      </c>
      <c r="E1765" s="328"/>
      <c r="F1765" s="333" t="s">
        <v>656</v>
      </c>
      <c r="G1765" s="91" t="s">
        <v>175</v>
      </c>
      <c r="H1765" s="117">
        <v>18</v>
      </c>
      <c r="I1765" s="342">
        <v>1450</v>
      </c>
      <c r="J1765" s="331">
        <f>I1765*H1765</f>
        <v>26100</v>
      </c>
      <c r="K1765" s="10">
        <v>1</v>
      </c>
    </row>
    <row r="1766" spans="1:11" ht="13" x14ac:dyDescent="0.35">
      <c r="A1766" s="84" t="s">
        <v>809</v>
      </c>
      <c r="B1766" s="123" t="s">
        <v>837</v>
      </c>
      <c r="C1766" s="123"/>
      <c r="D1766" s="328"/>
      <c r="E1766" s="328"/>
      <c r="F1766" s="126" t="s">
        <v>355</v>
      </c>
      <c r="G1766" s="91"/>
      <c r="H1766" s="128"/>
      <c r="I1766" s="342"/>
      <c r="J1766" s="331"/>
      <c r="K1766" s="10">
        <v>1</v>
      </c>
    </row>
    <row r="1767" spans="1:11" ht="26" x14ac:dyDescent="0.35">
      <c r="A1767" s="84" t="s">
        <v>809</v>
      </c>
      <c r="B1767" s="123" t="s">
        <v>837</v>
      </c>
      <c r="C1767" s="123"/>
      <c r="D1767" s="328"/>
      <c r="E1767" s="328"/>
      <c r="F1767" s="126" t="s">
        <v>356</v>
      </c>
      <c r="G1767" s="91"/>
      <c r="H1767" s="128"/>
      <c r="I1767" s="342"/>
      <c r="J1767" s="331"/>
      <c r="K1767" s="10">
        <v>1</v>
      </c>
    </row>
    <row r="1768" spans="1:11" ht="25" x14ac:dyDescent="0.35">
      <c r="A1768" s="84" t="s">
        <v>809</v>
      </c>
      <c r="B1768" s="123" t="s">
        <v>837</v>
      </c>
      <c r="C1768" s="123"/>
      <c r="D1768" s="328" t="s">
        <v>26</v>
      </c>
      <c r="E1768" s="328"/>
      <c r="F1768" s="333" t="s">
        <v>838</v>
      </c>
      <c r="G1768" s="91" t="s">
        <v>175</v>
      </c>
      <c r="H1768" s="128">
        <v>18</v>
      </c>
      <c r="I1768" s="341">
        <v>7500</v>
      </c>
      <c r="J1768" s="281">
        <f>H1768*I1768</f>
        <v>135000</v>
      </c>
      <c r="K1768" s="10">
        <v>1</v>
      </c>
    </row>
    <row r="1769" spans="1:11" ht="13" x14ac:dyDescent="0.35">
      <c r="A1769" s="84" t="s">
        <v>809</v>
      </c>
      <c r="B1769" s="10" t="s">
        <v>839</v>
      </c>
      <c r="C1769" s="10"/>
      <c r="D1769" s="283"/>
      <c r="E1769" s="283"/>
      <c r="F1769" s="292" t="s">
        <v>810</v>
      </c>
      <c r="G1769" s="44"/>
      <c r="H1769" s="117"/>
      <c r="I1769" s="287"/>
      <c r="J1769" s="281"/>
      <c r="K1769" s="10">
        <v>1</v>
      </c>
    </row>
    <row r="1770" spans="1:11" ht="13" x14ac:dyDescent="0.35">
      <c r="A1770" s="84" t="s">
        <v>809</v>
      </c>
      <c r="B1770" s="10" t="s">
        <v>839</v>
      </c>
      <c r="C1770" s="10"/>
      <c r="D1770" s="283"/>
      <c r="E1770" s="283"/>
      <c r="F1770" s="292" t="s">
        <v>811</v>
      </c>
      <c r="G1770" s="44"/>
      <c r="H1770" s="117"/>
      <c r="I1770" s="287"/>
      <c r="J1770" s="281"/>
      <c r="K1770" s="10">
        <v>1</v>
      </c>
    </row>
    <row r="1771" spans="1:11" ht="13" x14ac:dyDescent="0.35">
      <c r="A1771" s="84" t="s">
        <v>809</v>
      </c>
      <c r="B1771" s="10" t="s">
        <v>839</v>
      </c>
      <c r="C1771" s="10"/>
      <c r="D1771" s="283"/>
      <c r="E1771" s="283"/>
      <c r="F1771" s="292" t="s">
        <v>298</v>
      </c>
      <c r="G1771" s="44"/>
      <c r="H1771" s="117"/>
      <c r="I1771" s="287"/>
      <c r="J1771" s="281"/>
      <c r="K1771" s="10">
        <v>1</v>
      </c>
    </row>
    <row r="1772" spans="1:11" ht="13" x14ac:dyDescent="0.35">
      <c r="A1772" s="84" t="s">
        <v>809</v>
      </c>
      <c r="B1772" s="10" t="s">
        <v>839</v>
      </c>
      <c r="C1772" s="10"/>
      <c r="D1772" s="283"/>
      <c r="E1772" s="283"/>
      <c r="F1772" s="292" t="s">
        <v>360</v>
      </c>
      <c r="G1772" s="44"/>
      <c r="H1772" s="117"/>
      <c r="I1772" s="287"/>
      <c r="J1772" s="281"/>
      <c r="K1772" s="10">
        <v>1</v>
      </c>
    </row>
    <row r="1773" spans="1:11" ht="13" x14ac:dyDescent="0.35">
      <c r="A1773" s="84" t="s">
        <v>809</v>
      </c>
      <c r="B1773" s="10" t="s">
        <v>839</v>
      </c>
      <c r="C1773" s="10"/>
      <c r="D1773" s="286"/>
      <c r="E1773" s="286"/>
      <c r="F1773" s="294" t="s">
        <v>100</v>
      </c>
      <c r="G1773" s="51"/>
      <c r="H1773" s="72"/>
      <c r="I1773" s="343"/>
      <c r="J1773" s="290"/>
      <c r="K1773" s="10">
        <v>1</v>
      </c>
    </row>
    <row r="1774" spans="1:11" ht="13" x14ac:dyDescent="0.35">
      <c r="A1774" s="84" t="s">
        <v>809</v>
      </c>
      <c r="B1774" s="10" t="s">
        <v>839</v>
      </c>
      <c r="C1774" s="10"/>
      <c r="D1774" s="286"/>
      <c r="E1774" s="286"/>
      <c r="F1774" s="298" t="s">
        <v>101</v>
      </c>
      <c r="G1774" s="51"/>
      <c r="H1774" s="72"/>
      <c r="I1774" s="343"/>
      <c r="J1774" s="290"/>
      <c r="K1774" s="10">
        <v>1</v>
      </c>
    </row>
    <row r="1775" spans="1:11" ht="13" x14ac:dyDescent="0.35">
      <c r="A1775" s="84" t="s">
        <v>809</v>
      </c>
      <c r="B1775" s="10" t="s">
        <v>839</v>
      </c>
      <c r="C1775" s="10"/>
      <c r="D1775" s="283"/>
      <c r="E1775" s="344"/>
      <c r="F1775" s="294" t="s">
        <v>361</v>
      </c>
      <c r="G1775" s="44"/>
      <c r="H1775" s="117"/>
      <c r="I1775" s="287"/>
      <c r="J1775" s="281"/>
      <c r="K1775" s="10">
        <v>1</v>
      </c>
    </row>
    <row r="1776" spans="1:11" ht="13" x14ac:dyDescent="0.35">
      <c r="A1776" s="84" t="s">
        <v>809</v>
      </c>
      <c r="B1776" s="10" t="s">
        <v>839</v>
      </c>
      <c r="C1776" s="10"/>
      <c r="D1776" s="283"/>
      <c r="E1776" s="344"/>
      <c r="F1776" s="294" t="s">
        <v>362</v>
      </c>
      <c r="G1776" s="44"/>
      <c r="H1776" s="117"/>
      <c r="I1776" s="287"/>
      <c r="J1776" s="281"/>
      <c r="K1776" s="10">
        <v>1</v>
      </c>
    </row>
    <row r="1777" spans="1:11" ht="14.5" x14ac:dyDescent="0.35">
      <c r="A1777" s="84" t="s">
        <v>809</v>
      </c>
      <c r="B1777" s="10" t="s">
        <v>839</v>
      </c>
      <c r="C1777" s="10"/>
      <c r="D1777" s="283" t="s">
        <v>20</v>
      </c>
      <c r="E1777" s="344"/>
      <c r="F1777" s="298" t="s">
        <v>363</v>
      </c>
      <c r="G1777" s="44" t="s">
        <v>110</v>
      </c>
      <c r="H1777" s="135">
        <f>245*6</f>
        <v>1470</v>
      </c>
      <c r="I1777" s="287">
        <v>145</v>
      </c>
      <c r="J1777" s="281">
        <f>H1777*I1777</f>
        <v>213150</v>
      </c>
      <c r="K1777" s="10">
        <v>1</v>
      </c>
    </row>
    <row r="1778" spans="1:11" ht="13" x14ac:dyDescent="0.35">
      <c r="A1778" s="84" t="s">
        <v>809</v>
      </c>
      <c r="B1778" s="10" t="s">
        <v>840</v>
      </c>
      <c r="C1778" s="10"/>
      <c r="D1778" s="283"/>
      <c r="E1778" s="283"/>
      <c r="F1778" s="292" t="s">
        <v>810</v>
      </c>
      <c r="G1778" s="44"/>
      <c r="H1778" s="45"/>
      <c r="I1778" s="289"/>
      <c r="J1778" s="281"/>
      <c r="K1778" s="10">
        <v>1</v>
      </c>
    </row>
    <row r="1779" spans="1:11" ht="13" x14ac:dyDescent="0.35">
      <c r="A1779" s="84" t="s">
        <v>809</v>
      </c>
      <c r="B1779" s="10" t="s">
        <v>840</v>
      </c>
      <c r="C1779" s="10"/>
      <c r="D1779" s="283"/>
      <c r="E1779" s="283"/>
      <c r="F1779" s="292" t="s">
        <v>811</v>
      </c>
      <c r="G1779" s="44"/>
      <c r="H1779" s="45"/>
      <c r="I1779" s="289"/>
      <c r="J1779" s="281"/>
      <c r="K1779" s="10">
        <v>1</v>
      </c>
    </row>
    <row r="1780" spans="1:11" ht="13" x14ac:dyDescent="0.35">
      <c r="A1780" s="84" t="s">
        <v>809</v>
      </c>
      <c r="B1780" s="10" t="s">
        <v>840</v>
      </c>
      <c r="C1780" s="10"/>
      <c r="D1780" s="283"/>
      <c r="E1780" s="283"/>
      <c r="F1780" s="292" t="s">
        <v>307</v>
      </c>
      <c r="G1780" s="44"/>
      <c r="H1780" s="45"/>
      <c r="I1780" s="289"/>
      <c r="J1780" s="281"/>
      <c r="K1780" s="10">
        <v>1</v>
      </c>
    </row>
    <row r="1781" spans="1:11" ht="13" x14ac:dyDescent="0.35">
      <c r="A1781" s="84" t="s">
        <v>809</v>
      </c>
      <c r="B1781" s="10" t="s">
        <v>840</v>
      </c>
      <c r="C1781" s="10"/>
      <c r="D1781" s="283"/>
      <c r="E1781" s="283"/>
      <c r="F1781" s="292" t="s">
        <v>371</v>
      </c>
      <c r="G1781" s="44"/>
      <c r="H1781" s="45"/>
      <c r="I1781" s="345"/>
      <c r="J1781" s="281"/>
      <c r="K1781" s="10">
        <v>1</v>
      </c>
    </row>
    <row r="1782" spans="1:11" ht="13" x14ac:dyDescent="0.35">
      <c r="A1782" s="84" t="s">
        <v>809</v>
      </c>
      <c r="B1782" s="10" t="s">
        <v>840</v>
      </c>
      <c r="C1782" s="10"/>
      <c r="D1782" s="283"/>
      <c r="E1782" s="283"/>
      <c r="F1782" s="294" t="s">
        <v>100</v>
      </c>
      <c r="G1782" s="44"/>
      <c r="H1782" s="45"/>
      <c r="I1782" s="345"/>
      <c r="J1782" s="281"/>
      <c r="K1782" s="10">
        <v>1</v>
      </c>
    </row>
    <row r="1783" spans="1:11" x14ac:dyDescent="0.35">
      <c r="A1783" s="84" t="s">
        <v>809</v>
      </c>
      <c r="B1783" s="10" t="s">
        <v>840</v>
      </c>
      <c r="C1783" s="10"/>
      <c r="D1783" s="283"/>
      <c r="E1783" s="283"/>
      <c r="F1783" s="298" t="s">
        <v>101</v>
      </c>
      <c r="G1783" s="44"/>
      <c r="H1783" s="45"/>
      <c r="I1783" s="345"/>
      <c r="J1783" s="281"/>
      <c r="K1783" s="10">
        <v>1</v>
      </c>
    </row>
    <row r="1784" spans="1:11" ht="13" x14ac:dyDescent="0.35">
      <c r="A1784" s="84" t="s">
        <v>809</v>
      </c>
      <c r="B1784" s="10" t="s">
        <v>840</v>
      </c>
      <c r="C1784" s="10"/>
      <c r="D1784" s="283"/>
      <c r="E1784" s="283"/>
      <c r="F1784" s="294" t="s">
        <v>841</v>
      </c>
      <c r="G1784" s="44"/>
      <c r="H1784" s="58"/>
      <c r="I1784" s="289"/>
      <c r="J1784" s="281"/>
      <c r="K1784" s="10">
        <v>1</v>
      </c>
    </row>
    <row r="1785" spans="1:11" ht="13" x14ac:dyDescent="0.35">
      <c r="A1785" s="84" t="s">
        <v>809</v>
      </c>
      <c r="B1785" s="10" t="s">
        <v>840</v>
      </c>
      <c r="C1785" s="10"/>
      <c r="D1785" s="283"/>
      <c r="E1785" s="283"/>
      <c r="F1785" s="294" t="s">
        <v>406</v>
      </c>
      <c r="G1785" s="44"/>
      <c r="H1785" s="58"/>
      <c r="I1785" s="289"/>
      <c r="J1785" s="281"/>
      <c r="K1785" s="10">
        <v>1</v>
      </c>
    </row>
    <row r="1786" spans="1:11" ht="25" x14ac:dyDescent="0.35">
      <c r="A1786" s="84" t="s">
        <v>809</v>
      </c>
      <c r="B1786" s="10" t="s">
        <v>840</v>
      </c>
      <c r="C1786" s="10"/>
      <c r="D1786" s="283" t="s">
        <v>20</v>
      </c>
      <c r="E1786" s="283"/>
      <c r="F1786" s="298" t="s">
        <v>407</v>
      </c>
      <c r="G1786" s="44" t="s">
        <v>186</v>
      </c>
      <c r="H1786" s="58">
        <v>450</v>
      </c>
      <c r="I1786" s="289">
        <v>135</v>
      </c>
      <c r="J1786" s="281">
        <f>H1786*I1786</f>
        <v>60750</v>
      </c>
      <c r="K1786" s="10">
        <v>1</v>
      </c>
    </row>
    <row r="1787" spans="1:11" x14ac:dyDescent="0.35">
      <c r="A1787" s="84" t="s">
        <v>809</v>
      </c>
      <c r="B1787" s="10" t="s">
        <v>840</v>
      </c>
      <c r="C1787" s="10"/>
      <c r="D1787" s="283" t="s">
        <v>26</v>
      </c>
      <c r="E1787" s="283"/>
      <c r="F1787" s="298" t="s">
        <v>408</v>
      </c>
      <c r="G1787" s="44" t="s">
        <v>175</v>
      </c>
      <c r="H1787" s="85">
        <v>48</v>
      </c>
      <c r="I1787" s="289">
        <v>200</v>
      </c>
      <c r="J1787" s="281">
        <f>I1787*H1787</f>
        <v>9600</v>
      </c>
      <c r="K1787" s="10">
        <v>1</v>
      </c>
    </row>
    <row r="1788" spans="1:11" ht="25" x14ac:dyDescent="0.35">
      <c r="A1788" s="84" t="s">
        <v>809</v>
      </c>
      <c r="B1788" s="10" t="s">
        <v>840</v>
      </c>
      <c r="C1788" s="10"/>
      <c r="D1788" s="283" t="s">
        <v>29</v>
      </c>
      <c r="E1788" s="325"/>
      <c r="F1788" s="298" t="s">
        <v>409</v>
      </c>
      <c r="G1788" s="44" t="s">
        <v>175</v>
      </c>
      <c r="H1788" s="326">
        <v>48</v>
      </c>
      <c r="I1788" s="289">
        <v>200</v>
      </c>
      <c r="J1788" s="281">
        <f>H1788*I1788</f>
        <v>9600</v>
      </c>
      <c r="K1788" s="10">
        <v>1</v>
      </c>
    </row>
    <row r="1789" spans="1:11" ht="25" x14ac:dyDescent="0.35">
      <c r="A1789" s="84" t="s">
        <v>809</v>
      </c>
      <c r="B1789" s="10" t="s">
        <v>840</v>
      </c>
      <c r="C1789" s="10"/>
      <c r="D1789" s="283" t="s">
        <v>32</v>
      </c>
      <c r="E1789" s="283"/>
      <c r="F1789" s="298" t="s">
        <v>410</v>
      </c>
      <c r="G1789" s="44" t="s">
        <v>186</v>
      </c>
      <c r="H1789" s="58">
        <v>132</v>
      </c>
      <c r="I1789" s="289">
        <v>135</v>
      </c>
      <c r="J1789" s="281">
        <f>H1789*I1789</f>
        <v>17820</v>
      </c>
      <c r="K1789" s="10">
        <v>1</v>
      </c>
    </row>
    <row r="1790" spans="1:11" x14ac:dyDescent="0.35">
      <c r="A1790" s="84" t="s">
        <v>809</v>
      </c>
      <c r="B1790" s="10" t="s">
        <v>840</v>
      </c>
      <c r="C1790" s="10"/>
      <c r="D1790" s="283" t="s">
        <v>36</v>
      </c>
      <c r="E1790" s="283"/>
      <c r="F1790" s="298" t="s">
        <v>411</v>
      </c>
      <c r="G1790" s="44" t="s">
        <v>175</v>
      </c>
      <c r="H1790" s="85">
        <v>48</v>
      </c>
      <c r="I1790" s="289">
        <v>200</v>
      </c>
      <c r="J1790" s="281">
        <f>I1790*H1790</f>
        <v>9600</v>
      </c>
      <c r="K1790" s="10">
        <v>1</v>
      </c>
    </row>
    <row r="1791" spans="1:11" ht="13" x14ac:dyDescent="0.35">
      <c r="A1791" s="84" t="s">
        <v>809</v>
      </c>
      <c r="B1791" s="10" t="s">
        <v>842</v>
      </c>
      <c r="C1791" s="10"/>
      <c r="D1791" s="283"/>
      <c r="E1791" s="283"/>
      <c r="F1791" s="292" t="s">
        <v>810</v>
      </c>
      <c r="G1791" s="44"/>
      <c r="H1791" s="45"/>
      <c r="I1791" s="289"/>
      <c r="J1791" s="281"/>
      <c r="K1791" s="10">
        <v>1</v>
      </c>
    </row>
    <row r="1792" spans="1:11" ht="13" x14ac:dyDescent="0.35">
      <c r="A1792" s="84" t="s">
        <v>809</v>
      </c>
      <c r="B1792" s="10" t="s">
        <v>842</v>
      </c>
      <c r="C1792" s="10"/>
      <c r="D1792" s="283"/>
      <c r="E1792" s="283"/>
      <c r="F1792" s="292" t="s">
        <v>811</v>
      </c>
      <c r="G1792" s="44"/>
      <c r="H1792" s="45"/>
      <c r="I1792" s="289"/>
      <c r="J1792" s="281"/>
      <c r="K1792" s="10">
        <v>1</v>
      </c>
    </row>
    <row r="1793" spans="1:11" ht="13" x14ac:dyDescent="0.35">
      <c r="A1793" s="84" t="s">
        <v>809</v>
      </c>
      <c r="B1793" s="10" t="s">
        <v>842</v>
      </c>
      <c r="C1793" s="10"/>
      <c r="D1793" s="283"/>
      <c r="E1793" s="283"/>
      <c r="F1793" s="292" t="s">
        <v>331</v>
      </c>
      <c r="G1793" s="44"/>
      <c r="H1793" s="45"/>
      <c r="I1793" s="289"/>
      <c r="J1793" s="281"/>
      <c r="K1793" s="10">
        <v>1</v>
      </c>
    </row>
    <row r="1794" spans="1:11" ht="13" x14ac:dyDescent="0.35">
      <c r="A1794" s="84" t="s">
        <v>809</v>
      </c>
      <c r="B1794" s="10" t="s">
        <v>842</v>
      </c>
      <c r="C1794" s="10"/>
      <c r="D1794" s="283"/>
      <c r="E1794" s="283"/>
      <c r="F1794" s="292" t="s">
        <v>414</v>
      </c>
      <c r="G1794" s="44"/>
      <c r="H1794" s="45"/>
      <c r="I1794" s="289"/>
      <c r="J1794" s="281"/>
      <c r="K1794" s="10">
        <v>1</v>
      </c>
    </row>
    <row r="1795" spans="1:11" ht="13" x14ac:dyDescent="0.35">
      <c r="A1795" s="84" t="s">
        <v>809</v>
      </c>
      <c r="B1795" s="10" t="s">
        <v>842</v>
      </c>
      <c r="C1795" s="10"/>
      <c r="D1795" s="283"/>
      <c r="E1795" s="283"/>
      <c r="F1795" s="294" t="s">
        <v>100</v>
      </c>
      <c r="G1795" s="44"/>
      <c r="H1795" s="45"/>
      <c r="I1795" s="289"/>
      <c r="J1795" s="281"/>
      <c r="K1795" s="10">
        <v>1</v>
      </c>
    </row>
    <row r="1796" spans="1:11" x14ac:dyDescent="0.35">
      <c r="A1796" s="84" t="s">
        <v>809</v>
      </c>
      <c r="B1796" s="10" t="s">
        <v>842</v>
      </c>
      <c r="C1796" s="10"/>
      <c r="D1796" s="283"/>
      <c r="E1796" s="283"/>
      <c r="F1796" s="298" t="s">
        <v>101</v>
      </c>
      <c r="G1796" s="44"/>
      <c r="H1796" s="45"/>
      <c r="I1796" s="289"/>
      <c r="J1796" s="281"/>
      <c r="K1796" s="10">
        <v>1</v>
      </c>
    </row>
    <row r="1797" spans="1:11" ht="13" x14ac:dyDescent="0.35">
      <c r="A1797" s="84" t="s">
        <v>809</v>
      </c>
      <c r="B1797" s="10" t="s">
        <v>842</v>
      </c>
      <c r="C1797" s="10"/>
      <c r="D1797" s="283"/>
      <c r="E1797" s="283"/>
      <c r="F1797" s="346" t="s">
        <v>415</v>
      </c>
      <c r="G1797" s="44"/>
      <c r="H1797" s="45"/>
      <c r="I1797" s="289"/>
      <c r="J1797" s="281"/>
      <c r="K1797" s="10">
        <v>1</v>
      </c>
    </row>
    <row r="1798" spans="1:11" ht="13" x14ac:dyDescent="0.35">
      <c r="A1798" s="84" t="s">
        <v>809</v>
      </c>
      <c r="B1798" s="10" t="s">
        <v>842</v>
      </c>
      <c r="C1798" s="10"/>
      <c r="D1798" s="283"/>
      <c r="E1798" s="283"/>
      <c r="F1798" s="346" t="s">
        <v>843</v>
      </c>
      <c r="G1798" s="44"/>
      <c r="H1798" s="45"/>
      <c r="I1798" s="289"/>
      <c r="J1798" s="281"/>
      <c r="K1798" s="10">
        <v>1</v>
      </c>
    </row>
    <row r="1799" spans="1:11" ht="25" x14ac:dyDescent="0.35">
      <c r="A1799" s="84" t="s">
        <v>809</v>
      </c>
      <c r="B1799" s="10" t="s">
        <v>842</v>
      </c>
      <c r="C1799" s="10"/>
      <c r="D1799" s="283" t="s">
        <v>20</v>
      </c>
      <c r="E1799" s="283"/>
      <c r="F1799" s="347" t="s">
        <v>844</v>
      </c>
      <c r="G1799" s="44" t="s">
        <v>110</v>
      </c>
      <c r="H1799" s="45">
        <v>172</v>
      </c>
      <c r="I1799" s="289">
        <v>450</v>
      </c>
      <c r="J1799" s="281">
        <f>H1799*I1799</f>
        <v>77400</v>
      </c>
      <c r="K1799" s="10">
        <v>1</v>
      </c>
    </row>
    <row r="1800" spans="1:11" ht="13" x14ac:dyDescent="0.35">
      <c r="A1800" s="84" t="s">
        <v>809</v>
      </c>
      <c r="B1800" s="10" t="s">
        <v>845</v>
      </c>
      <c r="C1800" s="10"/>
      <c r="D1800" s="283"/>
      <c r="E1800" s="283"/>
      <c r="F1800" s="292" t="s">
        <v>810</v>
      </c>
      <c r="G1800" s="44"/>
      <c r="H1800" s="45"/>
      <c r="I1800" s="289"/>
      <c r="J1800" s="281"/>
      <c r="K1800" s="10">
        <v>1</v>
      </c>
    </row>
    <row r="1801" spans="1:11" ht="13" x14ac:dyDescent="0.35">
      <c r="A1801" s="84" t="s">
        <v>809</v>
      </c>
      <c r="B1801" s="10" t="s">
        <v>845</v>
      </c>
      <c r="C1801" s="10"/>
      <c r="D1801" s="283"/>
      <c r="E1801" s="283"/>
      <c r="F1801" s="292" t="s">
        <v>811</v>
      </c>
      <c r="G1801" s="44"/>
      <c r="H1801" s="45"/>
      <c r="I1801" s="289"/>
      <c r="J1801" s="281"/>
      <c r="K1801" s="10">
        <v>1</v>
      </c>
    </row>
    <row r="1802" spans="1:11" ht="13" x14ac:dyDescent="0.35">
      <c r="A1802" s="84" t="s">
        <v>809</v>
      </c>
      <c r="B1802" s="10" t="s">
        <v>845</v>
      </c>
      <c r="C1802" s="10"/>
      <c r="D1802" s="283"/>
      <c r="E1802" s="283"/>
      <c r="F1802" s="292" t="s">
        <v>340</v>
      </c>
      <c r="G1802" s="44"/>
      <c r="H1802" s="45"/>
      <c r="I1802" s="289"/>
      <c r="J1802" s="281"/>
      <c r="K1802" s="10">
        <v>1</v>
      </c>
    </row>
    <row r="1803" spans="1:11" ht="13" x14ac:dyDescent="0.35">
      <c r="A1803" s="84" t="s">
        <v>809</v>
      </c>
      <c r="B1803" s="10" t="s">
        <v>845</v>
      </c>
      <c r="C1803" s="10"/>
      <c r="D1803" s="283"/>
      <c r="E1803" s="283"/>
      <c r="F1803" s="292" t="s">
        <v>420</v>
      </c>
      <c r="G1803" s="44"/>
      <c r="H1803" s="45"/>
      <c r="I1803" s="289"/>
      <c r="J1803" s="281"/>
      <c r="K1803" s="10">
        <v>1</v>
      </c>
    </row>
    <row r="1804" spans="1:11" ht="13" x14ac:dyDescent="0.35">
      <c r="A1804" s="84" t="s">
        <v>809</v>
      </c>
      <c r="B1804" s="10" t="s">
        <v>845</v>
      </c>
      <c r="C1804" s="10"/>
      <c r="D1804" s="283"/>
      <c r="E1804" s="283"/>
      <c r="F1804" s="294" t="s">
        <v>100</v>
      </c>
      <c r="G1804" s="44"/>
      <c r="H1804" s="45"/>
      <c r="I1804" s="289"/>
      <c r="J1804" s="281"/>
      <c r="K1804" s="10">
        <v>1</v>
      </c>
    </row>
    <row r="1805" spans="1:11" x14ac:dyDescent="0.35">
      <c r="A1805" s="84" t="s">
        <v>809</v>
      </c>
      <c r="B1805" s="10" t="s">
        <v>845</v>
      </c>
      <c r="C1805" s="10"/>
      <c r="D1805" s="283"/>
      <c r="E1805" s="283"/>
      <c r="F1805" s="298" t="s">
        <v>101</v>
      </c>
      <c r="G1805" s="44"/>
      <c r="H1805" s="45"/>
      <c r="I1805" s="289"/>
      <c r="J1805" s="281"/>
      <c r="K1805" s="10">
        <v>1</v>
      </c>
    </row>
    <row r="1806" spans="1:11" ht="13" x14ac:dyDescent="0.35">
      <c r="A1806" s="84" t="s">
        <v>809</v>
      </c>
      <c r="B1806" s="10" t="s">
        <v>845</v>
      </c>
      <c r="C1806" s="10"/>
      <c r="D1806" s="283"/>
      <c r="E1806" s="283"/>
      <c r="F1806" s="294" t="s">
        <v>333</v>
      </c>
      <c r="G1806" s="44"/>
      <c r="H1806" s="45"/>
      <c r="I1806" s="289"/>
      <c r="J1806" s="281"/>
      <c r="K1806" s="10">
        <v>1</v>
      </c>
    </row>
    <row r="1807" spans="1:11" ht="112.5" x14ac:dyDescent="0.35">
      <c r="A1807" s="84" t="s">
        <v>809</v>
      </c>
      <c r="B1807" s="10" t="s">
        <v>845</v>
      </c>
      <c r="C1807" s="10"/>
      <c r="D1807" s="283"/>
      <c r="E1807" s="283"/>
      <c r="F1807" s="298" t="s">
        <v>421</v>
      </c>
      <c r="G1807" s="44"/>
      <c r="H1807" s="117"/>
      <c r="I1807" s="289"/>
      <c r="J1807" s="281"/>
      <c r="K1807" s="10">
        <v>1</v>
      </c>
    </row>
    <row r="1808" spans="1:11" x14ac:dyDescent="0.35">
      <c r="A1808" s="84" t="s">
        <v>809</v>
      </c>
      <c r="B1808" s="10" t="s">
        <v>845</v>
      </c>
      <c r="C1808" s="10"/>
      <c r="D1808" s="283"/>
      <c r="E1808" s="283"/>
      <c r="F1808" s="324" t="s">
        <v>422</v>
      </c>
      <c r="G1808" s="44"/>
      <c r="H1808" s="45"/>
      <c r="I1808" s="289"/>
      <c r="J1808" s="281"/>
      <c r="K1808" s="10">
        <v>1</v>
      </c>
    </row>
    <row r="1809" spans="1:11" x14ac:dyDescent="0.35">
      <c r="A1809" s="84" t="s">
        <v>809</v>
      </c>
      <c r="B1809" s="10" t="s">
        <v>845</v>
      </c>
      <c r="C1809" s="10"/>
      <c r="D1809" s="283"/>
      <c r="E1809" s="283"/>
      <c r="F1809" s="324" t="s">
        <v>423</v>
      </c>
      <c r="G1809" s="44"/>
      <c r="H1809" s="45"/>
      <c r="I1809" s="289"/>
      <c r="J1809" s="281"/>
      <c r="K1809" s="10">
        <v>1</v>
      </c>
    </row>
    <row r="1810" spans="1:11" ht="50" x14ac:dyDescent="0.35">
      <c r="A1810" s="84" t="s">
        <v>809</v>
      </c>
      <c r="B1810" s="10" t="s">
        <v>845</v>
      </c>
      <c r="C1810" s="10"/>
      <c r="D1810" s="283"/>
      <c r="E1810" s="283"/>
      <c r="F1810" s="298" t="s">
        <v>424</v>
      </c>
      <c r="G1810" s="44"/>
      <c r="H1810" s="45"/>
      <c r="I1810" s="289"/>
      <c r="J1810" s="281"/>
      <c r="K1810" s="10">
        <v>1</v>
      </c>
    </row>
    <row r="1811" spans="1:11" x14ac:dyDescent="0.35">
      <c r="A1811" s="84" t="s">
        <v>809</v>
      </c>
      <c r="B1811" s="10" t="s">
        <v>845</v>
      </c>
      <c r="C1811" s="10"/>
      <c r="D1811" s="283"/>
      <c r="E1811" s="283"/>
      <c r="F1811" s="324" t="s">
        <v>425</v>
      </c>
      <c r="G1811" s="44"/>
      <c r="H1811" s="45"/>
      <c r="I1811" s="289"/>
      <c r="J1811" s="281"/>
      <c r="K1811" s="10">
        <v>1</v>
      </c>
    </row>
    <row r="1812" spans="1:11" ht="25" x14ac:dyDescent="0.35">
      <c r="A1812" s="84" t="s">
        <v>809</v>
      </c>
      <c r="B1812" s="10" t="s">
        <v>845</v>
      </c>
      <c r="C1812" s="10"/>
      <c r="D1812" s="283"/>
      <c r="E1812" s="283"/>
      <c r="F1812" s="348" t="s">
        <v>426</v>
      </c>
      <c r="G1812" s="44"/>
      <c r="H1812" s="45"/>
      <c r="I1812" s="289"/>
      <c r="J1812" s="281"/>
      <c r="K1812" s="10">
        <v>1</v>
      </c>
    </row>
    <row r="1813" spans="1:11" ht="25" x14ac:dyDescent="0.35">
      <c r="A1813" s="84" t="s">
        <v>809</v>
      </c>
      <c r="B1813" s="10" t="s">
        <v>845</v>
      </c>
      <c r="C1813" s="10"/>
      <c r="D1813" s="283"/>
      <c r="E1813" s="283"/>
      <c r="F1813" s="348" t="s">
        <v>427</v>
      </c>
      <c r="G1813" s="44"/>
      <c r="H1813" s="45"/>
      <c r="I1813" s="289"/>
      <c r="J1813" s="281"/>
      <c r="K1813" s="10">
        <v>1</v>
      </c>
    </row>
    <row r="1814" spans="1:11" x14ac:dyDescent="0.35">
      <c r="A1814" s="84" t="s">
        <v>809</v>
      </c>
      <c r="B1814" s="10" t="s">
        <v>845</v>
      </c>
      <c r="C1814" s="10"/>
      <c r="D1814" s="283"/>
      <c r="E1814" s="283"/>
      <c r="F1814" s="324" t="s">
        <v>428</v>
      </c>
      <c r="G1814" s="44"/>
      <c r="H1814" s="45"/>
      <c r="I1814" s="289"/>
      <c r="J1814" s="281"/>
      <c r="K1814" s="10">
        <v>1</v>
      </c>
    </row>
    <row r="1815" spans="1:11" ht="37.5" x14ac:dyDescent="0.35">
      <c r="A1815" s="84" t="s">
        <v>809</v>
      </c>
      <c r="B1815" s="10" t="s">
        <v>845</v>
      </c>
      <c r="C1815" s="10"/>
      <c r="D1815" s="283"/>
      <c r="E1815" s="283"/>
      <c r="F1815" s="348" t="s">
        <v>429</v>
      </c>
      <c r="G1815" s="44"/>
      <c r="H1815" s="45"/>
      <c r="I1815" s="289"/>
      <c r="J1815" s="281"/>
      <c r="K1815" s="10">
        <v>1</v>
      </c>
    </row>
    <row r="1816" spans="1:11" ht="13" x14ac:dyDescent="0.35">
      <c r="A1816" s="84" t="s">
        <v>809</v>
      </c>
      <c r="B1816" s="10" t="s">
        <v>845</v>
      </c>
      <c r="C1816" s="10"/>
      <c r="D1816" s="283"/>
      <c r="E1816" s="283"/>
      <c r="F1816" s="294" t="s">
        <v>430</v>
      </c>
      <c r="G1816" s="44"/>
      <c r="H1816" s="45"/>
      <c r="I1816" s="289"/>
      <c r="J1816" s="281"/>
      <c r="K1816" s="10">
        <v>1</v>
      </c>
    </row>
    <row r="1817" spans="1:11" ht="13" x14ac:dyDescent="0.35">
      <c r="A1817" s="84" t="s">
        <v>809</v>
      </c>
      <c r="B1817" s="10" t="s">
        <v>845</v>
      </c>
      <c r="C1817" s="10"/>
      <c r="D1817" s="283"/>
      <c r="E1817" s="283"/>
      <c r="F1817" s="294" t="s">
        <v>435</v>
      </c>
      <c r="G1817" s="44"/>
      <c r="H1817" s="45"/>
      <c r="I1817" s="289"/>
      <c r="J1817" s="281"/>
      <c r="K1817" s="10">
        <v>1</v>
      </c>
    </row>
    <row r="1818" spans="1:11" ht="26" x14ac:dyDescent="0.35">
      <c r="A1818" s="84" t="s">
        <v>809</v>
      </c>
      <c r="B1818" s="10" t="s">
        <v>845</v>
      </c>
      <c r="C1818" s="10"/>
      <c r="D1818" s="283"/>
      <c r="E1818" s="283"/>
      <c r="F1818" s="294" t="s">
        <v>436</v>
      </c>
      <c r="G1818" s="44"/>
      <c r="H1818" s="45"/>
      <c r="I1818" s="289"/>
      <c r="J1818" s="281"/>
      <c r="K1818" s="10">
        <v>1</v>
      </c>
    </row>
    <row r="1819" spans="1:11" ht="14.5" x14ac:dyDescent="0.35">
      <c r="A1819" s="84" t="s">
        <v>809</v>
      </c>
      <c r="B1819" s="10" t="s">
        <v>845</v>
      </c>
      <c r="C1819" s="10"/>
      <c r="D1819" s="283" t="s">
        <v>20</v>
      </c>
      <c r="E1819" s="283"/>
      <c r="F1819" s="298" t="s">
        <v>437</v>
      </c>
      <c r="G1819" s="44" t="s">
        <v>110</v>
      </c>
      <c r="H1819" s="45">
        <v>1038</v>
      </c>
      <c r="I1819" s="289">
        <v>85</v>
      </c>
      <c r="J1819" s="281">
        <f>H1819*I1819</f>
        <v>88230</v>
      </c>
      <c r="K1819" s="10">
        <v>1</v>
      </c>
    </row>
    <row r="1820" spans="1:11" ht="14.5" x14ac:dyDescent="0.35">
      <c r="A1820" s="84" t="s">
        <v>809</v>
      </c>
      <c r="B1820" s="10" t="s">
        <v>845</v>
      </c>
      <c r="C1820" s="10"/>
      <c r="D1820" s="283" t="s">
        <v>26</v>
      </c>
      <c r="E1820" s="283"/>
      <c r="F1820" s="298" t="s">
        <v>438</v>
      </c>
      <c r="G1820" s="44" t="s">
        <v>110</v>
      </c>
      <c r="H1820" s="45">
        <v>270</v>
      </c>
      <c r="I1820" s="289">
        <v>85</v>
      </c>
      <c r="J1820" s="281">
        <f>H1820*I1820</f>
        <v>22950</v>
      </c>
      <c r="K1820" s="10">
        <v>1</v>
      </c>
    </row>
    <row r="1821" spans="1:11" x14ac:dyDescent="0.35">
      <c r="A1821" s="84" t="s">
        <v>809</v>
      </c>
      <c r="B1821" s="10" t="s">
        <v>845</v>
      </c>
      <c r="C1821" s="10"/>
      <c r="D1821" s="283" t="s">
        <v>29</v>
      </c>
      <c r="E1821" s="283"/>
      <c r="F1821" s="298" t="s">
        <v>439</v>
      </c>
      <c r="G1821" s="44" t="s">
        <v>186</v>
      </c>
      <c r="H1821" s="45">
        <v>432</v>
      </c>
      <c r="I1821" s="289">
        <v>75</v>
      </c>
      <c r="J1821" s="281">
        <f>H1821*I1821</f>
        <v>32400</v>
      </c>
      <c r="K1821" s="10">
        <v>1</v>
      </c>
    </row>
    <row r="1822" spans="1:11" ht="13" x14ac:dyDescent="0.35">
      <c r="A1822" s="84" t="s">
        <v>809</v>
      </c>
      <c r="B1822" s="10" t="s">
        <v>845</v>
      </c>
      <c r="C1822" s="10"/>
      <c r="D1822" s="283"/>
      <c r="E1822" s="344"/>
      <c r="F1822" s="294" t="s">
        <v>440</v>
      </c>
      <c r="G1822" s="44"/>
      <c r="H1822" s="122"/>
      <c r="I1822" s="337"/>
      <c r="J1822" s="281"/>
      <c r="K1822" s="10">
        <v>1</v>
      </c>
    </row>
    <row r="1823" spans="1:11" ht="26" x14ac:dyDescent="0.35">
      <c r="A1823" s="84" t="s">
        <v>809</v>
      </c>
      <c r="B1823" s="10" t="s">
        <v>845</v>
      </c>
      <c r="C1823" s="10"/>
      <c r="D1823" s="283"/>
      <c r="E1823" s="344"/>
      <c r="F1823" s="294" t="s">
        <v>441</v>
      </c>
      <c r="G1823" s="44"/>
      <c r="H1823" s="122"/>
      <c r="I1823" s="337"/>
      <c r="J1823" s="281"/>
      <c r="K1823" s="10">
        <v>1</v>
      </c>
    </row>
    <row r="1824" spans="1:11" ht="14.5" x14ac:dyDescent="0.35">
      <c r="A1824" s="84" t="s">
        <v>809</v>
      </c>
      <c r="B1824" s="10" t="s">
        <v>845</v>
      </c>
      <c r="C1824" s="10"/>
      <c r="D1824" s="283" t="s">
        <v>32</v>
      </c>
      <c r="E1824" s="344"/>
      <c r="F1824" s="298" t="s">
        <v>442</v>
      </c>
      <c r="G1824" s="44" t="s">
        <v>110</v>
      </c>
      <c r="H1824" s="122">
        <v>108</v>
      </c>
      <c r="I1824" s="337">
        <v>85</v>
      </c>
      <c r="J1824" s="281">
        <f>H1824*I1824</f>
        <v>9180</v>
      </c>
      <c r="K1824" s="10">
        <v>1</v>
      </c>
    </row>
    <row r="1825" spans="1:11" ht="13" x14ac:dyDescent="0.35">
      <c r="A1825" s="84" t="s">
        <v>809</v>
      </c>
      <c r="B1825" s="10" t="s">
        <v>845</v>
      </c>
      <c r="C1825" s="10"/>
      <c r="D1825" s="283"/>
      <c r="E1825" s="344"/>
      <c r="F1825" s="294" t="s">
        <v>846</v>
      </c>
      <c r="G1825" s="44"/>
      <c r="H1825" s="122"/>
      <c r="I1825" s="337"/>
      <c r="J1825" s="281"/>
      <c r="K1825" s="10">
        <v>1</v>
      </c>
    </row>
    <row r="1826" spans="1:11" ht="39" x14ac:dyDescent="0.35">
      <c r="A1826" s="84" t="s">
        <v>809</v>
      </c>
      <c r="B1826" s="10" t="s">
        <v>845</v>
      </c>
      <c r="C1826" s="10"/>
      <c r="D1826" s="283"/>
      <c r="E1826" s="344"/>
      <c r="F1826" s="294" t="s">
        <v>847</v>
      </c>
      <c r="G1826" s="44"/>
      <c r="H1826" s="122"/>
      <c r="I1826" s="337"/>
      <c r="J1826" s="281"/>
      <c r="K1826" s="10">
        <v>1</v>
      </c>
    </row>
    <row r="1827" spans="1:11" ht="14.5" x14ac:dyDescent="0.35">
      <c r="A1827" s="84" t="s">
        <v>809</v>
      </c>
      <c r="B1827" s="10" t="s">
        <v>845</v>
      </c>
      <c r="C1827" s="10"/>
      <c r="D1827" s="144" t="s">
        <v>36</v>
      </c>
      <c r="E1827" s="145"/>
      <c r="F1827" s="146" t="s">
        <v>446</v>
      </c>
      <c r="G1827" s="147" t="s">
        <v>110</v>
      </c>
      <c r="H1827" s="148">
        <v>80</v>
      </c>
      <c r="I1827" s="150">
        <v>85</v>
      </c>
      <c r="J1827" s="151">
        <f>H1827*I1827</f>
        <v>6800</v>
      </c>
      <c r="K1827" s="10">
        <v>1</v>
      </c>
    </row>
    <row r="1828" spans="1:11" ht="26" x14ac:dyDescent="0.35">
      <c r="A1828" s="84" t="s">
        <v>809</v>
      </c>
      <c r="B1828" s="10" t="s">
        <v>845</v>
      </c>
      <c r="C1828" s="10"/>
      <c r="D1828" s="283"/>
      <c r="E1828" s="283"/>
      <c r="F1828" s="294" t="s">
        <v>848</v>
      </c>
      <c r="G1828" s="44"/>
      <c r="H1828" s="45"/>
      <c r="I1828" s="289"/>
      <c r="J1828" s="281"/>
      <c r="K1828" s="10">
        <v>1</v>
      </c>
    </row>
    <row r="1829" spans="1:11" ht="13" x14ac:dyDescent="0.35">
      <c r="A1829" s="84" t="s">
        <v>809</v>
      </c>
      <c r="B1829" s="10" t="s">
        <v>845</v>
      </c>
      <c r="C1829" s="10"/>
      <c r="D1829" s="283"/>
      <c r="E1829" s="283"/>
      <c r="F1829" s="294" t="s">
        <v>431</v>
      </c>
      <c r="G1829" s="44"/>
      <c r="H1829" s="45"/>
      <c r="I1829" s="289"/>
      <c r="J1829" s="281"/>
      <c r="K1829" s="10">
        <v>1</v>
      </c>
    </row>
    <row r="1830" spans="1:11" ht="26" x14ac:dyDescent="0.35">
      <c r="A1830" s="84" t="s">
        <v>809</v>
      </c>
      <c r="B1830" s="10" t="s">
        <v>845</v>
      </c>
      <c r="C1830" s="10"/>
      <c r="D1830" s="283"/>
      <c r="E1830" s="283"/>
      <c r="F1830" s="294" t="s">
        <v>432</v>
      </c>
      <c r="G1830" s="44"/>
      <c r="H1830" s="45"/>
      <c r="I1830" s="289"/>
      <c r="J1830" s="281"/>
      <c r="K1830" s="10">
        <v>1</v>
      </c>
    </row>
    <row r="1831" spans="1:11" ht="14.5" x14ac:dyDescent="0.35">
      <c r="A1831" s="84" t="s">
        <v>809</v>
      </c>
      <c r="B1831" s="10" t="s">
        <v>845</v>
      </c>
      <c r="C1831" s="10"/>
      <c r="D1831" s="283" t="s">
        <v>39</v>
      </c>
      <c r="E1831" s="283"/>
      <c r="F1831" s="298" t="s">
        <v>849</v>
      </c>
      <c r="G1831" s="44" t="s">
        <v>110</v>
      </c>
      <c r="H1831" s="45">
        <v>1900</v>
      </c>
      <c r="I1831" s="289">
        <v>85</v>
      </c>
      <c r="J1831" s="281">
        <f>H1831*I1831</f>
        <v>161500</v>
      </c>
      <c r="K1831" s="10">
        <v>1</v>
      </c>
    </row>
    <row r="1832" spans="1:11" ht="14.5" x14ac:dyDescent="0.35">
      <c r="A1832" s="84" t="s">
        <v>809</v>
      </c>
      <c r="B1832" s="10" t="s">
        <v>845</v>
      </c>
      <c r="C1832" s="10"/>
      <c r="D1832" s="283" t="s">
        <v>42</v>
      </c>
      <c r="E1832" s="283"/>
      <c r="F1832" s="298" t="s">
        <v>850</v>
      </c>
      <c r="G1832" s="44" t="s">
        <v>110</v>
      </c>
      <c r="H1832" s="45">
        <f>307*6</f>
        <v>1842</v>
      </c>
      <c r="I1832" s="289">
        <v>85</v>
      </c>
      <c r="J1832" s="281">
        <f>H1832*I1832</f>
        <v>156570</v>
      </c>
      <c r="K1832" s="10">
        <v>1</v>
      </c>
    </row>
    <row r="1833" spans="1:11" ht="14.5" x14ac:dyDescent="0.35">
      <c r="A1833" s="84" t="s">
        <v>809</v>
      </c>
      <c r="B1833" s="10" t="s">
        <v>845</v>
      </c>
      <c r="C1833" s="10"/>
      <c r="D1833" s="283" t="s">
        <v>45</v>
      </c>
      <c r="E1833" s="283"/>
      <c r="F1833" s="298" t="s">
        <v>434</v>
      </c>
      <c r="G1833" s="44" t="s">
        <v>110</v>
      </c>
      <c r="H1833" s="45">
        <f>(H1832+H1831)*0.08</f>
        <v>299.36</v>
      </c>
      <c r="I1833" s="289">
        <v>85</v>
      </c>
      <c r="J1833" s="281">
        <f>H1833*I1833</f>
        <v>25445.600000000002</v>
      </c>
      <c r="K1833" s="10">
        <v>1</v>
      </c>
    </row>
    <row r="1834" spans="1:11" ht="13" x14ac:dyDescent="0.35">
      <c r="A1834" s="84" t="s">
        <v>809</v>
      </c>
      <c r="B1834" s="10" t="s">
        <v>845</v>
      </c>
      <c r="C1834" s="10"/>
      <c r="D1834" s="283"/>
      <c r="E1834" s="344"/>
      <c r="F1834" s="294" t="s">
        <v>440</v>
      </c>
      <c r="G1834" s="44"/>
      <c r="H1834" s="122"/>
      <c r="I1834" s="337"/>
      <c r="J1834" s="281"/>
      <c r="K1834" s="10">
        <v>1</v>
      </c>
    </row>
    <row r="1835" spans="1:11" ht="26" x14ac:dyDescent="0.35">
      <c r="A1835" s="84" t="s">
        <v>809</v>
      </c>
      <c r="B1835" s="10" t="s">
        <v>845</v>
      </c>
      <c r="C1835" s="10"/>
      <c r="D1835" s="283"/>
      <c r="E1835" s="344"/>
      <c r="F1835" s="294" t="s">
        <v>441</v>
      </c>
      <c r="G1835" s="44"/>
      <c r="H1835" s="122"/>
      <c r="I1835" s="337"/>
      <c r="J1835" s="281"/>
      <c r="K1835" s="10">
        <v>1</v>
      </c>
    </row>
    <row r="1836" spans="1:11" ht="14.5" x14ac:dyDescent="0.35">
      <c r="A1836" s="84" t="s">
        <v>809</v>
      </c>
      <c r="B1836" s="10" t="s">
        <v>845</v>
      </c>
      <c r="C1836" s="10"/>
      <c r="D1836" s="283" t="s">
        <v>48</v>
      </c>
      <c r="E1836" s="344"/>
      <c r="F1836" s="298" t="s">
        <v>443</v>
      </c>
      <c r="G1836" s="44" t="s">
        <v>110</v>
      </c>
      <c r="H1836" s="122">
        <v>120</v>
      </c>
      <c r="I1836" s="337">
        <v>85</v>
      </c>
      <c r="J1836" s="281">
        <f>H1836*I1836</f>
        <v>10200</v>
      </c>
      <c r="K1836" s="10">
        <v>1</v>
      </c>
    </row>
    <row r="1837" spans="1:11" ht="13" x14ac:dyDescent="0.35">
      <c r="A1837" s="84" t="s">
        <v>809</v>
      </c>
      <c r="B1837" s="10" t="s">
        <v>851</v>
      </c>
      <c r="C1837" s="10"/>
      <c r="D1837" s="283"/>
      <c r="E1837" s="283"/>
      <c r="F1837" s="292" t="s">
        <v>810</v>
      </c>
      <c r="G1837" s="44"/>
      <c r="H1837" s="45"/>
      <c r="I1837" s="289"/>
      <c r="J1837" s="290"/>
      <c r="K1837" s="10">
        <v>1</v>
      </c>
    </row>
    <row r="1838" spans="1:11" ht="13" x14ac:dyDescent="0.35">
      <c r="A1838" s="84" t="s">
        <v>809</v>
      </c>
      <c r="B1838" s="10" t="s">
        <v>851</v>
      </c>
      <c r="C1838" s="10"/>
      <c r="D1838" s="283"/>
      <c r="E1838" s="283"/>
      <c r="F1838" s="292" t="s">
        <v>811</v>
      </c>
      <c r="G1838" s="44"/>
      <c r="H1838" s="45"/>
      <c r="I1838" s="289"/>
      <c r="J1838" s="290"/>
      <c r="K1838" s="10">
        <v>1</v>
      </c>
    </row>
    <row r="1839" spans="1:11" ht="13" x14ac:dyDescent="0.35">
      <c r="A1839" s="84" t="s">
        <v>809</v>
      </c>
      <c r="B1839" s="10" t="s">
        <v>851</v>
      </c>
      <c r="C1839" s="10"/>
      <c r="D1839" s="283"/>
      <c r="E1839" s="283"/>
      <c r="F1839" s="292" t="s">
        <v>359</v>
      </c>
      <c r="G1839" s="44"/>
      <c r="H1839" s="45"/>
      <c r="I1839" s="289"/>
      <c r="J1839" s="290"/>
      <c r="K1839" s="10">
        <v>1</v>
      </c>
    </row>
    <row r="1840" spans="1:11" ht="13" x14ac:dyDescent="0.35">
      <c r="A1840" s="84" t="s">
        <v>809</v>
      </c>
      <c r="B1840" s="10" t="s">
        <v>851</v>
      </c>
      <c r="C1840" s="10"/>
      <c r="D1840" s="283"/>
      <c r="E1840" s="283"/>
      <c r="F1840" s="153" t="s">
        <v>450</v>
      </c>
      <c r="G1840" s="44"/>
      <c r="H1840" s="45"/>
      <c r="I1840" s="289"/>
      <c r="J1840" s="290"/>
      <c r="K1840" s="10">
        <v>1</v>
      </c>
    </row>
    <row r="1841" spans="1:11" ht="13" x14ac:dyDescent="0.35">
      <c r="A1841" s="84" t="s">
        <v>809</v>
      </c>
      <c r="B1841" s="10" t="s">
        <v>851</v>
      </c>
      <c r="C1841" s="10"/>
      <c r="D1841" s="283"/>
      <c r="E1841" s="283"/>
      <c r="F1841" s="154" t="s">
        <v>100</v>
      </c>
      <c r="G1841" s="44"/>
      <c r="H1841" s="45"/>
      <c r="I1841" s="289"/>
      <c r="J1841" s="290"/>
      <c r="K1841" s="10">
        <v>1</v>
      </c>
    </row>
    <row r="1842" spans="1:11" ht="13" x14ac:dyDescent="0.35">
      <c r="A1842" s="84" t="s">
        <v>809</v>
      </c>
      <c r="B1842" s="10" t="s">
        <v>851</v>
      </c>
      <c r="C1842" s="10"/>
      <c r="D1842" s="283"/>
      <c r="E1842" s="283"/>
      <c r="F1842" s="155" t="s">
        <v>101</v>
      </c>
      <c r="G1842" s="44"/>
      <c r="H1842" s="45"/>
      <c r="I1842" s="289"/>
      <c r="J1842" s="290"/>
      <c r="K1842" s="10">
        <v>1</v>
      </c>
    </row>
    <row r="1843" spans="1:11" ht="13" x14ac:dyDescent="0.35">
      <c r="A1843" s="84" t="s">
        <v>809</v>
      </c>
      <c r="B1843" s="10" t="s">
        <v>851</v>
      </c>
      <c r="C1843" s="10"/>
      <c r="D1843" s="283"/>
      <c r="E1843" s="283"/>
      <c r="F1843" s="153" t="s">
        <v>451</v>
      </c>
      <c r="G1843" s="44"/>
      <c r="H1843" s="45"/>
      <c r="I1843" s="289"/>
      <c r="J1843" s="281"/>
      <c r="K1843" s="10">
        <v>1</v>
      </c>
    </row>
    <row r="1844" spans="1:11" ht="26" x14ac:dyDescent="0.35">
      <c r="A1844" s="84" t="s">
        <v>809</v>
      </c>
      <c r="B1844" s="10" t="s">
        <v>851</v>
      </c>
      <c r="C1844" s="10"/>
      <c r="D1844" s="283"/>
      <c r="E1844" s="283"/>
      <c r="F1844" s="156" t="s">
        <v>452</v>
      </c>
      <c r="G1844" s="44"/>
      <c r="H1844" s="45"/>
      <c r="I1844" s="289"/>
      <c r="J1844" s="281"/>
      <c r="K1844" s="10">
        <v>1</v>
      </c>
    </row>
    <row r="1845" spans="1:11" ht="52" x14ac:dyDescent="0.35">
      <c r="A1845" s="84" t="s">
        <v>809</v>
      </c>
      <c r="B1845" s="10" t="s">
        <v>851</v>
      </c>
      <c r="C1845" s="10"/>
      <c r="D1845" s="283"/>
      <c r="E1845" s="283"/>
      <c r="F1845" s="156" t="s">
        <v>453</v>
      </c>
      <c r="G1845" s="44"/>
      <c r="H1845" s="45"/>
      <c r="I1845" s="289"/>
      <c r="J1845" s="281"/>
      <c r="K1845" s="10">
        <v>1</v>
      </c>
    </row>
    <row r="1846" spans="1:11" ht="13" x14ac:dyDescent="0.3">
      <c r="A1846" s="84" t="s">
        <v>809</v>
      </c>
      <c r="B1846" s="10" t="s">
        <v>851</v>
      </c>
      <c r="C1846" s="10"/>
      <c r="D1846" s="283"/>
      <c r="E1846" s="283"/>
      <c r="F1846" s="349" t="s">
        <v>852</v>
      </c>
      <c r="G1846" s="44"/>
      <c r="H1846" s="45"/>
      <c r="I1846" s="289"/>
      <c r="J1846" s="281"/>
      <c r="K1846" s="10">
        <v>1</v>
      </c>
    </row>
    <row r="1847" spans="1:11" ht="62.5" x14ac:dyDescent="0.35">
      <c r="A1847" s="84" t="s">
        <v>809</v>
      </c>
      <c r="B1847" s="10" t="s">
        <v>851</v>
      </c>
      <c r="C1847" s="10"/>
      <c r="D1847" s="283" t="s">
        <v>20</v>
      </c>
      <c r="E1847" s="283"/>
      <c r="F1847" s="159" t="s">
        <v>455</v>
      </c>
      <c r="G1847" s="44" t="s">
        <v>456</v>
      </c>
      <c r="H1847" s="45">
        <v>6</v>
      </c>
      <c r="I1847" s="289">
        <v>4000</v>
      </c>
      <c r="J1847" s="281">
        <f>H1847*I1847</f>
        <v>24000</v>
      </c>
      <c r="K1847" s="10">
        <v>1</v>
      </c>
    </row>
    <row r="1848" spans="1:11" x14ac:dyDescent="0.35">
      <c r="A1848" s="84" t="s">
        <v>809</v>
      </c>
      <c r="B1848" s="10" t="s">
        <v>851</v>
      </c>
      <c r="C1848" s="10"/>
      <c r="D1848" s="283"/>
      <c r="E1848" s="283"/>
      <c r="F1848" s="159" t="s">
        <v>701</v>
      </c>
      <c r="G1848" s="44"/>
      <c r="H1848" s="45"/>
      <c r="I1848" s="289"/>
      <c r="J1848" s="281"/>
      <c r="K1848" s="10">
        <v>1</v>
      </c>
    </row>
    <row r="1849" spans="1:11" ht="13" x14ac:dyDescent="0.35">
      <c r="A1849" s="84" t="s">
        <v>809</v>
      </c>
      <c r="B1849" s="10" t="s">
        <v>851</v>
      </c>
      <c r="C1849" s="10"/>
      <c r="D1849" s="283"/>
      <c r="E1849" s="283"/>
      <c r="F1849" s="157" t="s">
        <v>457</v>
      </c>
      <c r="G1849" s="44"/>
      <c r="H1849" s="45"/>
      <c r="I1849" s="289"/>
      <c r="J1849" s="281"/>
      <c r="K1849" s="10">
        <v>1</v>
      </c>
    </row>
    <row r="1850" spans="1:11" x14ac:dyDescent="0.35">
      <c r="A1850" s="84" t="s">
        <v>809</v>
      </c>
      <c r="B1850" s="10" t="s">
        <v>851</v>
      </c>
      <c r="C1850" s="10"/>
      <c r="D1850" s="283" t="s">
        <v>26</v>
      </c>
      <c r="E1850" s="283"/>
      <c r="F1850" s="159" t="s">
        <v>458</v>
      </c>
      <c r="G1850" s="44" t="s">
        <v>456</v>
      </c>
      <c r="H1850" s="45">
        <v>24</v>
      </c>
      <c r="I1850" s="289">
        <v>300</v>
      </c>
      <c r="J1850" s="281">
        <f>H1850*I1850</f>
        <v>7200</v>
      </c>
      <c r="K1850" s="10">
        <v>1</v>
      </c>
    </row>
    <row r="1851" spans="1:11" x14ac:dyDescent="0.35">
      <c r="A1851" s="84" t="s">
        <v>809</v>
      </c>
      <c r="B1851" s="10" t="s">
        <v>851</v>
      </c>
      <c r="C1851" s="10"/>
      <c r="D1851" s="283" t="s">
        <v>29</v>
      </c>
      <c r="E1851" s="283"/>
      <c r="F1851" s="159" t="s">
        <v>459</v>
      </c>
      <c r="G1851" s="44" t="s">
        <v>456</v>
      </c>
      <c r="H1851" s="45">
        <v>18</v>
      </c>
      <c r="I1851" s="289">
        <v>400</v>
      </c>
      <c r="J1851" s="281">
        <f>H1851*I1851</f>
        <v>7200</v>
      </c>
      <c r="K1851" s="10">
        <v>1</v>
      </c>
    </row>
    <row r="1852" spans="1:11" x14ac:dyDescent="0.35">
      <c r="A1852" s="84" t="s">
        <v>809</v>
      </c>
      <c r="B1852" s="10" t="s">
        <v>851</v>
      </c>
      <c r="C1852" s="10"/>
      <c r="D1852" s="283" t="s">
        <v>32</v>
      </c>
      <c r="E1852" s="283"/>
      <c r="F1852" s="159" t="s">
        <v>460</v>
      </c>
      <c r="G1852" s="44" t="s">
        <v>456</v>
      </c>
      <c r="H1852" s="45"/>
      <c r="I1852" s="350"/>
      <c r="J1852" s="281"/>
      <c r="K1852" s="10">
        <v>1</v>
      </c>
    </row>
    <row r="1853" spans="1:11" x14ac:dyDescent="0.35">
      <c r="A1853" s="84" t="s">
        <v>809</v>
      </c>
      <c r="B1853" s="10" t="s">
        <v>851</v>
      </c>
      <c r="C1853" s="10"/>
      <c r="D1853" s="283" t="s">
        <v>36</v>
      </c>
      <c r="E1853" s="283"/>
      <c r="F1853" s="159" t="s">
        <v>461</v>
      </c>
      <c r="G1853" s="44" t="s">
        <v>456</v>
      </c>
      <c r="H1853" s="45">
        <v>6</v>
      </c>
      <c r="I1853" s="289">
        <v>4000</v>
      </c>
      <c r="J1853" s="281">
        <f>H1853*I1853</f>
        <v>24000</v>
      </c>
      <c r="K1853" s="10">
        <v>1</v>
      </c>
    </row>
    <row r="1854" spans="1:11" ht="13" x14ac:dyDescent="0.35">
      <c r="A1854" s="84" t="s">
        <v>809</v>
      </c>
      <c r="B1854" s="10" t="s">
        <v>851</v>
      </c>
      <c r="C1854" s="10"/>
      <c r="D1854" s="283"/>
      <c r="E1854" s="283"/>
      <c r="F1854" s="157" t="s">
        <v>462</v>
      </c>
      <c r="G1854" s="44"/>
      <c r="H1854" s="45"/>
      <c r="I1854" s="289"/>
      <c r="J1854" s="281"/>
      <c r="K1854" s="10">
        <v>1</v>
      </c>
    </row>
    <row r="1855" spans="1:11" x14ac:dyDescent="0.35">
      <c r="A1855" s="84" t="s">
        <v>809</v>
      </c>
      <c r="B1855" s="10" t="s">
        <v>851</v>
      </c>
      <c r="C1855" s="10"/>
      <c r="D1855" s="283" t="s">
        <v>39</v>
      </c>
      <c r="E1855" s="283"/>
      <c r="F1855" s="159" t="s">
        <v>463</v>
      </c>
      <c r="G1855" s="44" t="s">
        <v>456</v>
      </c>
      <c r="H1855" s="45">
        <v>6</v>
      </c>
      <c r="I1855" s="289">
        <v>1500</v>
      </c>
      <c r="J1855" s="281">
        <f>H1855*I1855</f>
        <v>9000</v>
      </c>
      <c r="K1855" s="10">
        <v>1</v>
      </c>
    </row>
    <row r="1856" spans="1:11" ht="13" x14ac:dyDescent="0.35">
      <c r="A1856" s="84" t="s">
        <v>809</v>
      </c>
      <c r="B1856" s="10" t="s">
        <v>851</v>
      </c>
      <c r="C1856" s="10"/>
      <c r="D1856" s="283"/>
      <c r="E1856" s="283"/>
      <c r="F1856" s="157" t="s">
        <v>466</v>
      </c>
      <c r="G1856" s="44"/>
      <c r="H1856" s="45"/>
      <c r="I1856" s="289"/>
      <c r="J1856" s="281"/>
      <c r="K1856" s="10">
        <v>1</v>
      </c>
    </row>
    <row r="1857" spans="1:11" x14ac:dyDescent="0.35">
      <c r="A1857" s="84" t="s">
        <v>809</v>
      </c>
      <c r="B1857" s="10" t="s">
        <v>851</v>
      </c>
      <c r="C1857" s="10"/>
      <c r="D1857" s="283" t="s">
        <v>42</v>
      </c>
      <c r="E1857" s="283"/>
      <c r="F1857" s="159" t="s">
        <v>467</v>
      </c>
      <c r="G1857" s="44" t="s">
        <v>468</v>
      </c>
      <c r="H1857" s="45">
        <v>60</v>
      </c>
      <c r="I1857" s="289">
        <v>100</v>
      </c>
      <c r="J1857" s="281">
        <f>H1857*I1857</f>
        <v>6000</v>
      </c>
      <c r="K1857" s="10">
        <v>1</v>
      </c>
    </row>
    <row r="1858" spans="1:11" ht="13" x14ac:dyDescent="0.35">
      <c r="A1858" s="84" t="s">
        <v>809</v>
      </c>
      <c r="B1858" s="10" t="s">
        <v>851</v>
      </c>
      <c r="C1858" s="10"/>
      <c r="D1858" s="283"/>
      <c r="E1858" s="283"/>
      <c r="F1858" s="157" t="s">
        <v>469</v>
      </c>
      <c r="G1858" s="44"/>
      <c r="H1858" s="45"/>
      <c r="I1858" s="289"/>
      <c r="J1858" s="281"/>
      <c r="K1858" s="10">
        <v>1</v>
      </c>
    </row>
    <row r="1859" spans="1:11" ht="37.5" x14ac:dyDescent="0.35">
      <c r="A1859" s="84" t="s">
        <v>809</v>
      </c>
      <c r="B1859" s="10" t="s">
        <v>851</v>
      </c>
      <c r="C1859" s="10"/>
      <c r="D1859" s="283"/>
      <c r="E1859" s="283"/>
      <c r="F1859" s="159" t="s">
        <v>470</v>
      </c>
      <c r="G1859" s="44"/>
      <c r="H1859" s="45"/>
      <c r="I1859" s="289"/>
      <c r="J1859" s="281"/>
      <c r="K1859" s="10">
        <v>1</v>
      </c>
    </row>
    <row r="1860" spans="1:11" x14ac:dyDescent="0.35">
      <c r="A1860" s="84" t="s">
        <v>809</v>
      </c>
      <c r="B1860" s="10" t="s">
        <v>851</v>
      </c>
      <c r="C1860" s="10"/>
      <c r="D1860" s="283" t="s">
        <v>45</v>
      </c>
      <c r="E1860" s="283"/>
      <c r="F1860" s="159" t="s">
        <v>853</v>
      </c>
      <c r="G1860" s="44" t="s">
        <v>186</v>
      </c>
      <c r="H1860" s="45">
        <v>360</v>
      </c>
      <c r="I1860" s="289">
        <v>135</v>
      </c>
      <c r="J1860" s="281">
        <f>H1860*I1860</f>
        <v>48600</v>
      </c>
      <c r="K1860" s="10">
        <v>1</v>
      </c>
    </row>
    <row r="1861" spans="1:11" x14ac:dyDescent="0.35">
      <c r="A1861" s="84" t="s">
        <v>809</v>
      </c>
      <c r="B1861" s="10" t="s">
        <v>851</v>
      </c>
      <c r="C1861" s="10"/>
      <c r="D1861" s="283"/>
      <c r="E1861" s="283"/>
      <c r="F1861" s="159" t="s">
        <v>854</v>
      </c>
      <c r="G1861" s="44"/>
      <c r="H1861" s="45"/>
      <c r="I1861" s="289"/>
      <c r="J1861" s="281"/>
      <c r="K1861" s="10">
        <v>1</v>
      </c>
    </row>
    <row r="1862" spans="1:11" x14ac:dyDescent="0.35">
      <c r="A1862" s="84" t="s">
        <v>809</v>
      </c>
      <c r="B1862" s="10" t="s">
        <v>851</v>
      </c>
      <c r="C1862" s="10"/>
      <c r="D1862" s="283"/>
      <c r="E1862" s="283"/>
      <c r="F1862" s="159" t="s">
        <v>855</v>
      </c>
      <c r="G1862" s="44"/>
      <c r="H1862" s="45"/>
      <c r="I1862" s="289"/>
      <c r="J1862" s="281"/>
      <c r="K1862" s="10">
        <v>1</v>
      </c>
    </row>
    <row r="1863" spans="1:11" x14ac:dyDescent="0.35">
      <c r="A1863" s="84" t="s">
        <v>809</v>
      </c>
      <c r="B1863" s="10" t="s">
        <v>851</v>
      </c>
      <c r="C1863" s="10"/>
      <c r="D1863" s="283" t="s">
        <v>48</v>
      </c>
      <c r="E1863" s="283"/>
      <c r="F1863" s="159" t="s">
        <v>853</v>
      </c>
      <c r="G1863" s="44" t="s">
        <v>456</v>
      </c>
      <c r="H1863" s="45">
        <v>12</v>
      </c>
      <c r="I1863" s="289">
        <v>300</v>
      </c>
      <c r="J1863" s="281">
        <f>H1863*I1863</f>
        <v>3600</v>
      </c>
      <c r="K1863" s="10">
        <v>1</v>
      </c>
    </row>
    <row r="1864" spans="1:11" ht="25" x14ac:dyDescent="0.35">
      <c r="A1864" s="84" t="s">
        <v>809</v>
      </c>
      <c r="B1864" s="10" t="s">
        <v>851</v>
      </c>
      <c r="C1864" s="10"/>
      <c r="D1864" s="283"/>
      <c r="E1864" s="283"/>
      <c r="F1864" s="159" t="s">
        <v>473</v>
      </c>
      <c r="G1864" s="44"/>
      <c r="H1864" s="45"/>
      <c r="I1864" s="289"/>
      <c r="J1864" s="281"/>
      <c r="K1864" s="10">
        <v>1</v>
      </c>
    </row>
    <row r="1865" spans="1:11" x14ac:dyDescent="0.35">
      <c r="A1865" s="84" t="s">
        <v>809</v>
      </c>
      <c r="B1865" s="10" t="s">
        <v>851</v>
      </c>
      <c r="C1865" s="10"/>
      <c r="D1865" s="283" t="s">
        <v>51</v>
      </c>
      <c r="E1865" s="283"/>
      <c r="F1865" s="159" t="s">
        <v>474</v>
      </c>
      <c r="G1865" s="44" t="s">
        <v>186</v>
      </c>
      <c r="H1865" s="45">
        <v>360</v>
      </c>
      <c r="I1865" s="289">
        <v>18</v>
      </c>
      <c r="J1865" s="281">
        <f>H1865*I1865</f>
        <v>6480</v>
      </c>
      <c r="K1865" s="10">
        <v>1</v>
      </c>
    </row>
    <row r="1866" spans="1:11" ht="26" x14ac:dyDescent="0.35">
      <c r="A1866" s="84" t="s">
        <v>809</v>
      </c>
      <c r="B1866" s="10" t="s">
        <v>851</v>
      </c>
      <c r="C1866" s="10"/>
      <c r="D1866" s="283"/>
      <c r="E1866" s="283"/>
      <c r="F1866" s="156" t="s">
        <v>856</v>
      </c>
      <c r="G1866" s="44"/>
      <c r="H1866" s="45"/>
      <c r="I1866" s="289"/>
      <c r="J1866" s="281"/>
      <c r="K1866" s="10">
        <v>1</v>
      </c>
    </row>
    <row r="1867" spans="1:11" ht="37.5" x14ac:dyDescent="0.35">
      <c r="A1867" s="84" t="s">
        <v>809</v>
      </c>
      <c r="B1867" s="10" t="s">
        <v>851</v>
      </c>
      <c r="C1867" s="10"/>
      <c r="D1867" s="283"/>
      <c r="E1867" s="283"/>
      <c r="F1867" s="159" t="s">
        <v>476</v>
      </c>
      <c r="G1867" s="44"/>
      <c r="H1867" s="45"/>
      <c r="I1867" s="289"/>
      <c r="J1867" s="281"/>
      <c r="K1867" s="10">
        <v>1</v>
      </c>
    </row>
    <row r="1868" spans="1:11" x14ac:dyDescent="0.35">
      <c r="A1868" s="84" t="s">
        <v>809</v>
      </c>
      <c r="B1868" s="10" t="s">
        <v>851</v>
      </c>
      <c r="C1868" s="10"/>
      <c r="D1868" s="144" t="s">
        <v>53</v>
      </c>
      <c r="E1868" s="144"/>
      <c r="F1868" s="351" t="s">
        <v>477</v>
      </c>
      <c r="G1868" s="147" t="s">
        <v>478</v>
      </c>
      <c r="H1868" s="206">
        <v>66</v>
      </c>
      <c r="I1868" s="208">
        <v>165</v>
      </c>
      <c r="J1868" s="151">
        <f>H1868*I1868</f>
        <v>10890</v>
      </c>
      <c r="K1868" s="10">
        <v>1</v>
      </c>
    </row>
    <row r="1869" spans="1:11" x14ac:dyDescent="0.35">
      <c r="A1869" s="84" t="s">
        <v>809</v>
      </c>
      <c r="B1869" s="10" t="s">
        <v>851</v>
      </c>
      <c r="C1869" s="10"/>
      <c r="D1869" s="283" t="s">
        <v>55</v>
      </c>
      <c r="E1869" s="283"/>
      <c r="F1869" s="159" t="s">
        <v>479</v>
      </c>
      <c r="G1869" s="44" t="s">
        <v>478</v>
      </c>
      <c r="H1869" s="45"/>
      <c r="I1869" s="289"/>
      <c r="J1869" s="281"/>
      <c r="K1869" s="10">
        <v>1</v>
      </c>
    </row>
    <row r="1870" spans="1:11" x14ac:dyDescent="0.35">
      <c r="A1870" s="84" t="s">
        <v>809</v>
      </c>
      <c r="B1870" s="10" t="s">
        <v>851</v>
      </c>
      <c r="C1870" s="10"/>
      <c r="D1870" s="283" t="s">
        <v>58</v>
      </c>
      <c r="E1870" s="283"/>
      <c r="F1870" s="159" t="s">
        <v>480</v>
      </c>
      <c r="G1870" s="44" t="s">
        <v>478</v>
      </c>
      <c r="H1870" s="45"/>
      <c r="I1870" s="289"/>
      <c r="J1870" s="281"/>
      <c r="K1870" s="10">
        <v>1</v>
      </c>
    </row>
    <row r="1871" spans="1:11" x14ac:dyDescent="0.35">
      <c r="A1871" s="84" t="s">
        <v>809</v>
      </c>
      <c r="B1871" s="10" t="s">
        <v>851</v>
      </c>
      <c r="C1871" s="10"/>
      <c r="D1871" s="283" t="s">
        <v>87</v>
      </c>
      <c r="E1871" s="283"/>
      <c r="F1871" s="159" t="s">
        <v>481</v>
      </c>
      <c r="G1871" s="44" t="s">
        <v>478</v>
      </c>
      <c r="H1871" s="45"/>
      <c r="I1871" s="289"/>
      <c r="J1871" s="281"/>
      <c r="K1871" s="10">
        <v>1</v>
      </c>
    </row>
    <row r="1872" spans="1:11" ht="13" x14ac:dyDescent="0.35">
      <c r="A1872" s="84" t="s">
        <v>809</v>
      </c>
      <c r="B1872" s="10" t="s">
        <v>851</v>
      </c>
      <c r="C1872" s="10"/>
      <c r="D1872" s="283"/>
      <c r="E1872" s="283"/>
      <c r="F1872" s="156" t="s">
        <v>482</v>
      </c>
      <c r="G1872" s="44"/>
      <c r="H1872" s="45"/>
      <c r="I1872" s="289"/>
      <c r="J1872" s="281"/>
      <c r="K1872" s="10">
        <v>1</v>
      </c>
    </row>
    <row r="1873" spans="1:11" x14ac:dyDescent="0.35">
      <c r="A1873" s="84" t="s">
        <v>809</v>
      </c>
      <c r="B1873" s="10" t="s">
        <v>851</v>
      </c>
      <c r="C1873" s="10"/>
      <c r="D1873" s="283" t="s">
        <v>90</v>
      </c>
      <c r="E1873" s="283"/>
      <c r="F1873" s="159" t="s">
        <v>483</v>
      </c>
      <c r="G1873" s="44" t="s">
        <v>186</v>
      </c>
      <c r="H1873" s="45">
        <v>360</v>
      </c>
      <c r="I1873" s="289">
        <v>4.2</v>
      </c>
      <c r="J1873" s="281">
        <f>H1873*I1873</f>
        <v>1512</v>
      </c>
      <c r="K1873" s="10">
        <v>1</v>
      </c>
    </row>
    <row r="1874" spans="1:11" x14ac:dyDescent="0.35">
      <c r="A1874" s="84" t="s">
        <v>809</v>
      </c>
      <c r="B1874" s="10" t="s">
        <v>851</v>
      </c>
      <c r="C1874" s="10"/>
      <c r="D1874" s="283" t="s">
        <v>187</v>
      </c>
      <c r="E1874" s="283"/>
      <c r="F1874" s="159" t="s">
        <v>485</v>
      </c>
      <c r="G1874" s="44" t="s">
        <v>456</v>
      </c>
      <c r="H1874" s="45"/>
      <c r="I1874" s="289"/>
      <c r="J1874" s="281">
        <v>0</v>
      </c>
      <c r="K1874" s="10">
        <v>1</v>
      </c>
    </row>
    <row r="1875" spans="1:11" ht="13" x14ac:dyDescent="0.35">
      <c r="A1875" s="84" t="s">
        <v>809</v>
      </c>
      <c r="B1875" s="10" t="s">
        <v>851</v>
      </c>
      <c r="C1875" s="10"/>
      <c r="D1875" s="283"/>
      <c r="E1875" s="283"/>
      <c r="F1875" s="156" t="s">
        <v>486</v>
      </c>
      <c r="G1875" s="44"/>
      <c r="H1875" s="45"/>
      <c r="I1875" s="289"/>
      <c r="J1875" s="281"/>
      <c r="K1875" s="10">
        <v>1</v>
      </c>
    </row>
    <row r="1876" spans="1:11" x14ac:dyDescent="0.35">
      <c r="A1876" s="84" t="s">
        <v>809</v>
      </c>
      <c r="B1876" s="10" t="s">
        <v>851</v>
      </c>
      <c r="C1876" s="10"/>
      <c r="D1876" s="283" t="s">
        <v>484</v>
      </c>
      <c r="E1876" s="283"/>
      <c r="F1876" s="159" t="s">
        <v>488</v>
      </c>
      <c r="G1876" s="44" t="s">
        <v>186</v>
      </c>
      <c r="H1876" s="45"/>
      <c r="I1876" s="350"/>
      <c r="J1876" s="281">
        <v>0</v>
      </c>
      <c r="K1876" s="10">
        <v>1</v>
      </c>
    </row>
    <row r="1877" spans="1:11" x14ac:dyDescent="0.35">
      <c r="A1877" s="84" t="s">
        <v>809</v>
      </c>
      <c r="B1877" s="10" t="s">
        <v>851</v>
      </c>
      <c r="C1877" s="10"/>
      <c r="D1877" s="283" t="s">
        <v>487</v>
      </c>
      <c r="E1877" s="283"/>
      <c r="F1877" s="159" t="s">
        <v>490</v>
      </c>
      <c r="G1877" s="44" t="s">
        <v>186</v>
      </c>
      <c r="H1877" s="45">
        <v>60</v>
      </c>
      <c r="I1877" s="289">
        <v>50</v>
      </c>
      <c r="J1877" s="281">
        <f>H1877*I1877</f>
        <v>3000</v>
      </c>
      <c r="K1877" s="10">
        <v>1</v>
      </c>
    </row>
    <row r="1878" spans="1:11" x14ac:dyDescent="0.35">
      <c r="A1878" s="84" t="s">
        <v>809</v>
      </c>
      <c r="B1878" s="10" t="s">
        <v>851</v>
      </c>
      <c r="C1878" s="10"/>
      <c r="D1878" s="283" t="s">
        <v>489</v>
      </c>
      <c r="E1878" s="283"/>
      <c r="F1878" s="159" t="s">
        <v>492</v>
      </c>
      <c r="G1878" s="44" t="s">
        <v>186</v>
      </c>
      <c r="H1878" s="45">
        <v>60</v>
      </c>
      <c r="I1878" s="289">
        <v>25</v>
      </c>
      <c r="J1878" s="281">
        <f>H1878*I1878</f>
        <v>1500</v>
      </c>
      <c r="K1878" s="10">
        <v>1</v>
      </c>
    </row>
    <row r="1879" spans="1:11" ht="13" x14ac:dyDescent="0.35">
      <c r="A1879" s="84" t="s">
        <v>809</v>
      </c>
      <c r="B1879" s="10" t="s">
        <v>851</v>
      </c>
      <c r="C1879" s="10"/>
      <c r="D1879" s="283"/>
      <c r="E1879" s="283"/>
      <c r="F1879" s="156" t="s">
        <v>493</v>
      </c>
      <c r="G1879" s="44"/>
      <c r="H1879" s="45"/>
      <c r="I1879" s="289"/>
      <c r="J1879" s="281"/>
      <c r="K1879" s="10">
        <v>1</v>
      </c>
    </row>
    <row r="1880" spans="1:11" x14ac:dyDescent="0.35">
      <c r="A1880" s="84" t="s">
        <v>809</v>
      </c>
      <c r="B1880" s="10" t="s">
        <v>851</v>
      </c>
      <c r="C1880" s="10"/>
      <c r="D1880" s="283" t="s">
        <v>491</v>
      </c>
      <c r="E1880" s="283"/>
      <c r="F1880" s="159" t="s">
        <v>495</v>
      </c>
      <c r="G1880" s="44" t="s">
        <v>186</v>
      </c>
      <c r="H1880" s="45">
        <v>120</v>
      </c>
      <c r="I1880" s="289">
        <v>4.2</v>
      </c>
      <c r="J1880" s="281">
        <f>H1880*I1880</f>
        <v>504</v>
      </c>
      <c r="K1880" s="10">
        <v>1</v>
      </c>
    </row>
    <row r="1881" spans="1:11" ht="26" x14ac:dyDescent="0.35">
      <c r="A1881" s="84" t="s">
        <v>809</v>
      </c>
      <c r="B1881" s="10" t="s">
        <v>851</v>
      </c>
      <c r="C1881" s="10"/>
      <c r="D1881" s="283"/>
      <c r="E1881" s="283"/>
      <c r="F1881" s="156" t="s">
        <v>496</v>
      </c>
      <c r="G1881" s="44"/>
      <c r="H1881" s="45"/>
      <c r="I1881" s="289"/>
      <c r="J1881" s="281"/>
      <c r="K1881" s="10">
        <v>1</v>
      </c>
    </row>
    <row r="1882" spans="1:11" x14ac:dyDescent="0.35">
      <c r="A1882" s="84" t="s">
        <v>809</v>
      </c>
      <c r="B1882" s="10" t="s">
        <v>851</v>
      </c>
      <c r="C1882" s="10"/>
      <c r="D1882" s="283"/>
      <c r="E1882" s="283"/>
      <c r="F1882" s="159" t="s">
        <v>497</v>
      </c>
      <c r="G1882" s="44"/>
      <c r="H1882" s="45"/>
      <c r="I1882" s="289"/>
      <c r="J1882" s="281"/>
      <c r="K1882" s="10">
        <v>1</v>
      </c>
    </row>
    <row r="1883" spans="1:11" x14ac:dyDescent="0.35">
      <c r="A1883" s="84" t="s">
        <v>809</v>
      </c>
      <c r="B1883" s="10" t="s">
        <v>851</v>
      </c>
      <c r="C1883" s="10"/>
      <c r="D1883" s="283"/>
      <c r="E1883" s="283"/>
      <c r="F1883" s="159" t="s">
        <v>498</v>
      </c>
      <c r="G1883" s="44"/>
      <c r="H1883" s="45"/>
      <c r="I1883" s="289"/>
      <c r="J1883" s="281"/>
      <c r="K1883" s="10">
        <v>1</v>
      </c>
    </row>
    <row r="1884" spans="1:11" ht="13" x14ac:dyDescent="0.35">
      <c r="A1884" s="84" t="s">
        <v>809</v>
      </c>
      <c r="B1884" s="10" t="s">
        <v>851</v>
      </c>
      <c r="C1884" s="10"/>
      <c r="D1884" s="283"/>
      <c r="E1884" s="283"/>
      <c r="F1884" s="156" t="s">
        <v>499</v>
      </c>
      <c r="G1884" s="44"/>
      <c r="H1884" s="45"/>
      <c r="I1884" s="289"/>
      <c r="J1884" s="281"/>
      <c r="K1884" s="10">
        <v>1</v>
      </c>
    </row>
    <row r="1885" spans="1:11" ht="62.5" x14ac:dyDescent="0.35">
      <c r="A1885" s="84" t="s">
        <v>809</v>
      </c>
      <c r="B1885" s="10" t="s">
        <v>851</v>
      </c>
      <c r="C1885" s="10"/>
      <c r="D1885" s="283"/>
      <c r="E1885" s="283"/>
      <c r="F1885" s="159" t="s">
        <v>500</v>
      </c>
      <c r="G1885" s="44"/>
      <c r="H1885" s="45"/>
      <c r="I1885" s="289"/>
      <c r="J1885" s="281"/>
      <c r="K1885" s="10">
        <v>1</v>
      </c>
    </row>
    <row r="1886" spans="1:11" x14ac:dyDescent="0.35">
      <c r="A1886" s="84" t="s">
        <v>809</v>
      </c>
      <c r="B1886" s="10" t="s">
        <v>851</v>
      </c>
      <c r="C1886" s="10"/>
      <c r="D1886" s="283" t="s">
        <v>494</v>
      </c>
      <c r="E1886" s="283"/>
      <c r="F1886" s="159" t="s">
        <v>502</v>
      </c>
      <c r="G1886" s="44" t="s">
        <v>186</v>
      </c>
      <c r="H1886" s="45">
        <v>1800</v>
      </c>
      <c r="I1886" s="289">
        <v>20</v>
      </c>
      <c r="J1886" s="281">
        <f>H1886*I1886</f>
        <v>36000</v>
      </c>
      <c r="K1886" s="10">
        <v>1</v>
      </c>
    </row>
    <row r="1887" spans="1:11" x14ac:dyDescent="0.35">
      <c r="A1887" s="84" t="s">
        <v>809</v>
      </c>
      <c r="B1887" s="10" t="s">
        <v>851</v>
      </c>
      <c r="C1887" s="10"/>
      <c r="D1887" s="283" t="s">
        <v>501</v>
      </c>
      <c r="E1887" s="283"/>
      <c r="F1887" s="159" t="s">
        <v>504</v>
      </c>
      <c r="G1887" s="44" t="s">
        <v>186</v>
      </c>
      <c r="H1887" s="45">
        <v>600</v>
      </c>
      <c r="I1887" s="289">
        <v>21</v>
      </c>
      <c r="J1887" s="281">
        <f>H1887*I1887</f>
        <v>12600</v>
      </c>
      <c r="K1887" s="10">
        <v>1</v>
      </c>
    </row>
    <row r="1888" spans="1:11" ht="37.5" x14ac:dyDescent="0.35">
      <c r="A1888" s="84" t="s">
        <v>809</v>
      </c>
      <c r="B1888" s="10" t="s">
        <v>851</v>
      </c>
      <c r="C1888" s="10"/>
      <c r="D1888" s="283"/>
      <c r="E1888" s="283"/>
      <c r="F1888" s="159" t="s">
        <v>505</v>
      </c>
      <c r="G1888" s="44"/>
      <c r="H1888" s="45"/>
      <c r="I1888" s="289"/>
      <c r="J1888" s="281"/>
      <c r="K1888" s="10">
        <v>1</v>
      </c>
    </row>
    <row r="1889" spans="1:11" x14ac:dyDescent="0.35">
      <c r="A1889" s="84" t="s">
        <v>809</v>
      </c>
      <c r="B1889" s="10" t="s">
        <v>851</v>
      </c>
      <c r="C1889" s="10"/>
      <c r="D1889" s="283" t="s">
        <v>503</v>
      </c>
      <c r="E1889" s="283"/>
      <c r="F1889" s="159" t="s">
        <v>507</v>
      </c>
      <c r="G1889" s="44" t="s">
        <v>456</v>
      </c>
      <c r="H1889" s="45">
        <v>24</v>
      </c>
      <c r="I1889" s="289">
        <v>24</v>
      </c>
      <c r="J1889" s="281">
        <f>H1889*I1889</f>
        <v>576</v>
      </c>
      <c r="K1889" s="10">
        <v>1</v>
      </c>
    </row>
    <row r="1890" spans="1:11" ht="25" x14ac:dyDescent="0.25">
      <c r="A1890" s="84" t="s">
        <v>809</v>
      </c>
      <c r="B1890" s="10" t="s">
        <v>851</v>
      </c>
      <c r="C1890" s="10"/>
      <c r="D1890" s="283"/>
      <c r="E1890" s="283"/>
      <c r="F1890" s="352" t="s">
        <v>508</v>
      </c>
      <c r="G1890" s="44"/>
      <c r="H1890" s="45"/>
      <c r="I1890" s="289"/>
      <c r="J1890" s="281"/>
      <c r="K1890" s="10">
        <v>1</v>
      </c>
    </row>
    <row r="1891" spans="1:11" ht="25" x14ac:dyDescent="0.25">
      <c r="A1891" s="84" t="s">
        <v>809</v>
      </c>
      <c r="B1891" s="10" t="s">
        <v>851</v>
      </c>
      <c r="C1891" s="10"/>
      <c r="D1891" s="283"/>
      <c r="E1891" s="283"/>
      <c r="F1891" s="352" t="s">
        <v>509</v>
      </c>
      <c r="G1891" s="44"/>
      <c r="H1891" s="45"/>
      <c r="I1891" s="289"/>
      <c r="J1891" s="281"/>
      <c r="K1891" s="10">
        <v>1</v>
      </c>
    </row>
    <row r="1892" spans="1:11" x14ac:dyDescent="0.35">
      <c r="A1892" s="84" t="s">
        <v>809</v>
      </c>
      <c r="B1892" s="10" t="s">
        <v>851</v>
      </c>
      <c r="C1892" s="10"/>
      <c r="D1892" s="283" t="s">
        <v>506</v>
      </c>
      <c r="E1892" s="283"/>
      <c r="F1892" s="159" t="s">
        <v>511</v>
      </c>
      <c r="G1892" s="44" t="s">
        <v>456</v>
      </c>
      <c r="H1892" s="45">
        <v>30</v>
      </c>
      <c r="I1892" s="289">
        <v>18</v>
      </c>
      <c r="J1892" s="281">
        <f>H1892*I1892</f>
        <v>540</v>
      </c>
      <c r="K1892" s="10">
        <v>1</v>
      </c>
    </row>
    <row r="1893" spans="1:11" x14ac:dyDescent="0.35">
      <c r="A1893" s="84" t="s">
        <v>809</v>
      </c>
      <c r="B1893" s="10" t="s">
        <v>851</v>
      </c>
      <c r="C1893" s="10"/>
      <c r="D1893" s="283" t="s">
        <v>510</v>
      </c>
      <c r="E1893" s="283"/>
      <c r="F1893" s="159" t="s">
        <v>513</v>
      </c>
      <c r="G1893" s="44" t="s">
        <v>456</v>
      </c>
      <c r="H1893" s="45">
        <v>54</v>
      </c>
      <c r="I1893" s="289">
        <v>20</v>
      </c>
      <c r="J1893" s="281">
        <f>H1893*I1893</f>
        <v>1080</v>
      </c>
      <c r="K1893" s="10">
        <v>1</v>
      </c>
    </row>
    <row r="1894" spans="1:11" ht="13" x14ac:dyDescent="0.35">
      <c r="A1894" s="84" t="s">
        <v>809</v>
      </c>
      <c r="B1894" s="10" t="s">
        <v>851</v>
      </c>
      <c r="C1894" s="10"/>
      <c r="D1894" s="283"/>
      <c r="E1894" s="283"/>
      <c r="F1894" s="157" t="s">
        <v>514</v>
      </c>
      <c r="G1894" s="44"/>
      <c r="H1894" s="45"/>
      <c r="I1894" s="289"/>
      <c r="J1894" s="281"/>
      <c r="K1894" s="10">
        <v>1</v>
      </c>
    </row>
    <row r="1895" spans="1:11" x14ac:dyDescent="0.35">
      <c r="A1895" s="84" t="s">
        <v>809</v>
      </c>
      <c r="B1895" s="10" t="s">
        <v>851</v>
      </c>
      <c r="C1895" s="10"/>
      <c r="D1895" s="283" t="s">
        <v>512</v>
      </c>
      <c r="E1895" s="283"/>
      <c r="F1895" s="159" t="s">
        <v>516</v>
      </c>
      <c r="G1895" s="44" t="s">
        <v>456</v>
      </c>
      <c r="H1895" s="45">
        <v>18</v>
      </c>
      <c r="I1895" s="289">
        <v>24</v>
      </c>
      <c r="J1895" s="281">
        <f>H1895*I1895</f>
        <v>432</v>
      </c>
      <c r="K1895" s="10">
        <v>1</v>
      </c>
    </row>
    <row r="1896" spans="1:11" ht="13" x14ac:dyDescent="0.35">
      <c r="A1896" s="84" t="s">
        <v>809</v>
      </c>
      <c r="B1896" s="10" t="s">
        <v>851</v>
      </c>
      <c r="C1896" s="10"/>
      <c r="D1896" s="283"/>
      <c r="E1896" s="283"/>
      <c r="F1896" s="157" t="s">
        <v>517</v>
      </c>
      <c r="G1896" s="44"/>
      <c r="H1896" s="45"/>
      <c r="I1896" s="289"/>
      <c r="J1896" s="281"/>
      <c r="K1896" s="10">
        <v>1</v>
      </c>
    </row>
    <row r="1897" spans="1:11" x14ac:dyDescent="0.35">
      <c r="A1897" s="84" t="s">
        <v>809</v>
      </c>
      <c r="B1897" s="10" t="s">
        <v>851</v>
      </c>
      <c r="C1897" s="10"/>
      <c r="D1897" s="283"/>
      <c r="E1897" s="283"/>
      <c r="F1897" s="159" t="s">
        <v>518</v>
      </c>
      <c r="G1897" s="44"/>
      <c r="H1897" s="45"/>
      <c r="I1897" s="289"/>
      <c r="J1897" s="281"/>
      <c r="K1897" s="10">
        <v>1</v>
      </c>
    </row>
    <row r="1898" spans="1:11" x14ac:dyDescent="0.35">
      <c r="A1898" s="84" t="s">
        <v>809</v>
      </c>
      <c r="B1898" s="10" t="s">
        <v>851</v>
      </c>
      <c r="C1898" s="10"/>
      <c r="D1898" s="283"/>
      <c r="E1898" s="283"/>
      <c r="F1898" s="159" t="s">
        <v>519</v>
      </c>
      <c r="G1898" s="44"/>
      <c r="H1898" s="45"/>
      <c r="I1898" s="289"/>
      <c r="J1898" s="281"/>
      <c r="K1898" s="10">
        <v>1</v>
      </c>
    </row>
    <row r="1899" spans="1:11" x14ac:dyDescent="0.35">
      <c r="A1899" s="84" t="s">
        <v>809</v>
      </c>
      <c r="B1899" s="10" t="s">
        <v>851</v>
      </c>
      <c r="C1899" s="10"/>
      <c r="D1899" s="283" t="s">
        <v>515</v>
      </c>
      <c r="E1899" s="283"/>
      <c r="F1899" s="159" t="s">
        <v>521</v>
      </c>
      <c r="G1899" s="44" t="s">
        <v>186</v>
      </c>
      <c r="H1899" s="45">
        <v>2700</v>
      </c>
      <c r="I1899" s="289">
        <v>10</v>
      </c>
      <c r="J1899" s="281">
        <f>H1899*I1899</f>
        <v>27000</v>
      </c>
      <c r="K1899" s="10">
        <v>1</v>
      </c>
    </row>
    <row r="1900" spans="1:11" x14ac:dyDescent="0.35">
      <c r="A1900" s="84" t="s">
        <v>809</v>
      </c>
      <c r="B1900" s="10" t="s">
        <v>851</v>
      </c>
      <c r="C1900" s="10"/>
      <c r="D1900" s="283" t="s">
        <v>520</v>
      </c>
      <c r="E1900" s="283"/>
      <c r="F1900" s="159" t="s">
        <v>523</v>
      </c>
      <c r="G1900" s="44" t="s">
        <v>186</v>
      </c>
      <c r="H1900" s="45">
        <v>900</v>
      </c>
      <c r="I1900" s="289">
        <v>12</v>
      </c>
      <c r="J1900" s="281">
        <f>H1900*I1900</f>
        <v>10800</v>
      </c>
      <c r="K1900" s="10">
        <v>1</v>
      </c>
    </row>
    <row r="1901" spans="1:11" x14ac:dyDescent="0.35">
      <c r="A1901" s="84" t="s">
        <v>809</v>
      </c>
      <c r="B1901" s="10" t="s">
        <v>851</v>
      </c>
      <c r="C1901" s="10"/>
      <c r="D1901" s="283" t="s">
        <v>522</v>
      </c>
      <c r="E1901" s="283"/>
      <c r="F1901" s="159" t="s">
        <v>525</v>
      </c>
      <c r="G1901" s="44" t="s">
        <v>186</v>
      </c>
      <c r="H1901" s="45">
        <v>60</v>
      </c>
      <c r="I1901" s="289">
        <v>21.5</v>
      </c>
      <c r="J1901" s="281">
        <f>H1901*I1901</f>
        <v>1290</v>
      </c>
      <c r="K1901" s="10">
        <v>1</v>
      </c>
    </row>
    <row r="1902" spans="1:11" x14ac:dyDescent="0.35">
      <c r="A1902" s="84" t="s">
        <v>809</v>
      </c>
      <c r="B1902" s="10" t="s">
        <v>851</v>
      </c>
      <c r="C1902" s="10"/>
      <c r="D1902" s="283"/>
      <c r="E1902" s="283"/>
      <c r="F1902" s="159" t="s">
        <v>526</v>
      </c>
      <c r="G1902" s="44"/>
      <c r="H1902" s="45" t="s">
        <v>527</v>
      </c>
      <c r="I1902" s="289"/>
      <c r="J1902" s="281"/>
      <c r="K1902" s="10">
        <v>1</v>
      </c>
    </row>
    <row r="1903" spans="1:11" x14ac:dyDescent="0.35">
      <c r="A1903" s="84" t="s">
        <v>809</v>
      </c>
      <c r="B1903" s="10" t="s">
        <v>851</v>
      </c>
      <c r="C1903" s="10"/>
      <c r="D1903" s="283" t="s">
        <v>524</v>
      </c>
      <c r="E1903" s="283"/>
      <c r="F1903" s="159" t="s">
        <v>521</v>
      </c>
      <c r="G1903" s="44" t="s">
        <v>186</v>
      </c>
      <c r="H1903" s="45">
        <v>3600</v>
      </c>
      <c r="I1903" s="289">
        <v>10</v>
      </c>
      <c r="J1903" s="281">
        <f>H1903*I1903</f>
        <v>36000</v>
      </c>
      <c r="K1903" s="10">
        <v>1</v>
      </c>
    </row>
    <row r="1904" spans="1:11" ht="13" x14ac:dyDescent="0.35">
      <c r="A1904" s="84" t="s">
        <v>809</v>
      </c>
      <c r="B1904" s="10" t="s">
        <v>851</v>
      </c>
      <c r="C1904" s="10"/>
      <c r="D1904" s="283"/>
      <c r="E1904" s="283"/>
      <c r="F1904" s="157" t="s">
        <v>530</v>
      </c>
      <c r="G1904" s="44"/>
      <c r="H1904" s="45"/>
      <c r="I1904" s="289"/>
      <c r="J1904" s="281"/>
      <c r="K1904" s="10">
        <v>1</v>
      </c>
    </row>
    <row r="1905" spans="1:11" ht="25" x14ac:dyDescent="0.35">
      <c r="A1905" s="84" t="s">
        <v>809</v>
      </c>
      <c r="B1905" s="10" t="s">
        <v>851</v>
      </c>
      <c r="C1905" s="10"/>
      <c r="D1905" s="283"/>
      <c r="E1905" s="283"/>
      <c r="F1905" s="159" t="s">
        <v>531</v>
      </c>
      <c r="G1905" s="44"/>
      <c r="H1905" s="45"/>
      <c r="I1905" s="289"/>
      <c r="J1905" s="281"/>
      <c r="K1905" s="10">
        <v>1</v>
      </c>
    </row>
    <row r="1906" spans="1:11" ht="13" x14ac:dyDescent="0.35">
      <c r="A1906" s="84" t="s">
        <v>809</v>
      </c>
      <c r="B1906" s="10" t="s">
        <v>851</v>
      </c>
      <c r="C1906" s="10"/>
      <c r="D1906" s="283"/>
      <c r="E1906" s="283"/>
      <c r="F1906" s="157" t="s">
        <v>532</v>
      </c>
      <c r="G1906" s="44"/>
      <c r="H1906" s="45"/>
      <c r="I1906" s="289"/>
      <c r="J1906" s="281"/>
      <c r="K1906" s="10">
        <v>1</v>
      </c>
    </row>
    <row r="1907" spans="1:11" x14ac:dyDescent="0.35">
      <c r="A1907" s="84" t="s">
        <v>809</v>
      </c>
      <c r="B1907" s="10" t="s">
        <v>851</v>
      </c>
      <c r="C1907" s="10"/>
      <c r="D1907" s="283"/>
      <c r="E1907" s="283"/>
      <c r="F1907" s="159" t="s">
        <v>533</v>
      </c>
      <c r="G1907" s="44"/>
      <c r="H1907" s="45"/>
      <c r="I1907" s="289"/>
      <c r="J1907" s="281"/>
      <c r="K1907" s="10">
        <v>1</v>
      </c>
    </row>
    <row r="1908" spans="1:11" x14ac:dyDescent="0.35">
      <c r="A1908" s="84" t="s">
        <v>809</v>
      </c>
      <c r="B1908" s="10" t="s">
        <v>851</v>
      </c>
      <c r="C1908" s="10"/>
      <c r="D1908" s="283" t="s">
        <v>528</v>
      </c>
      <c r="E1908" s="283"/>
      <c r="F1908" s="159" t="s">
        <v>535</v>
      </c>
      <c r="G1908" s="44" t="s">
        <v>456</v>
      </c>
      <c r="H1908" s="45">
        <v>36</v>
      </c>
      <c r="I1908" s="289">
        <v>200</v>
      </c>
      <c r="J1908" s="281">
        <f>H1908*I1908</f>
        <v>7200</v>
      </c>
      <c r="K1908" s="10">
        <v>1</v>
      </c>
    </row>
    <row r="1909" spans="1:11" x14ac:dyDescent="0.35">
      <c r="A1909" s="84" t="s">
        <v>809</v>
      </c>
      <c r="B1909" s="10" t="s">
        <v>851</v>
      </c>
      <c r="C1909" s="10"/>
      <c r="D1909" s="283" t="s">
        <v>534</v>
      </c>
      <c r="E1909" s="283"/>
      <c r="F1909" s="159" t="s">
        <v>537</v>
      </c>
      <c r="G1909" s="44" t="s">
        <v>456</v>
      </c>
      <c r="H1909" s="45"/>
      <c r="I1909" s="289"/>
      <c r="J1909" s="281"/>
      <c r="K1909" s="10">
        <v>1</v>
      </c>
    </row>
    <row r="1910" spans="1:11" x14ac:dyDescent="0.35">
      <c r="A1910" s="84" t="s">
        <v>809</v>
      </c>
      <c r="B1910" s="10" t="s">
        <v>851</v>
      </c>
      <c r="C1910" s="10"/>
      <c r="D1910" s="283" t="s">
        <v>536</v>
      </c>
      <c r="E1910" s="283"/>
      <c r="F1910" s="159" t="s">
        <v>539</v>
      </c>
      <c r="G1910" s="44" t="s">
        <v>456</v>
      </c>
      <c r="H1910" s="45"/>
      <c r="I1910" s="289"/>
      <c r="J1910" s="281"/>
      <c r="K1910" s="10">
        <v>1</v>
      </c>
    </row>
    <row r="1911" spans="1:11" x14ac:dyDescent="0.35">
      <c r="A1911" s="84" t="s">
        <v>809</v>
      </c>
      <c r="B1911" s="10" t="s">
        <v>851</v>
      </c>
      <c r="C1911" s="10"/>
      <c r="D1911" s="283" t="s">
        <v>538</v>
      </c>
      <c r="E1911" s="283"/>
      <c r="F1911" s="159" t="s">
        <v>541</v>
      </c>
      <c r="G1911" s="44" t="s">
        <v>456</v>
      </c>
      <c r="H1911" s="45"/>
      <c r="I1911" s="289"/>
      <c r="J1911" s="281"/>
      <c r="K1911" s="10">
        <v>1</v>
      </c>
    </row>
    <row r="1912" spans="1:11" x14ac:dyDescent="0.35">
      <c r="A1912" s="84" t="s">
        <v>809</v>
      </c>
      <c r="B1912" s="10" t="s">
        <v>851</v>
      </c>
      <c r="C1912" s="10"/>
      <c r="D1912" s="283" t="s">
        <v>540</v>
      </c>
      <c r="E1912" s="283"/>
      <c r="F1912" s="159" t="s">
        <v>543</v>
      </c>
      <c r="G1912" s="44" t="s">
        <v>456</v>
      </c>
      <c r="H1912" s="45"/>
      <c r="I1912" s="289"/>
      <c r="J1912" s="281"/>
      <c r="K1912" s="10">
        <v>1</v>
      </c>
    </row>
    <row r="1913" spans="1:11" x14ac:dyDescent="0.35">
      <c r="A1913" s="84" t="s">
        <v>809</v>
      </c>
      <c r="B1913" s="10" t="s">
        <v>851</v>
      </c>
      <c r="C1913" s="10"/>
      <c r="D1913" s="283" t="s">
        <v>542</v>
      </c>
      <c r="E1913" s="283"/>
      <c r="F1913" s="159" t="s">
        <v>545</v>
      </c>
      <c r="G1913" s="44" t="s">
        <v>456</v>
      </c>
      <c r="H1913" s="45"/>
      <c r="I1913" s="289"/>
      <c r="J1913" s="281"/>
      <c r="K1913" s="10">
        <v>1</v>
      </c>
    </row>
    <row r="1914" spans="1:11" x14ac:dyDescent="0.35">
      <c r="A1914" s="84" t="s">
        <v>809</v>
      </c>
      <c r="B1914" s="10" t="s">
        <v>851</v>
      </c>
      <c r="C1914" s="10"/>
      <c r="D1914" s="283" t="s">
        <v>544</v>
      </c>
      <c r="E1914" s="283"/>
      <c r="F1914" s="159" t="s">
        <v>547</v>
      </c>
      <c r="G1914" s="44" t="s">
        <v>456</v>
      </c>
      <c r="H1914" s="45">
        <v>6</v>
      </c>
      <c r="I1914" s="289">
        <v>395</v>
      </c>
      <c r="J1914" s="281">
        <f>H1914*I1914</f>
        <v>2370</v>
      </c>
      <c r="K1914" s="10">
        <v>1</v>
      </c>
    </row>
    <row r="1915" spans="1:11" ht="13" x14ac:dyDescent="0.35">
      <c r="A1915" s="84" t="s">
        <v>809</v>
      </c>
      <c r="B1915" s="10" t="s">
        <v>851</v>
      </c>
      <c r="C1915" s="10"/>
      <c r="D1915" s="283"/>
      <c r="E1915" s="283"/>
      <c r="F1915" s="157" t="s">
        <v>548</v>
      </c>
      <c r="G1915" s="44"/>
      <c r="H1915" s="45"/>
      <c r="I1915" s="289"/>
      <c r="J1915" s="281"/>
      <c r="K1915" s="10">
        <v>1</v>
      </c>
    </row>
    <row r="1916" spans="1:11" x14ac:dyDescent="0.35">
      <c r="A1916" s="84" t="s">
        <v>809</v>
      </c>
      <c r="B1916" s="10" t="s">
        <v>851</v>
      </c>
      <c r="C1916" s="10"/>
      <c r="D1916" s="283" t="s">
        <v>546</v>
      </c>
      <c r="E1916" s="283"/>
      <c r="F1916" s="159" t="s">
        <v>550</v>
      </c>
      <c r="G1916" s="44" t="s">
        <v>456</v>
      </c>
      <c r="H1916" s="45">
        <v>30</v>
      </c>
      <c r="I1916" s="289">
        <v>155</v>
      </c>
      <c r="J1916" s="281">
        <f>H1916*I1916</f>
        <v>4650</v>
      </c>
      <c r="K1916" s="10">
        <v>1</v>
      </c>
    </row>
    <row r="1917" spans="1:11" x14ac:dyDescent="0.35">
      <c r="A1917" s="84" t="s">
        <v>809</v>
      </c>
      <c r="B1917" s="10" t="s">
        <v>851</v>
      </c>
      <c r="C1917" s="10"/>
      <c r="D1917" s="283" t="s">
        <v>549</v>
      </c>
      <c r="E1917" s="283"/>
      <c r="F1917" s="159" t="s">
        <v>552</v>
      </c>
      <c r="G1917" s="44" t="s">
        <v>456</v>
      </c>
      <c r="H1917" s="45"/>
      <c r="I1917" s="289"/>
      <c r="J1917" s="281"/>
      <c r="K1917" s="10">
        <v>1</v>
      </c>
    </row>
    <row r="1918" spans="1:11" x14ac:dyDescent="0.35">
      <c r="A1918" s="84" t="s">
        <v>809</v>
      </c>
      <c r="B1918" s="10" t="s">
        <v>851</v>
      </c>
      <c r="C1918" s="10"/>
      <c r="D1918" s="283" t="s">
        <v>551</v>
      </c>
      <c r="E1918" s="283"/>
      <c r="F1918" s="159" t="s">
        <v>554</v>
      </c>
      <c r="G1918" s="44" t="s">
        <v>456</v>
      </c>
      <c r="H1918" s="45"/>
      <c r="I1918" s="289"/>
      <c r="J1918" s="281"/>
      <c r="K1918" s="10">
        <v>1</v>
      </c>
    </row>
    <row r="1919" spans="1:11" x14ac:dyDescent="0.35">
      <c r="A1919" s="84" t="s">
        <v>809</v>
      </c>
      <c r="B1919" s="10" t="s">
        <v>851</v>
      </c>
      <c r="C1919" s="10"/>
      <c r="D1919" s="283" t="s">
        <v>553</v>
      </c>
      <c r="E1919" s="283"/>
      <c r="F1919" s="159" t="s">
        <v>556</v>
      </c>
      <c r="G1919" s="44" t="s">
        <v>456</v>
      </c>
      <c r="H1919" s="45"/>
      <c r="I1919" s="289"/>
      <c r="J1919" s="281"/>
      <c r="K1919" s="10">
        <v>1</v>
      </c>
    </row>
    <row r="1920" spans="1:11" x14ac:dyDescent="0.35">
      <c r="A1920" s="84" t="s">
        <v>809</v>
      </c>
      <c r="B1920" s="10" t="s">
        <v>851</v>
      </c>
      <c r="C1920" s="10"/>
      <c r="D1920" s="283" t="s">
        <v>555</v>
      </c>
      <c r="E1920" s="283"/>
      <c r="F1920" s="159" t="s">
        <v>558</v>
      </c>
      <c r="G1920" s="44" t="s">
        <v>186</v>
      </c>
      <c r="H1920" s="45">
        <v>1200</v>
      </c>
      <c r="I1920" s="289">
        <v>4.2</v>
      </c>
      <c r="J1920" s="281">
        <f>H1920*I1920</f>
        <v>5040</v>
      </c>
      <c r="K1920" s="10">
        <v>1</v>
      </c>
    </row>
    <row r="1921" spans="1:11" ht="13" x14ac:dyDescent="0.35">
      <c r="A1921" s="84" t="s">
        <v>809</v>
      </c>
      <c r="B1921" s="10" t="s">
        <v>851</v>
      </c>
      <c r="C1921" s="10"/>
      <c r="D1921" s="283"/>
      <c r="E1921" s="283"/>
      <c r="F1921" s="156" t="s">
        <v>559</v>
      </c>
      <c r="G1921" s="44"/>
      <c r="H1921" s="45"/>
      <c r="I1921" s="289"/>
      <c r="J1921" s="281"/>
      <c r="K1921" s="10">
        <v>1</v>
      </c>
    </row>
    <row r="1922" spans="1:11" x14ac:dyDescent="0.35">
      <c r="A1922" s="84" t="s">
        <v>809</v>
      </c>
      <c r="B1922" s="10" t="s">
        <v>851</v>
      </c>
      <c r="C1922" s="10"/>
      <c r="D1922" s="283"/>
      <c r="E1922" s="283"/>
      <c r="F1922" s="159" t="s">
        <v>560</v>
      </c>
      <c r="G1922" s="44"/>
      <c r="H1922" s="45"/>
      <c r="I1922" s="289"/>
      <c r="J1922" s="281"/>
      <c r="K1922" s="10">
        <v>1</v>
      </c>
    </row>
    <row r="1923" spans="1:11" x14ac:dyDescent="0.35">
      <c r="A1923" s="84" t="s">
        <v>809</v>
      </c>
      <c r="B1923" s="10" t="s">
        <v>851</v>
      </c>
      <c r="C1923" s="10"/>
      <c r="D1923" s="283" t="s">
        <v>557</v>
      </c>
      <c r="E1923" s="283"/>
      <c r="F1923" s="159" t="s">
        <v>562</v>
      </c>
      <c r="G1923" s="44" t="s">
        <v>456</v>
      </c>
      <c r="H1923" s="45">
        <v>6</v>
      </c>
      <c r="I1923" s="289">
        <v>400</v>
      </c>
      <c r="J1923" s="281">
        <f>H1923*I1923</f>
        <v>2400</v>
      </c>
      <c r="K1923" s="10">
        <v>1</v>
      </c>
    </row>
    <row r="1924" spans="1:11" ht="13" x14ac:dyDescent="0.35">
      <c r="A1924" s="84" t="s">
        <v>809</v>
      </c>
      <c r="B1924" s="10" t="s">
        <v>851</v>
      </c>
      <c r="C1924" s="10"/>
      <c r="D1924" s="283"/>
      <c r="E1924" s="283"/>
      <c r="F1924" s="156" t="s">
        <v>563</v>
      </c>
      <c r="G1924" s="44"/>
      <c r="H1924" s="45"/>
      <c r="I1924" s="289"/>
      <c r="J1924" s="281"/>
      <c r="K1924" s="10">
        <v>1</v>
      </c>
    </row>
    <row r="1925" spans="1:11" x14ac:dyDescent="0.35">
      <c r="A1925" s="84" t="s">
        <v>809</v>
      </c>
      <c r="B1925" s="10" t="s">
        <v>851</v>
      </c>
      <c r="C1925" s="10"/>
      <c r="D1925" s="283"/>
      <c r="E1925" s="283"/>
      <c r="F1925" s="159" t="s">
        <v>564</v>
      </c>
      <c r="G1925" s="44"/>
      <c r="H1925" s="45"/>
      <c r="I1925" s="289"/>
      <c r="J1925" s="281"/>
      <c r="K1925" s="10">
        <v>1</v>
      </c>
    </row>
    <row r="1926" spans="1:11" x14ac:dyDescent="0.35">
      <c r="A1926" s="84" t="s">
        <v>809</v>
      </c>
      <c r="B1926" s="10" t="s">
        <v>851</v>
      </c>
      <c r="C1926" s="10"/>
      <c r="D1926" s="283"/>
      <c r="E1926" s="283"/>
      <c r="F1926" s="159" t="s">
        <v>565</v>
      </c>
      <c r="G1926" s="44"/>
      <c r="H1926" s="45"/>
      <c r="I1926" s="289"/>
      <c r="J1926" s="281"/>
      <c r="K1926" s="10">
        <v>1</v>
      </c>
    </row>
    <row r="1927" spans="1:11" x14ac:dyDescent="0.35">
      <c r="A1927" s="84" t="s">
        <v>809</v>
      </c>
      <c r="B1927" s="10" t="s">
        <v>851</v>
      </c>
      <c r="C1927" s="10"/>
      <c r="D1927" s="283"/>
      <c r="E1927" s="283"/>
      <c r="F1927" s="162" t="s">
        <v>566</v>
      </c>
      <c r="G1927" s="44"/>
      <c r="H1927" s="45"/>
      <c r="I1927" s="289"/>
      <c r="J1927" s="281"/>
      <c r="K1927" s="10">
        <v>1</v>
      </c>
    </row>
    <row r="1928" spans="1:11" ht="25" x14ac:dyDescent="0.35">
      <c r="A1928" s="84" t="s">
        <v>809</v>
      </c>
      <c r="B1928" s="10" t="s">
        <v>851</v>
      </c>
      <c r="C1928" s="10"/>
      <c r="D1928" s="283" t="s">
        <v>561</v>
      </c>
      <c r="E1928" s="283"/>
      <c r="F1928" s="159" t="s">
        <v>568</v>
      </c>
      <c r="G1928" s="44" t="s">
        <v>456</v>
      </c>
      <c r="H1928" s="45">
        <v>72</v>
      </c>
      <c r="I1928" s="289">
        <v>1050</v>
      </c>
      <c r="J1928" s="281">
        <f>H1928*I1928</f>
        <v>75600</v>
      </c>
      <c r="K1928" s="10">
        <v>1</v>
      </c>
    </row>
    <row r="1929" spans="1:11" x14ac:dyDescent="0.35">
      <c r="A1929" s="84" t="s">
        <v>809</v>
      </c>
      <c r="B1929" s="10" t="s">
        <v>851</v>
      </c>
      <c r="C1929" s="10"/>
      <c r="D1929" s="283"/>
      <c r="E1929" s="283"/>
      <c r="F1929" s="162" t="s">
        <v>569</v>
      </c>
      <c r="G1929" s="44"/>
      <c r="H1929" s="45"/>
      <c r="I1929" s="289"/>
      <c r="J1929" s="281"/>
      <c r="K1929" s="10">
        <v>1</v>
      </c>
    </row>
    <row r="1930" spans="1:11" ht="25" x14ac:dyDescent="0.35">
      <c r="A1930" s="84" t="s">
        <v>809</v>
      </c>
      <c r="B1930" s="10" t="s">
        <v>851</v>
      </c>
      <c r="C1930" s="10"/>
      <c r="D1930" s="283" t="s">
        <v>567</v>
      </c>
      <c r="E1930" s="283"/>
      <c r="F1930" s="159" t="s">
        <v>571</v>
      </c>
      <c r="G1930" s="44" t="s">
        <v>456</v>
      </c>
      <c r="H1930" s="45">
        <v>30</v>
      </c>
      <c r="I1930" s="289">
        <v>1500</v>
      </c>
      <c r="J1930" s="281">
        <f>H1930*I1930</f>
        <v>45000</v>
      </c>
      <c r="K1930" s="10">
        <v>1</v>
      </c>
    </row>
    <row r="1931" spans="1:11" x14ac:dyDescent="0.35">
      <c r="A1931" s="84" t="s">
        <v>809</v>
      </c>
      <c r="B1931" s="10" t="s">
        <v>851</v>
      </c>
      <c r="C1931" s="10"/>
      <c r="D1931" s="283"/>
      <c r="E1931" s="283"/>
      <c r="F1931" s="162" t="s">
        <v>572</v>
      </c>
      <c r="G1931" s="44"/>
      <c r="H1931" s="45"/>
      <c r="I1931" s="289"/>
      <c r="J1931" s="281"/>
      <c r="K1931" s="10">
        <v>1</v>
      </c>
    </row>
    <row r="1932" spans="1:11" ht="25" x14ac:dyDescent="0.35">
      <c r="A1932" s="84" t="s">
        <v>809</v>
      </c>
      <c r="B1932" s="10" t="s">
        <v>851</v>
      </c>
      <c r="C1932" s="10"/>
      <c r="D1932" s="283" t="s">
        <v>570</v>
      </c>
      <c r="E1932" s="283"/>
      <c r="F1932" s="159" t="s">
        <v>574</v>
      </c>
      <c r="G1932" s="44" t="s">
        <v>456</v>
      </c>
      <c r="H1932" s="45">
        <v>60</v>
      </c>
      <c r="I1932" s="289">
        <v>1980</v>
      </c>
      <c r="J1932" s="281">
        <f>H1932*I1932</f>
        <v>118800</v>
      </c>
      <c r="K1932" s="10">
        <v>1</v>
      </c>
    </row>
    <row r="1933" spans="1:11" ht="13" x14ac:dyDescent="0.35">
      <c r="A1933" s="84" t="s">
        <v>809</v>
      </c>
      <c r="B1933" s="10" t="s">
        <v>851</v>
      </c>
      <c r="C1933" s="10"/>
      <c r="D1933" s="283"/>
      <c r="E1933" s="283"/>
      <c r="F1933" s="157" t="s">
        <v>575</v>
      </c>
      <c r="G1933" s="44"/>
      <c r="H1933" s="45"/>
      <c r="I1933" s="289"/>
      <c r="J1933" s="281"/>
      <c r="K1933" s="10">
        <v>1</v>
      </c>
    </row>
    <row r="1934" spans="1:11" ht="37.5" x14ac:dyDescent="0.35">
      <c r="A1934" s="84" t="s">
        <v>809</v>
      </c>
      <c r="B1934" s="10" t="s">
        <v>851</v>
      </c>
      <c r="C1934" s="10"/>
      <c r="D1934" s="283"/>
      <c r="E1934" s="283"/>
      <c r="F1934" s="159" t="s">
        <v>576</v>
      </c>
      <c r="G1934" s="44"/>
      <c r="H1934" s="45"/>
      <c r="I1934" s="289"/>
      <c r="J1934" s="281"/>
      <c r="K1934" s="10">
        <v>1</v>
      </c>
    </row>
    <row r="1935" spans="1:11" ht="25" x14ac:dyDescent="0.35">
      <c r="A1935" s="84" t="s">
        <v>809</v>
      </c>
      <c r="B1935" s="10" t="s">
        <v>851</v>
      </c>
      <c r="C1935" s="10"/>
      <c r="D1935" s="283"/>
      <c r="E1935" s="283"/>
      <c r="F1935" s="159" t="s">
        <v>577</v>
      </c>
      <c r="G1935" s="44"/>
      <c r="H1935" s="45"/>
      <c r="I1935" s="289"/>
      <c r="J1935" s="281"/>
      <c r="K1935" s="10">
        <v>1</v>
      </c>
    </row>
    <row r="1936" spans="1:11" x14ac:dyDescent="0.35">
      <c r="A1936" s="84" t="s">
        <v>809</v>
      </c>
      <c r="B1936" s="10" t="s">
        <v>851</v>
      </c>
      <c r="C1936" s="10"/>
      <c r="D1936" s="283"/>
      <c r="E1936" s="283"/>
      <c r="F1936" s="159" t="s">
        <v>578</v>
      </c>
      <c r="G1936" s="44"/>
      <c r="H1936" s="45"/>
      <c r="I1936" s="289"/>
      <c r="J1936" s="281"/>
      <c r="K1936" s="10">
        <v>1</v>
      </c>
    </row>
    <row r="1937" spans="1:11" x14ac:dyDescent="0.35">
      <c r="A1937" s="84" t="s">
        <v>809</v>
      </c>
      <c r="B1937" s="10" t="s">
        <v>851</v>
      </c>
      <c r="C1937" s="10"/>
      <c r="D1937" s="283"/>
      <c r="E1937" s="283"/>
      <c r="F1937" s="159" t="s">
        <v>579</v>
      </c>
      <c r="G1937" s="44"/>
      <c r="H1937" s="45"/>
      <c r="I1937" s="289"/>
      <c r="J1937" s="281"/>
      <c r="K1937" s="10">
        <v>1</v>
      </c>
    </row>
    <row r="1938" spans="1:11" x14ac:dyDescent="0.35">
      <c r="A1938" s="84" t="s">
        <v>809</v>
      </c>
      <c r="B1938" s="10" t="s">
        <v>851</v>
      </c>
      <c r="C1938" s="10"/>
      <c r="D1938" s="283"/>
      <c r="E1938" s="283"/>
      <c r="F1938" s="159" t="s">
        <v>580</v>
      </c>
      <c r="G1938" s="44"/>
      <c r="H1938" s="45"/>
      <c r="I1938" s="289"/>
      <c r="J1938" s="281"/>
      <c r="K1938" s="10">
        <v>1</v>
      </c>
    </row>
    <row r="1939" spans="1:11" x14ac:dyDescent="0.35">
      <c r="A1939" s="84" t="s">
        <v>809</v>
      </c>
      <c r="B1939" s="10" t="s">
        <v>851</v>
      </c>
      <c r="C1939" s="10"/>
      <c r="D1939" s="283" t="s">
        <v>573</v>
      </c>
      <c r="E1939" s="283"/>
      <c r="F1939" s="159" t="s">
        <v>582</v>
      </c>
      <c r="G1939" s="44" t="s">
        <v>186</v>
      </c>
      <c r="H1939" s="45">
        <v>12</v>
      </c>
      <c r="I1939" s="289">
        <v>115</v>
      </c>
      <c r="J1939" s="281">
        <f>H1939*I1939</f>
        <v>1380</v>
      </c>
      <c r="K1939" s="10">
        <v>1</v>
      </c>
    </row>
    <row r="1940" spans="1:11" ht="25" x14ac:dyDescent="0.35">
      <c r="A1940" s="84" t="s">
        <v>809</v>
      </c>
      <c r="B1940" s="10" t="s">
        <v>851</v>
      </c>
      <c r="C1940" s="10"/>
      <c r="D1940" s="283" t="s">
        <v>581</v>
      </c>
      <c r="E1940" s="283"/>
      <c r="F1940" s="159" t="s">
        <v>584</v>
      </c>
      <c r="G1940" s="44" t="s">
        <v>186</v>
      </c>
      <c r="H1940" s="45">
        <v>36</v>
      </c>
      <c r="I1940" s="289">
        <v>50</v>
      </c>
      <c r="J1940" s="281">
        <f>H1940*I1940</f>
        <v>1800</v>
      </c>
      <c r="K1940" s="10">
        <v>1</v>
      </c>
    </row>
    <row r="1941" spans="1:11" x14ac:dyDescent="0.35">
      <c r="A1941" s="84" t="s">
        <v>809</v>
      </c>
      <c r="B1941" s="10" t="s">
        <v>851</v>
      </c>
      <c r="C1941" s="10"/>
      <c r="D1941" s="283" t="s">
        <v>583</v>
      </c>
      <c r="E1941" s="283"/>
      <c r="F1941" s="159" t="s">
        <v>586</v>
      </c>
      <c r="G1941" s="44" t="s">
        <v>587</v>
      </c>
      <c r="H1941" s="45">
        <v>12</v>
      </c>
      <c r="I1941" s="289">
        <v>65</v>
      </c>
      <c r="J1941" s="281">
        <f>H1941*I1941</f>
        <v>780</v>
      </c>
      <c r="K1941" s="10">
        <v>1</v>
      </c>
    </row>
    <row r="1942" spans="1:11" ht="13" x14ac:dyDescent="0.35">
      <c r="A1942" s="84" t="s">
        <v>809</v>
      </c>
      <c r="B1942" s="10" t="s">
        <v>851</v>
      </c>
      <c r="C1942" s="10"/>
      <c r="D1942" s="283"/>
      <c r="E1942" s="283"/>
      <c r="F1942" s="157" t="s">
        <v>517</v>
      </c>
      <c r="G1942" s="44"/>
      <c r="H1942" s="45"/>
      <c r="I1942" s="289"/>
      <c r="J1942" s="281"/>
      <c r="K1942" s="10">
        <v>1</v>
      </c>
    </row>
    <row r="1943" spans="1:11" x14ac:dyDescent="0.35">
      <c r="A1943" s="84" t="s">
        <v>809</v>
      </c>
      <c r="B1943" s="10" t="s">
        <v>851</v>
      </c>
      <c r="C1943" s="10"/>
      <c r="D1943" s="283" t="s">
        <v>585</v>
      </c>
      <c r="E1943" s="283"/>
      <c r="F1943" s="159" t="s">
        <v>589</v>
      </c>
      <c r="G1943" s="44" t="s">
        <v>186</v>
      </c>
      <c r="H1943" s="45">
        <v>60</v>
      </c>
      <c r="I1943" s="289">
        <v>200</v>
      </c>
      <c r="J1943" s="281">
        <f>H1943*I1943</f>
        <v>12000</v>
      </c>
      <c r="K1943" s="10">
        <v>1</v>
      </c>
    </row>
    <row r="1944" spans="1:11" x14ac:dyDescent="0.35">
      <c r="A1944" s="84" t="s">
        <v>809</v>
      </c>
      <c r="B1944" s="10" t="s">
        <v>851</v>
      </c>
      <c r="C1944" s="10"/>
      <c r="D1944" s="283" t="s">
        <v>588</v>
      </c>
      <c r="E1944" s="283"/>
      <c r="F1944" s="159" t="s">
        <v>591</v>
      </c>
      <c r="G1944" s="44" t="s">
        <v>186</v>
      </c>
      <c r="H1944" s="45">
        <v>60</v>
      </c>
      <c r="I1944" s="289">
        <v>65</v>
      </c>
      <c r="J1944" s="281">
        <f>H1944*I1944</f>
        <v>3900</v>
      </c>
      <c r="K1944" s="10">
        <v>1</v>
      </c>
    </row>
    <row r="1945" spans="1:11" x14ac:dyDescent="0.35">
      <c r="A1945" s="84" t="s">
        <v>809</v>
      </c>
      <c r="B1945" s="10" t="s">
        <v>851</v>
      </c>
      <c r="C1945" s="10"/>
      <c r="D1945" s="283" t="s">
        <v>590</v>
      </c>
      <c r="E1945" s="283"/>
      <c r="F1945" s="159" t="s">
        <v>593</v>
      </c>
      <c r="G1945" s="44" t="s">
        <v>186</v>
      </c>
      <c r="H1945" s="45">
        <v>60</v>
      </c>
      <c r="I1945" s="289">
        <v>55</v>
      </c>
      <c r="J1945" s="281">
        <f>H1945*I1945</f>
        <v>3300</v>
      </c>
      <c r="K1945" s="10">
        <v>1</v>
      </c>
    </row>
    <row r="1946" spans="1:11" ht="37.5" x14ac:dyDescent="0.35">
      <c r="A1946" s="84" t="s">
        <v>809</v>
      </c>
      <c r="B1946" s="10" t="s">
        <v>851</v>
      </c>
      <c r="C1946" s="10"/>
      <c r="D1946" s="283" t="s">
        <v>592</v>
      </c>
      <c r="E1946" s="283"/>
      <c r="F1946" s="159" t="s">
        <v>595</v>
      </c>
      <c r="G1946" s="44" t="s">
        <v>596</v>
      </c>
      <c r="H1946" s="45">
        <v>6</v>
      </c>
      <c r="I1946" s="289">
        <v>156</v>
      </c>
      <c r="J1946" s="281">
        <f>H1946*I1946</f>
        <v>936</v>
      </c>
      <c r="K1946" s="10">
        <v>1</v>
      </c>
    </row>
    <row r="1947" spans="1:11" x14ac:dyDescent="0.35">
      <c r="A1947" s="84" t="s">
        <v>809</v>
      </c>
      <c r="B1947" s="10" t="s">
        <v>851</v>
      </c>
      <c r="C1947" s="10"/>
      <c r="D1947" s="283" t="s">
        <v>594</v>
      </c>
      <c r="E1947" s="283"/>
      <c r="F1947" s="159" t="s">
        <v>598</v>
      </c>
      <c r="G1947" s="44" t="s">
        <v>186</v>
      </c>
      <c r="H1947" s="45">
        <v>6</v>
      </c>
      <c r="I1947" s="289">
        <v>680</v>
      </c>
      <c r="J1947" s="281">
        <f>H1947*I1947</f>
        <v>4080</v>
      </c>
      <c r="K1947" s="10">
        <v>1</v>
      </c>
    </row>
    <row r="1948" spans="1:11" x14ac:dyDescent="0.35">
      <c r="A1948" s="84" t="s">
        <v>809</v>
      </c>
      <c r="B1948" s="10" t="s">
        <v>851</v>
      </c>
      <c r="C1948" s="10"/>
      <c r="D1948" s="283" t="s">
        <v>597</v>
      </c>
      <c r="E1948" s="283"/>
      <c r="F1948" s="159" t="s">
        <v>600</v>
      </c>
      <c r="G1948" s="44" t="s">
        <v>596</v>
      </c>
      <c r="H1948" s="45">
        <v>12</v>
      </c>
      <c r="I1948" s="289">
        <v>100</v>
      </c>
      <c r="J1948" s="281">
        <f>H1948*I1948</f>
        <v>1200</v>
      </c>
      <c r="K1948" s="10">
        <v>1</v>
      </c>
    </row>
    <row r="1949" spans="1:11" x14ac:dyDescent="0.35">
      <c r="A1949" s="84" t="s">
        <v>809</v>
      </c>
      <c r="B1949" s="10" t="s">
        <v>851</v>
      </c>
      <c r="C1949" s="10"/>
      <c r="D1949" s="283" t="s">
        <v>599</v>
      </c>
      <c r="E1949" s="283"/>
      <c r="F1949" s="159" t="s">
        <v>602</v>
      </c>
      <c r="G1949" s="44" t="s">
        <v>186</v>
      </c>
      <c r="H1949" s="45">
        <v>12</v>
      </c>
      <c r="I1949" s="289">
        <v>55</v>
      </c>
      <c r="J1949" s="281">
        <f>H1949*I1949</f>
        <v>660</v>
      </c>
      <c r="K1949" s="10">
        <v>1</v>
      </c>
    </row>
    <row r="1950" spans="1:11" x14ac:dyDescent="0.35">
      <c r="A1950" s="84" t="s">
        <v>809</v>
      </c>
      <c r="B1950" s="10" t="s">
        <v>851</v>
      </c>
      <c r="C1950" s="10"/>
      <c r="D1950" s="283" t="s">
        <v>601</v>
      </c>
      <c r="E1950" s="283"/>
      <c r="F1950" s="159" t="s">
        <v>604</v>
      </c>
      <c r="G1950" s="44" t="s">
        <v>186</v>
      </c>
      <c r="H1950" s="45">
        <v>60</v>
      </c>
      <c r="I1950" s="289">
        <v>200</v>
      </c>
      <c r="J1950" s="281">
        <f>H1950*I1950</f>
        <v>12000</v>
      </c>
      <c r="K1950" s="10">
        <v>1</v>
      </c>
    </row>
    <row r="1951" spans="1:11" x14ac:dyDescent="0.35">
      <c r="A1951" s="84" t="s">
        <v>809</v>
      </c>
      <c r="B1951" s="10" t="s">
        <v>851</v>
      </c>
      <c r="C1951" s="10"/>
      <c r="D1951" s="283" t="s">
        <v>603</v>
      </c>
      <c r="E1951" s="283"/>
      <c r="F1951" s="159" t="s">
        <v>606</v>
      </c>
      <c r="G1951" s="44" t="s">
        <v>186</v>
      </c>
      <c r="H1951" s="45">
        <v>60</v>
      </c>
      <c r="I1951" s="289">
        <v>200</v>
      </c>
      <c r="J1951" s="281">
        <f>H1951*I1951</f>
        <v>12000</v>
      </c>
      <c r="K1951" s="10">
        <v>1</v>
      </c>
    </row>
    <row r="1952" spans="1:11" ht="13" x14ac:dyDescent="0.35">
      <c r="A1952" s="84" t="s">
        <v>809</v>
      </c>
      <c r="B1952" s="10" t="s">
        <v>851</v>
      </c>
      <c r="C1952" s="10"/>
      <c r="D1952" s="283"/>
      <c r="E1952" s="283"/>
      <c r="F1952" s="157" t="s">
        <v>607</v>
      </c>
      <c r="G1952" s="44"/>
      <c r="H1952" s="45"/>
      <c r="I1952" s="289"/>
      <c r="J1952" s="281"/>
      <c r="K1952" s="10">
        <v>1</v>
      </c>
    </row>
    <row r="1953" spans="1:11" x14ac:dyDescent="0.35">
      <c r="A1953" s="84" t="s">
        <v>809</v>
      </c>
      <c r="B1953" s="10" t="s">
        <v>851</v>
      </c>
      <c r="C1953" s="10"/>
      <c r="D1953" s="283" t="s">
        <v>605</v>
      </c>
      <c r="E1953" s="283"/>
      <c r="F1953" s="159" t="s">
        <v>609</v>
      </c>
      <c r="G1953" s="44" t="s">
        <v>596</v>
      </c>
      <c r="H1953" s="45">
        <v>6</v>
      </c>
      <c r="I1953" s="289">
        <v>1000</v>
      </c>
      <c r="J1953" s="281">
        <f>H1953*I1953</f>
        <v>6000</v>
      </c>
      <c r="K1953" s="10">
        <v>1</v>
      </c>
    </row>
    <row r="1954" spans="1:11" ht="13" x14ac:dyDescent="0.35">
      <c r="A1954" s="84" t="s">
        <v>809</v>
      </c>
      <c r="B1954" s="10" t="s">
        <v>851</v>
      </c>
      <c r="C1954" s="10"/>
      <c r="D1954" s="283"/>
      <c r="E1954" s="283"/>
      <c r="F1954" s="157" t="s">
        <v>610</v>
      </c>
      <c r="G1954" s="44"/>
      <c r="H1954" s="45"/>
      <c r="I1954" s="289"/>
      <c r="J1954" s="281"/>
      <c r="K1954" s="10">
        <v>1</v>
      </c>
    </row>
    <row r="1955" spans="1:11" x14ac:dyDescent="0.35">
      <c r="A1955" s="84" t="s">
        <v>809</v>
      </c>
      <c r="B1955" s="10" t="s">
        <v>851</v>
      </c>
      <c r="C1955" s="10"/>
      <c r="D1955" s="283" t="s">
        <v>608</v>
      </c>
      <c r="E1955" s="283"/>
      <c r="F1955" s="159" t="s">
        <v>612</v>
      </c>
      <c r="G1955" s="44" t="s">
        <v>596</v>
      </c>
      <c r="H1955" s="45">
        <v>6</v>
      </c>
      <c r="I1955" s="289">
        <v>125</v>
      </c>
      <c r="J1955" s="281">
        <f>H1955*I1955</f>
        <v>750</v>
      </c>
      <c r="K1955" s="10">
        <v>1</v>
      </c>
    </row>
    <row r="1956" spans="1:11" x14ac:dyDescent="0.35">
      <c r="A1956" s="84" t="s">
        <v>809</v>
      </c>
      <c r="B1956" s="10" t="s">
        <v>851</v>
      </c>
      <c r="C1956" s="10"/>
      <c r="D1956" s="283" t="s">
        <v>611</v>
      </c>
      <c r="E1956" s="283"/>
      <c r="F1956" s="159" t="s">
        <v>614</v>
      </c>
      <c r="G1956" s="44" t="s">
        <v>596</v>
      </c>
      <c r="H1956" s="45">
        <v>6</v>
      </c>
      <c r="I1956" s="289">
        <v>500</v>
      </c>
      <c r="J1956" s="281">
        <f>H1956*I1956</f>
        <v>3000</v>
      </c>
      <c r="K1956" s="10">
        <v>1</v>
      </c>
    </row>
    <row r="1957" spans="1:11" ht="37.5" x14ac:dyDescent="0.35">
      <c r="A1957" s="84" t="s">
        <v>809</v>
      </c>
      <c r="B1957" s="10" t="s">
        <v>851</v>
      </c>
      <c r="C1957" s="10"/>
      <c r="D1957" s="283" t="s">
        <v>613</v>
      </c>
      <c r="E1957" s="283"/>
      <c r="F1957" s="159" t="s">
        <v>616</v>
      </c>
      <c r="G1957" s="44" t="s">
        <v>596</v>
      </c>
      <c r="H1957" s="45">
        <v>6</v>
      </c>
      <c r="I1957" s="289">
        <v>3500</v>
      </c>
      <c r="J1957" s="281">
        <f>H1957*I1957</f>
        <v>21000</v>
      </c>
      <c r="K1957" s="10">
        <v>1</v>
      </c>
    </row>
    <row r="1958" spans="1:11" ht="13" x14ac:dyDescent="0.35">
      <c r="A1958" s="84" t="s">
        <v>809</v>
      </c>
      <c r="B1958" s="10" t="s">
        <v>851</v>
      </c>
      <c r="C1958" s="10"/>
      <c r="D1958" s="283"/>
      <c r="E1958" s="283"/>
      <c r="F1958" s="156" t="s">
        <v>617</v>
      </c>
      <c r="G1958" s="44"/>
      <c r="H1958" s="45"/>
      <c r="I1958" s="289"/>
      <c r="J1958" s="281"/>
      <c r="K1958" s="10">
        <v>1</v>
      </c>
    </row>
    <row r="1959" spans="1:11" x14ac:dyDescent="0.35">
      <c r="A1959" s="84" t="s">
        <v>809</v>
      </c>
      <c r="B1959" s="10" t="s">
        <v>851</v>
      </c>
      <c r="C1959" s="10"/>
      <c r="D1959" s="163" t="s">
        <v>615</v>
      </c>
      <c r="E1959" s="283"/>
      <c r="F1959" s="159" t="s">
        <v>619</v>
      </c>
      <c r="G1959" s="44"/>
      <c r="H1959" s="45"/>
      <c r="I1959" s="289"/>
      <c r="J1959" s="281"/>
      <c r="K1959" s="10">
        <v>1</v>
      </c>
    </row>
    <row r="1960" spans="1:11" x14ac:dyDescent="0.35">
      <c r="A1960" s="84" t="s">
        <v>809</v>
      </c>
      <c r="B1960" s="10" t="s">
        <v>851</v>
      </c>
      <c r="C1960" s="10"/>
      <c r="D1960" s="283"/>
      <c r="E1960" s="283"/>
      <c r="F1960" s="159" t="s">
        <v>620</v>
      </c>
      <c r="G1960" s="44" t="s">
        <v>468</v>
      </c>
      <c r="H1960" s="45">
        <v>6</v>
      </c>
      <c r="I1960" s="289">
        <v>3500</v>
      </c>
      <c r="J1960" s="281">
        <f>H1960*I1960</f>
        <v>21000</v>
      </c>
      <c r="K1960" s="10">
        <v>1</v>
      </c>
    </row>
    <row r="1961" spans="1:11" x14ac:dyDescent="0.35">
      <c r="A1961" s="84" t="s">
        <v>809</v>
      </c>
      <c r="B1961" s="10" t="s">
        <v>851</v>
      </c>
      <c r="C1961" s="10"/>
      <c r="D1961" s="163" t="s">
        <v>618</v>
      </c>
      <c r="E1961" s="283"/>
      <c r="F1961" s="159" t="s">
        <v>619</v>
      </c>
      <c r="G1961" s="44"/>
      <c r="H1961" s="45"/>
      <c r="I1961" s="289"/>
      <c r="J1961" s="281"/>
      <c r="K1961" s="10">
        <v>1</v>
      </c>
    </row>
    <row r="1962" spans="1:11" x14ac:dyDescent="0.35">
      <c r="A1962" s="84" t="s">
        <v>809</v>
      </c>
      <c r="B1962" s="10" t="s">
        <v>851</v>
      </c>
      <c r="C1962" s="10"/>
      <c r="D1962" s="283"/>
      <c r="E1962" s="283"/>
      <c r="F1962" s="159" t="s">
        <v>620</v>
      </c>
      <c r="G1962" s="44" t="s">
        <v>468</v>
      </c>
      <c r="H1962" s="45">
        <v>6</v>
      </c>
      <c r="I1962" s="289">
        <v>3500</v>
      </c>
      <c r="J1962" s="281">
        <f>H1962*I1962</f>
        <v>21000</v>
      </c>
      <c r="K1962" s="10">
        <v>1</v>
      </c>
    </row>
    <row r="1963" spans="1:11" ht="13" x14ac:dyDescent="0.35">
      <c r="A1963" s="84" t="s">
        <v>809</v>
      </c>
      <c r="B1963" s="10" t="s">
        <v>857</v>
      </c>
      <c r="C1963" s="10"/>
      <c r="D1963" s="283"/>
      <c r="E1963" s="283"/>
      <c r="F1963" s="43" t="s">
        <v>810</v>
      </c>
      <c r="G1963" s="44"/>
      <c r="H1963" s="45"/>
      <c r="I1963" s="289"/>
      <c r="J1963" s="281"/>
      <c r="K1963" s="10">
        <v>1</v>
      </c>
    </row>
    <row r="1964" spans="1:11" ht="13" x14ac:dyDescent="0.35">
      <c r="A1964" s="84" t="s">
        <v>809</v>
      </c>
      <c r="B1964" s="10" t="s">
        <v>857</v>
      </c>
      <c r="C1964" s="10"/>
      <c r="D1964" s="283"/>
      <c r="E1964" s="283"/>
      <c r="F1964" s="43" t="s">
        <v>811</v>
      </c>
      <c r="G1964" s="44"/>
      <c r="H1964" s="45"/>
      <c r="I1964" s="289"/>
      <c r="J1964" s="290"/>
      <c r="K1964" s="10">
        <v>1</v>
      </c>
    </row>
    <row r="1965" spans="1:11" ht="13" x14ac:dyDescent="0.35">
      <c r="A1965" s="84" t="s">
        <v>809</v>
      </c>
      <c r="B1965" s="10" t="s">
        <v>857</v>
      </c>
      <c r="C1965" s="10"/>
      <c r="D1965" s="283"/>
      <c r="E1965" s="283"/>
      <c r="F1965" s="43" t="s">
        <v>370</v>
      </c>
      <c r="G1965" s="44"/>
      <c r="H1965" s="45"/>
      <c r="I1965" s="289"/>
      <c r="J1965" s="290"/>
      <c r="K1965" s="10">
        <v>1</v>
      </c>
    </row>
    <row r="1966" spans="1:11" ht="13" x14ac:dyDescent="0.35">
      <c r="A1966" s="84" t="s">
        <v>809</v>
      </c>
      <c r="B1966" s="10" t="s">
        <v>857</v>
      </c>
      <c r="C1966" s="10"/>
      <c r="D1966" s="164"/>
      <c r="E1966" s="165"/>
      <c r="F1966" s="153" t="s">
        <v>623</v>
      </c>
      <c r="G1966" s="166"/>
      <c r="H1966" s="167"/>
      <c r="I1966" s="169"/>
      <c r="J1966" s="170"/>
      <c r="K1966" s="10">
        <v>1</v>
      </c>
    </row>
    <row r="1967" spans="1:11" ht="13" x14ac:dyDescent="0.35">
      <c r="A1967" s="84" t="s">
        <v>809</v>
      </c>
      <c r="B1967" s="10" t="s">
        <v>857</v>
      </c>
      <c r="C1967" s="10"/>
      <c r="D1967" s="173"/>
      <c r="E1967" s="174"/>
      <c r="F1967" s="154" t="s">
        <v>100</v>
      </c>
      <c r="G1967" s="175"/>
      <c r="H1967" s="176"/>
      <c r="I1967" s="178"/>
      <c r="J1967" s="179"/>
      <c r="K1967" s="10">
        <v>1</v>
      </c>
    </row>
    <row r="1968" spans="1:11" ht="13" x14ac:dyDescent="0.35">
      <c r="A1968" s="84" t="s">
        <v>809</v>
      </c>
      <c r="B1968" s="10" t="s">
        <v>857</v>
      </c>
      <c r="C1968" s="10"/>
      <c r="D1968" s="173"/>
      <c r="E1968" s="174"/>
      <c r="F1968" s="155" t="s">
        <v>101</v>
      </c>
      <c r="G1968" s="175"/>
      <c r="H1968" s="176"/>
      <c r="I1968" s="178"/>
      <c r="J1968" s="179"/>
      <c r="K1968" s="10">
        <v>1</v>
      </c>
    </row>
    <row r="1969" spans="1:11" ht="13" x14ac:dyDescent="0.35">
      <c r="A1969" s="84" t="s">
        <v>809</v>
      </c>
      <c r="B1969" s="10" t="s">
        <v>857</v>
      </c>
      <c r="C1969" s="10"/>
      <c r="D1969" s="293"/>
      <c r="E1969" s="293"/>
      <c r="F1969" s="57" t="s">
        <v>624</v>
      </c>
      <c r="G1969" s="110"/>
      <c r="H1969" s="182"/>
      <c r="I1969" s="295"/>
      <c r="J1969" s="296"/>
      <c r="K1969" s="10">
        <v>1</v>
      </c>
    </row>
    <row r="1970" spans="1:11" ht="25" x14ac:dyDescent="0.35">
      <c r="A1970" s="84" t="s">
        <v>809</v>
      </c>
      <c r="B1970" s="10" t="s">
        <v>857</v>
      </c>
      <c r="C1970" s="10"/>
      <c r="D1970" s="293" t="s">
        <v>20</v>
      </c>
      <c r="E1970" s="293"/>
      <c r="F1970" s="60" t="s">
        <v>858</v>
      </c>
      <c r="G1970" s="110" t="s">
        <v>468</v>
      </c>
      <c r="H1970" s="182">
        <v>1</v>
      </c>
      <c r="I1970" s="295">
        <v>50000</v>
      </c>
      <c r="J1970" s="296">
        <f>H1970*I1970</f>
        <v>50000</v>
      </c>
      <c r="K1970" s="10">
        <v>1</v>
      </c>
    </row>
    <row r="1971" spans="1:11" x14ac:dyDescent="0.35">
      <c r="A1971" s="84" t="s">
        <v>809</v>
      </c>
      <c r="B1971" s="10" t="s">
        <v>857</v>
      </c>
      <c r="C1971" s="10"/>
      <c r="D1971" s="293" t="s">
        <v>26</v>
      </c>
      <c r="E1971" s="293"/>
      <c r="F1971" s="188" t="s">
        <v>626</v>
      </c>
      <c r="G1971" s="110" t="s">
        <v>627</v>
      </c>
      <c r="H1971" s="189">
        <v>0.05</v>
      </c>
      <c r="I1971" s="295">
        <f>I1970</f>
        <v>50000</v>
      </c>
      <c r="J1971" s="296">
        <f>H1971*I1971</f>
        <v>2500</v>
      </c>
      <c r="K1971" s="10">
        <v>1</v>
      </c>
    </row>
    <row r="1972" spans="1:11" x14ac:dyDescent="0.35">
      <c r="A1972" s="84" t="s">
        <v>809</v>
      </c>
      <c r="B1972" s="10" t="s">
        <v>857</v>
      </c>
      <c r="C1972" s="10"/>
      <c r="D1972" s="293" t="s">
        <v>29</v>
      </c>
      <c r="E1972" s="293"/>
      <c r="F1972" s="188" t="s">
        <v>628</v>
      </c>
      <c r="G1972" s="110" t="s">
        <v>627</v>
      </c>
      <c r="H1972" s="189">
        <v>0.1</v>
      </c>
      <c r="I1972" s="295">
        <f>I1971</f>
        <v>50000</v>
      </c>
      <c r="J1972" s="296">
        <f>H1972*I1972</f>
        <v>5000</v>
      </c>
      <c r="K1972" s="10">
        <v>1</v>
      </c>
    </row>
    <row r="1973" spans="1:11" ht="13" x14ac:dyDescent="0.35">
      <c r="A1973" s="84" t="s">
        <v>809</v>
      </c>
      <c r="B1973" s="10" t="s">
        <v>857</v>
      </c>
      <c r="C1973" s="10"/>
      <c r="D1973" s="293"/>
      <c r="E1973" s="293"/>
      <c r="F1973" s="57" t="s">
        <v>629</v>
      </c>
      <c r="G1973" s="110"/>
      <c r="H1973" s="182"/>
      <c r="I1973" s="295"/>
      <c r="J1973" s="296"/>
      <c r="K1973" s="10">
        <v>1</v>
      </c>
    </row>
    <row r="1974" spans="1:11" ht="25" x14ac:dyDescent="0.35">
      <c r="A1974" s="84" t="s">
        <v>809</v>
      </c>
      <c r="B1974" s="10" t="s">
        <v>857</v>
      </c>
      <c r="C1974" s="10"/>
      <c r="D1974" s="293" t="s">
        <v>32</v>
      </c>
      <c r="E1974" s="293"/>
      <c r="F1974" s="67" t="s">
        <v>859</v>
      </c>
      <c r="G1974" s="110" t="s">
        <v>468</v>
      </c>
      <c r="H1974" s="182">
        <v>1</v>
      </c>
      <c r="I1974" s="295">
        <v>30000</v>
      </c>
      <c r="J1974" s="296">
        <f>H1974*I1974</f>
        <v>30000</v>
      </c>
      <c r="K1974" s="10">
        <v>1</v>
      </c>
    </row>
    <row r="1975" spans="1:11" x14ac:dyDescent="0.35">
      <c r="A1975" s="84" t="s">
        <v>809</v>
      </c>
      <c r="B1975" s="10" t="s">
        <v>857</v>
      </c>
      <c r="C1975" s="10"/>
      <c r="D1975" s="293" t="s">
        <v>36</v>
      </c>
      <c r="E1975" s="293"/>
      <c r="F1975" s="188" t="s">
        <v>626</v>
      </c>
      <c r="G1975" s="110" t="s">
        <v>627</v>
      </c>
      <c r="H1975" s="189">
        <v>0.05</v>
      </c>
      <c r="I1975" s="295">
        <f>I1974</f>
        <v>30000</v>
      </c>
      <c r="J1975" s="296">
        <f>H1975*I1975</f>
        <v>1500</v>
      </c>
      <c r="K1975" s="10">
        <v>1</v>
      </c>
    </row>
    <row r="1976" spans="1:11" x14ac:dyDescent="0.35">
      <c r="A1976" s="84" t="s">
        <v>809</v>
      </c>
      <c r="B1976" s="10" t="s">
        <v>857</v>
      </c>
      <c r="C1976" s="10"/>
      <c r="D1976" s="293" t="s">
        <v>39</v>
      </c>
      <c r="E1976" s="293"/>
      <c r="F1976" s="188" t="s">
        <v>628</v>
      </c>
      <c r="G1976" s="110" t="s">
        <v>627</v>
      </c>
      <c r="H1976" s="189">
        <v>0.1</v>
      </c>
      <c r="I1976" s="295">
        <f>I1975</f>
        <v>30000</v>
      </c>
      <c r="J1976" s="296">
        <f>H1976*I1976</f>
        <v>3000</v>
      </c>
      <c r="K1976" s="10">
        <v>1</v>
      </c>
    </row>
    <row r="1977" spans="1:11" ht="13" x14ac:dyDescent="0.35">
      <c r="A1977" s="84" t="s">
        <v>860</v>
      </c>
      <c r="B1977" s="84" t="s">
        <v>861</v>
      </c>
      <c r="C1977" s="84"/>
      <c r="D1977" s="300"/>
      <c r="E1977" s="300"/>
      <c r="F1977" s="262" t="s">
        <v>862</v>
      </c>
      <c r="G1977" s="78"/>
      <c r="H1977" s="79"/>
      <c r="I1977" s="301"/>
      <c r="J1977" s="353"/>
      <c r="K1977" s="10">
        <v>1</v>
      </c>
    </row>
    <row r="1978" spans="1:11" ht="26" x14ac:dyDescent="0.35">
      <c r="A1978" s="84" t="s">
        <v>860</v>
      </c>
      <c r="B1978" s="84" t="s">
        <v>861</v>
      </c>
      <c r="C1978" s="84"/>
      <c r="D1978" s="300"/>
      <c r="E1978" s="300"/>
      <c r="F1978" s="355" t="s">
        <v>863</v>
      </c>
      <c r="G1978" s="78"/>
      <c r="H1978" s="79"/>
      <c r="I1978" s="301"/>
      <c r="J1978" s="353"/>
      <c r="K1978" s="10">
        <v>1</v>
      </c>
    </row>
    <row r="1979" spans="1:11" ht="13" x14ac:dyDescent="0.35">
      <c r="A1979" s="84" t="s">
        <v>860</v>
      </c>
      <c r="B1979" s="84" t="s">
        <v>861</v>
      </c>
      <c r="C1979" s="84"/>
      <c r="D1979" s="300"/>
      <c r="E1979" s="304"/>
      <c r="F1979" s="262" t="s">
        <v>97</v>
      </c>
      <c r="G1979" s="78"/>
      <c r="H1979" s="79"/>
      <c r="I1979" s="301"/>
      <c r="J1979" s="353"/>
      <c r="K1979" s="10">
        <v>1</v>
      </c>
    </row>
    <row r="1980" spans="1:11" ht="13" x14ac:dyDescent="0.35">
      <c r="A1980" s="84" t="s">
        <v>860</v>
      </c>
      <c r="B1980" s="84" t="s">
        <v>861</v>
      </c>
      <c r="C1980" s="84"/>
      <c r="D1980" s="300"/>
      <c r="E1980" s="304"/>
      <c r="F1980" s="262" t="s">
        <v>864</v>
      </c>
      <c r="G1980" s="78"/>
      <c r="H1980" s="79"/>
      <c r="I1980" s="301"/>
      <c r="J1980" s="353"/>
      <c r="K1980" s="10">
        <v>1</v>
      </c>
    </row>
    <row r="1981" spans="1:11" ht="13" x14ac:dyDescent="0.35">
      <c r="A1981" s="84" t="s">
        <v>860</v>
      </c>
      <c r="B1981" s="84" t="s">
        <v>861</v>
      </c>
      <c r="C1981" s="84"/>
      <c r="D1981" s="300"/>
      <c r="E1981" s="300"/>
      <c r="F1981" s="87" t="s">
        <v>100</v>
      </c>
      <c r="G1981" s="78"/>
      <c r="H1981" s="79"/>
      <c r="I1981" s="301"/>
      <c r="J1981" s="353"/>
      <c r="K1981" s="10">
        <v>1</v>
      </c>
    </row>
    <row r="1982" spans="1:11" x14ac:dyDescent="0.35">
      <c r="A1982" s="84" t="s">
        <v>860</v>
      </c>
      <c r="B1982" s="84" t="s">
        <v>861</v>
      </c>
      <c r="C1982" s="84"/>
      <c r="D1982" s="300"/>
      <c r="E1982" s="300"/>
      <c r="F1982" s="264" t="s">
        <v>101</v>
      </c>
      <c r="G1982" s="78"/>
      <c r="H1982" s="79"/>
      <c r="I1982" s="301"/>
      <c r="J1982" s="353"/>
      <c r="K1982" s="10">
        <v>1</v>
      </c>
    </row>
    <row r="1983" spans="1:11" ht="13" x14ac:dyDescent="0.35">
      <c r="A1983" s="84" t="s">
        <v>860</v>
      </c>
      <c r="B1983" s="84" t="s">
        <v>861</v>
      </c>
      <c r="C1983" s="84"/>
      <c r="D1983" s="300"/>
      <c r="E1983" s="300"/>
      <c r="F1983" s="87" t="s">
        <v>102</v>
      </c>
      <c r="G1983" s="78"/>
      <c r="H1983" s="79"/>
      <c r="I1983" s="301"/>
      <c r="J1983" s="353"/>
      <c r="K1983" s="10">
        <v>1</v>
      </c>
    </row>
    <row r="1984" spans="1:11" ht="25" x14ac:dyDescent="0.35">
      <c r="A1984" s="84" t="s">
        <v>860</v>
      </c>
      <c r="B1984" s="84" t="s">
        <v>861</v>
      </c>
      <c r="C1984" s="84"/>
      <c r="D1984" s="300"/>
      <c r="E1984" s="300"/>
      <c r="F1984" s="88" t="s">
        <v>865</v>
      </c>
      <c r="G1984" s="78"/>
      <c r="H1984" s="79"/>
      <c r="I1984" s="301"/>
      <c r="J1984" s="353"/>
      <c r="K1984" s="10">
        <v>1</v>
      </c>
    </row>
    <row r="1985" spans="1:11" ht="25" x14ac:dyDescent="0.35">
      <c r="A1985" s="84" t="s">
        <v>860</v>
      </c>
      <c r="B1985" s="84" t="s">
        <v>861</v>
      </c>
      <c r="C1985" s="84"/>
      <c r="D1985" s="300"/>
      <c r="E1985" s="300"/>
      <c r="F1985" s="88" t="s">
        <v>866</v>
      </c>
      <c r="G1985" s="78"/>
      <c r="H1985" s="79"/>
      <c r="I1985" s="301"/>
      <c r="J1985" s="353"/>
      <c r="K1985" s="10">
        <v>1</v>
      </c>
    </row>
    <row r="1986" spans="1:11" ht="37.5" x14ac:dyDescent="0.35">
      <c r="A1986" s="84" t="s">
        <v>860</v>
      </c>
      <c r="B1986" s="84" t="s">
        <v>861</v>
      </c>
      <c r="C1986" s="84"/>
      <c r="D1986" s="300"/>
      <c r="E1986" s="300"/>
      <c r="F1986" s="88" t="s">
        <v>867</v>
      </c>
      <c r="G1986" s="78"/>
      <c r="H1986" s="79"/>
      <c r="I1986" s="301"/>
      <c r="J1986" s="353"/>
      <c r="K1986" s="10">
        <v>1</v>
      </c>
    </row>
    <row r="1987" spans="1:11" ht="62.5" x14ac:dyDescent="0.35">
      <c r="A1987" s="84" t="s">
        <v>860</v>
      </c>
      <c r="B1987" s="84" t="s">
        <v>861</v>
      </c>
      <c r="C1987" s="84"/>
      <c r="D1987" s="300"/>
      <c r="E1987" s="300"/>
      <c r="F1987" s="88" t="s">
        <v>868</v>
      </c>
      <c r="G1987" s="78"/>
      <c r="H1987" s="79"/>
      <c r="I1987" s="301"/>
      <c r="J1987" s="353"/>
      <c r="K1987" s="10">
        <v>1</v>
      </c>
    </row>
    <row r="1988" spans="1:11" ht="75" x14ac:dyDescent="0.35">
      <c r="A1988" s="84" t="s">
        <v>860</v>
      </c>
      <c r="B1988" s="84" t="s">
        <v>861</v>
      </c>
      <c r="C1988" s="84"/>
      <c r="D1988" s="300"/>
      <c r="E1988" s="300"/>
      <c r="F1988" s="88" t="s">
        <v>769</v>
      </c>
      <c r="G1988" s="78"/>
      <c r="H1988" s="79"/>
      <c r="I1988" s="301"/>
      <c r="J1988" s="353"/>
      <c r="K1988" s="10">
        <v>1</v>
      </c>
    </row>
    <row r="1989" spans="1:11" ht="25" x14ac:dyDescent="0.35">
      <c r="A1989" s="84" t="s">
        <v>860</v>
      </c>
      <c r="B1989" s="84" t="s">
        <v>861</v>
      </c>
      <c r="C1989" s="84"/>
      <c r="D1989" s="300"/>
      <c r="E1989" s="300"/>
      <c r="F1989" s="88" t="s">
        <v>869</v>
      </c>
      <c r="G1989" s="78"/>
      <c r="H1989" s="79"/>
      <c r="I1989" s="301"/>
      <c r="J1989" s="353"/>
      <c r="K1989" s="10">
        <v>1</v>
      </c>
    </row>
    <row r="1990" spans="1:11" ht="25" x14ac:dyDescent="0.35">
      <c r="A1990" s="84" t="s">
        <v>860</v>
      </c>
      <c r="B1990" s="84" t="s">
        <v>861</v>
      </c>
      <c r="C1990" s="84"/>
      <c r="D1990" s="300"/>
      <c r="E1990" s="300"/>
      <c r="F1990" s="88" t="s">
        <v>870</v>
      </c>
      <c r="G1990" s="78"/>
      <c r="H1990" s="79"/>
      <c r="I1990" s="301"/>
      <c r="J1990" s="353"/>
      <c r="K1990" s="10">
        <v>1</v>
      </c>
    </row>
    <row r="1991" spans="1:11" ht="25" x14ac:dyDescent="0.35">
      <c r="A1991" s="84" t="s">
        <v>860</v>
      </c>
      <c r="B1991" s="84" t="s">
        <v>861</v>
      </c>
      <c r="C1991" s="84"/>
      <c r="D1991" s="300"/>
      <c r="E1991" s="300"/>
      <c r="F1991" s="88" t="s">
        <v>871</v>
      </c>
      <c r="G1991" s="78"/>
      <c r="H1991" s="79"/>
      <c r="I1991" s="301"/>
      <c r="J1991" s="353"/>
      <c r="K1991" s="10">
        <v>1</v>
      </c>
    </row>
    <row r="1992" spans="1:11" ht="37.5" x14ac:dyDescent="0.35">
      <c r="A1992" s="84" t="s">
        <v>860</v>
      </c>
      <c r="B1992" s="84" t="s">
        <v>861</v>
      </c>
      <c r="C1992" s="84"/>
      <c r="D1992" s="300"/>
      <c r="E1992" s="300"/>
      <c r="F1992" s="88" t="s">
        <v>872</v>
      </c>
      <c r="G1992" s="78"/>
      <c r="H1992" s="79"/>
      <c r="I1992" s="301"/>
      <c r="J1992" s="353"/>
      <c r="K1992" s="10">
        <v>1</v>
      </c>
    </row>
    <row r="1993" spans="1:11" ht="37.5" x14ac:dyDescent="0.35">
      <c r="A1993" s="84" t="s">
        <v>860</v>
      </c>
      <c r="B1993" s="84" t="s">
        <v>861</v>
      </c>
      <c r="C1993" s="84"/>
      <c r="D1993" s="300"/>
      <c r="E1993" s="300"/>
      <c r="F1993" s="88" t="s">
        <v>873</v>
      </c>
      <c r="G1993" s="78"/>
      <c r="H1993" s="79"/>
      <c r="I1993" s="301"/>
      <c r="J1993" s="353"/>
      <c r="K1993" s="10">
        <v>1</v>
      </c>
    </row>
    <row r="1994" spans="1:11" ht="75" x14ac:dyDescent="0.35">
      <c r="A1994" s="84" t="s">
        <v>860</v>
      </c>
      <c r="B1994" s="84" t="s">
        <v>861</v>
      </c>
      <c r="C1994" s="84"/>
      <c r="D1994" s="300"/>
      <c r="E1994" s="300"/>
      <c r="F1994" s="88" t="s">
        <v>874</v>
      </c>
      <c r="G1994" s="78"/>
      <c r="H1994" s="308"/>
      <c r="I1994" s="301"/>
      <c r="J1994" s="353"/>
      <c r="K1994" s="10">
        <v>1</v>
      </c>
    </row>
    <row r="1995" spans="1:11" ht="25" x14ac:dyDescent="0.35">
      <c r="A1995" s="84" t="s">
        <v>860</v>
      </c>
      <c r="B1995" s="84" t="s">
        <v>861</v>
      </c>
      <c r="C1995" s="84"/>
      <c r="D1995" s="300"/>
      <c r="E1995" s="300"/>
      <c r="F1995" s="88" t="s">
        <v>875</v>
      </c>
      <c r="G1995" s="78"/>
      <c r="H1995" s="79"/>
      <c r="I1995" s="301"/>
      <c r="J1995" s="353"/>
      <c r="K1995" s="10">
        <v>1</v>
      </c>
    </row>
    <row r="1996" spans="1:11" ht="62.5" x14ac:dyDescent="0.35">
      <c r="A1996" s="84" t="s">
        <v>860</v>
      </c>
      <c r="B1996" s="84" t="s">
        <v>861</v>
      </c>
      <c r="C1996" s="84"/>
      <c r="D1996" s="300"/>
      <c r="E1996" s="300"/>
      <c r="F1996" s="88" t="s">
        <v>876</v>
      </c>
      <c r="G1996" s="78"/>
      <c r="H1996" s="79"/>
      <c r="I1996" s="301"/>
      <c r="J1996" s="353"/>
      <c r="K1996" s="10">
        <v>1</v>
      </c>
    </row>
    <row r="1997" spans="1:11" ht="25" x14ac:dyDescent="0.35">
      <c r="A1997" s="84" t="s">
        <v>860</v>
      </c>
      <c r="B1997" s="84" t="s">
        <v>861</v>
      </c>
      <c r="C1997" s="84"/>
      <c r="D1997" s="300"/>
      <c r="E1997" s="300"/>
      <c r="F1997" s="88" t="s">
        <v>877</v>
      </c>
      <c r="G1997" s="78"/>
      <c r="H1997" s="308"/>
      <c r="I1997" s="301"/>
      <c r="J1997" s="353"/>
      <c r="K1997" s="10">
        <v>1</v>
      </c>
    </row>
    <row r="1998" spans="1:11" ht="50" x14ac:dyDescent="0.35">
      <c r="A1998" s="84" t="s">
        <v>860</v>
      </c>
      <c r="B1998" s="84" t="s">
        <v>861</v>
      </c>
      <c r="C1998" s="84"/>
      <c r="D1998" s="300"/>
      <c r="E1998" s="300"/>
      <c r="F1998" s="88" t="s">
        <v>878</v>
      </c>
      <c r="G1998" s="78"/>
      <c r="H1998" s="79"/>
      <c r="I1998" s="301"/>
      <c r="J1998" s="353"/>
      <c r="K1998" s="10">
        <v>1</v>
      </c>
    </row>
    <row r="1999" spans="1:11" ht="25" x14ac:dyDescent="0.35">
      <c r="A1999" s="84" t="s">
        <v>860</v>
      </c>
      <c r="B1999" s="84" t="s">
        <v>861</v>
      </c>
      <c r="C1999" s="84"/>
      <c r="D1999" s="300"/>
      <c r="E1999" s="300"/>
      <c r="F1999" s="88" t="s">
        <v>879</v>
      </c>
      <c r="G1999" s="78"/>
      <c r="H1999" s="79"/>
      <c r="I1999" s="301"/>
      <c r="J1999" s="353"/>
      <c r="K1999" s="10">
        <v>1</v>
      </c>
    </row>
    <row r="2000" spans="1:11" ht="25" x14ac:dyDescent="0.35">
      <c r="A2000" s="84" t="s">
        <v>860</v>
      </c>
      <c r="B2000" s="84" t="s">
        <v>861</v>
      </c>
      <c r="C2000" s="84"/>
      <c r="D2000" s="300"/>
      <c r="E2000" s="300"/>
      <c r="F2000" s="88" t="s">
        <v>880</v>
      </c>
      <c r="G2000" s="78"/>
      <c r="H2000" s="308"/>
      <c r="I2000" s="301"/>
      <c r="J2000" s="353"/>
      <c r="K2000" s="10">
        <v>1</v>
      </c>
    </row>
    <row r="2001" spans="1:11" ht="100" x14ac:dyDescent="0.35">
      <c r="A2001" s="84" t="s">
        <v>860</v>
      </c>
      <c r="B2001" s="84" t="s">
        <v>861</v>
      </c>
      <c r="C2001" s="84"/>
      <c r="D2001" s="300"/>
      <c r="E2001" s="300"/>
      <c r="F2001" s="88" t="s">
        <v>881</v>
      </c>
      <c r="G2001" s="78"/>
      <c r="H2001" s="79"/>
      <c r="I2001" s="301"/>
      <c r="J2001" s="353"/>
      <c r="K2001" s="10">
        <v>1</v>
      </c>
    </row>
    <row r="2002" spans="1:11" ht="37.5" x14ac:dyDescent="0.35">
      <c r="A2002" s="84" t="s">
        <v>860</v>
      </c>
      <c r="B2002" s="84" t="s">
        <v>861</v>
      </c>
      <c r="C2002" s="84"/>
      <c r="D2002" s="300"/>
      <c r="E2002" s="300"/>
      <c r="F2002" s="88" t="s">
        <v>882</v>
      </c>
      <c r="G2002" s="78"/>
      <c r="H2002" s="79"/>
      <c r="I2002" s="301"/>
      <c r="J2002" s="353"/>
      <c r="K2002" s="10">
        <v>1</v>
      </c>
    </row>
    <row r="2003" spans="1:11" ht="75" x14ac:dyDescent="0.35">
      <c r="A2003" s="84" t="s">
        <v>860</v>
      </c>
      <c r="B2003" s="84" t="s">
        <v>861</v>
      </c>
      <c r="C2003" s="84"/>
      <c r="D2003" s="300"/>
      <c r="E2003" s="300"/>
      <c r="F2003" s="88" t="s">
        <v>883</v>
      </c>
      <c r="G2003" s="78"/>
      <c r="H2003" s="308"/>
      <c r="I2003" s="301"/>
      <c r="J2003" s="353"/>
      <c r="K2003" s="10">
        <v>1</v>
      </c>
    </row>
    <row r="2004" spans="1:11" ht="50" x14ac:dyDescent="0.35">
      <c r="A2004" s="84" t="s">
        <v>860</v>
      </c>
      <c r="B2004" s="84" t="s">
        <v>861</v>
      </c>
      <c r="C2004" s="84"/>
      <c r="D2004" s="300"/>
      <c r="E2004" s="300"/>
      <c r="F2004" s="88" t="s">
        <v>884</v>
      </c>
      <c r="G2004" s="78"/>
      <c r="H2004" s="79"/>
      <c r="I2004" s="301"/>
      <c r="J2004" s="353"/>
      <c r="K2004" s="10">
        <v>1</v>
      </c>
    </row>
    <row r="2005" spans="1:11" ht="50" x14ac:dyDescent="0.35">
      <c r="A2005" s="84" t="s">
        <v>860</v>
      </c>
      <c r="B2005" s="84" t="s">
        <v>861</v>
      </c>
      <c r="C2005" s="84"/>
      <c r="D2005" s="300"/>
      <c r="E2005" s="300"/>
      <c r="F2005" s="88" t="s">
        <v>885</v>
      </c>
      <c r="G2005" s="78"/>
      <c r="H2005" s="79"/>
      <c r="I2005" s="287"/>
      <c r="J2005" s="353"/>
      <c r="K2005" s="10">
        <v>1</v>
      </c>
    </row>
    <row r="2006" spans="1:11" x14ac:dyDescent="0.35">
      <c r="A2006" s="84" t="s">
        <v>860</v>
      </c>
      <c r="B2006" s="84" t="s">
        <v>861</v>
      </c>
      <c r="C2006" s="84"/>
      <c r="D2006" s="300"/>
      <c r="E2006" s="300"/>
      <c r="F2006" s="88" t="s">
        <v>886</v>
      </c>
      <c r="G2006" s="78"/>
      <c r="H2006" s="308"/>
      <c r="I2006" s="301"/>
      <c r="J2006" s="353"/>
      <c r="K2006" s="10">
        <v>1</v>
      </c>
    </row>
    <row r="2007" spans="1:11" ht="50" x14ac:dyDescent="0.35">
      <c r="A2007" s="84" t="s">
        <v>860</v>
      </c>
      <c r="B2007" s="84" t="s">
        <v>861</v>
      </c>
      <c r="C2007" s="84"/>
      <c r="D2007" s="300"/>
      <c r="E2007" s="300"/>
      <c r="F2007" s="88" t="s">
        <v>887</v>
      </c>
      <c r="G2007" s="78"/>
      <c r="H2007" s="79"/>
      <c r="I2007" s="301"/>
      <c r="J2007" s="353"/>
      <c r="K2007" s="10">
        <v>1</v>
      </c>
    </row>
    <row r="2008" spans="1:11" ht="37.5" x14ac:dyDescent="0.35">
      <c r="A2008" s="84" t="s">
        <v>860</v>
      </c>
      <c r="B2008" s="84" t="s">
        <v>861</v>
      </c>
      <c r="C2008" s="84"/>
      <c r="D2008" s="300"/>
      <c r="E2008" s="300"/>
      <c r="F2008" s="88" t="s">
        <v>888</v>
      </c>
      <c r="G2008" s="78"/>
      <c r="H2008" s="79"/>
      <c r="I2008" s="287"/>
      <c r="J2008" s="353"/>
      <c r="K2008" s="10">
        <v>1</v>
      </c>
    </row>
    <row r="2009" spans="1:11" ht="50" x14ac:dyDescent="0.35">
      <c r="A2009" s="84" t="s">
        <v>860</v>
      </c>
      <c r="B2009" s="84" t="s">
        <v>861</v>
      </c>
      <c r="C2009" s="84"/>
      <c r="D2009" s="300"/>
      <c r="E2009" s="300"/>
      <c r="F2009" s="88" t="s">
        <v>889</v>
      </c>
      <c r="G2009" s="78"/>
      <c r="H2009" s="308"/>
      <c r="I2009" s="301"/>
      <c r="J2009" s="353"/>
      <c r="K2009" s="10">
        <v>1</v>
      </c>
    </row>
    <row r="2010" spans="1:11" ht="25" x14ac:dyDescent="0.35">
      <c r="A2010" s="84" t="s">
        <v>860</v>
      </c>
      <c r="B2010" s="84" t="s">
        <v>861</v>
      </c>
      <c r="C2010" s="84"/>
      <c r="D2010" s="300"/>
      <c r="E2010" s="300"/>
      <c r="F2010" s="88" t="s">
        <v>890</v>
      </c>
      <c r="G2010" s="78"/>
      <c r="H2010" s="79"/>
      <c r="I2010" s="301"/>
      <c r="J2010" s="353"/>
      <c r="K2010" s="10">
        <v>1</v>
      </c>
    </row>
    <row r="2011" spans="1:11" ht="50" x14ac:dyDescent="0.35">
      <c r="A2011" s="84" t="s">
        <v>860</v>
      </c>
      <c r="B2011" s="84" t="s">
        <v>861</v>
      </c>
      <c r="C2011" s="84"/>
      <c r="D2011" s="300"/>
      <c r="E2011" s="300"/>
      <c r="F2011" s="88" t="s">
        <v>891</v>
      </c>
      <c r="G2011" s="78"/>
      <c r="H2011" s="79"/>
      <c r="I2011" s="287"/>
      <c r="J2011" s="353"/>
      <c r="K2011" s="10">
        <v>1</v>
      </c>
    </row>
    <row r="2012" spans="1:11" ht="37.5" x14ac:dyDescent="0.35">
      <c r="A2012" s="84" t="s">
        <v>860</v>
      </c>
      <c r="B2012" s="84" t="s">
        <v>861</v>
      </c>
      <c r="C2012" s="84"/>
      <c r="D2012" s="300"/>
      <c r="E2012" s="300"/>
      <c r="F2012" s="88" t="s">
        <v>892</v>
      </c>
      <c r="G2012" s="78"/>
      <c r="H2012" s="308"/>
      <c r="I2012" s="301"/>
      <c r="J2012" s="353"/>
      <c r="K2012" s="10">
        <v>1</v>
      </c>
    </row>
    <row r="2013" spans="1:11" ht="75" x14ac:dyDescent="0.35">
      <c r="A2013" s="84" t="s">
        <v>860</v>
      </c>
      <c r="B2013" s="84" t="s">
        <v>861</v>
      </c>
      <c r="C2013" s="84"/>
      <c r="D2013" s="300"/>
      <c r="E2013" s="300"/>
      <c r="F2013" s="88" t="s">
        <v>893</v>
      </c>
      <c r="G2013" s="78"/>
      <c r="H2013" s="79"/>
      <c r="I2013" s="301"/>
      <c r="J2013" s="353"/>
      <c r="K2013" s="10">
        <v>1</v>
      </c>
    </row>
    <row r="2014" spans="1:11" ht="125" x14ac:dyDescent="0.35">
      <c r="A2014" s="84" t="s">
        <v>860</v>
      </c>
      <c r="B2014" s="84" t="s">
        <v>861</v>
      </c>
      <c r="C2014" s="84"/>
      <c r="D2014" s="300"/>
      <c r="E2014" s="300"/>
      <c r="F2014" s="88" t="s">
        <v>894</v>
      </c>
      <c r="G2014" s="78"/>
      <c r="H2014" s="79"/>
      <c r="I2014" s="287"/>
      <c r="J2014" s="353"/>
      <c r="K2014" s="10">
        <v>1</v>
      </c>
    </row>
    <row r="2015" spans="1:11" ht="37.5" x14ac:dyDescent="0.35">
      <c r="A2015" s="84" t="s">
        <v>860</v>
      </c>
      <c r="B2015" s="84" t="s">
        <v>861</v>
      </c>
      <c r="C2015" s="84"/>
      <c r="D2015" s="300"/>
      <c r="E2015" s="300"/>
      <c r="F2015" s="88" t="s">
        <v>895</v>
      </c>
      <c r="G2015" s="78"/>
      <c r="H2015" s="308"/>
      <c r="I2015" s="301"/>
      <c r="J2015" s="353"/>
      <c r="K2015" s="10">
        <v>1</v>
      </c>
    </row>
    <row r="2016" spans="1:11" x14ac:dyDescent="0.35">
      <c r="A2016" s="84" t="s">
        <v>860</v>
      </c>
      <c r="B2016" s="84" t="s">
        <v>861</v>
      </c>
      <c r="C2016" s="84"/>
      <c r="D2016" s="300"/>
      <c r="E2016" s="300"/>
      <c r="F2016" s="268" t="s">
        <v>896</v>
      </c>
      <c r="G2016" s="78"/>
      <c r="H2016" s="79"/>
      <c r="I2016" s="301"/>
      <c r="J2016" s="353"/>
      <c r="K2016" s="10">
        <v>1</v>
      </c>
    </row>
    <row r="2017" spans="1:11" ht="37.5" x14ac:dyDescent="0.35">
      <c r="A2017" s="84" t="s">
        <v>860</v>
      </c>
      <c r="B2017" s="84" t="s">
        <v>861</v>
      </c>
      <c r="C2017" s="84"/>
      <c r="D2017" s="300" t="s">
        <v>20</v>
      </c>
      <c r="E2017" s="300"/>
      <c r="F2017" s="60" t="s">
        <v>897</v>
      </c>
      <c r="G2017" s="78" t="s">
        <v>175</v>
      </c>
      <c r="H2017" s="79">
        <v>1</v>
      </c>
      <c r="I2017" s="311">
        <v>250000</v>
      </c>
      <c r="J2017" s="353">
        <f>H2017*I2017</f>
        <v>250000</v>
      </c>
      <c r="K2017" s="10">
        <v>1</v>
      </c>
    </row>
  </sheetData>
  <autoFilter ref="A1:N2017" xr:uid="{00000000-0009-0000-0000-000001000000}">
    <filterColumn colId="7" showButton="0"/>
    <filterColumn colId="8" showButton="0"/>
  </autoFilter>
  <pageMargins left="0.70866141732283472" right="0.70866141732283472" top="0.98425196850393704" bottom="0.74803149606299213" header="0.23622047244094491" footer="0.31496062992125984"/>
  <pageSetup paperSize="9" scale="48" fitToHeight="0" orientation="portrait" r:id="rId1"/>
  <headerFooter>
    <oddHeader>&amp;R&amp;"-,Bold"MOGALAKWENA SCHOOLS INFRASTRUCTURE PROJECT
LEPHADIMISHA SECONDARY SCHOOL</oddHeader>
    <oddFooter>&amp;L&amp;F
&amp;A</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052DFB-37D7-40DA-ACA6-6D04DE5EAD0A}">
  <sheetPr>
    <pageSetUpPr fitToPage="1"/>
  </sheetPr>
  <dimension ref="A1:R2017"/>
  <sheetViews>
    <sheetView view="pageBreakPreview" zoomScale="90" zoomScaleNormal="100" zoomScaleSheetLayoutView="90" workbookViewId="0">
      <pane xSplit="2" ySplit="1" topLeftCell="I87" activePane="bottomRight" state="frozen"/>
      <selection pane="topRight" activeCell="C1" sqref="C1"/>
      <selection pane="bottomLeft" activeCell="A2" sqref="A2"/>
      <selection pane="bottomRight" activeCell="Q107" sqref="Q107"/>
    </sheetView>
  </sheetViews>
  <sheetFormatPr defaultColWidth="9.08984375" defaultRowHeight="12.5" x14ac:dyDescent="0.35"/>
  <cols>
    <col min="1" max="1" width="9.36328125" style="356" customWidth="1"/>
    <col min="2" max="2" width="27.90625" style="356" customWidth="1"/>
    <col min="3" max="5" width="23.453125" style="357" customWidth="1"/>
    <col min="6" max="6" width="6.453125" style="356" customWidth="1"/>
    <col min="7" max="7" width="12" style="356" customWidth="1"/>
    <col min="8" max="8" width="60.6328125" style="187" customWidth="1"/>
    <col min="9" max="9" width="6.36328125" style="356" bestFit="1" customWidth="1"/>
    <col min="10" max="10" width="10.453125" style="358" bestFit="1" customWidth="1"/>
    <col min="11" max="11" width="11.90625" style="360" customWidth="1"/>
    <col min="12" max="12" width="14.6328125" style="241" customWidth="1"/>
    <col min="13" max="14" width="10.453125" style="359" bestFit="1" customWidth="1"/>
    <col min="15" max="15" width="11.90625" style="444" customWidth="1"/>
    <col min="16" max="17" width="14.6328125" style="242" customWidth="1"/>
    <col min="18" max="16384" width="9.08984375" style="10"/>
  </cols>
  <sheetData>
    <row r="1" spans="1:18" ht="39" x14ac:dyDescent="0.35">
      <c r="A1" s="1" t="s">
        <v>0</v>
      </c>
      <c r="B1" s="3" t="s">
        <v>1</v>
      </c>
      <c r="C1" s="2" t="s">
        <v>906</v>
      </c>
      <c r="D1" s="2" t="s">
        <v>901</v>
      </c>
      <c r="E1" s="2" t="s">
        <v>2229</v>
      </c>
      <c r="F1" s="1" t="s">
        <v>2</v>
      </c>
      <c r="G1" s="1" t="s">
        <v>3</v>
      </c>
      <c r="H1" s="3" t="s">
        <v>4</v>
      </c>
      <c r="I1" s="4" t="s">
        <v>5</v>
      </c>
      <c r="J1" s="5" t="s">
        <v>6</v>
      </c>
      <c r="K1" s="7" t="s">
        <v>7</v>
      </c>
      <c r="L1" s="8" t="s">
        <v>8</v>
      </c>
      <c r="M1" s="6" t="s">
        <v>902</v>
      </c>
      <c r="N1" s="6" t="s">
        <v>903</v>
      </c>
      <c r="O1" s="401" t="s">
        <v>905</v>
      </c>
      <c r="P1" s="9" t="s">
        <v>904</v>
      </c>
      <c r="Q1" s="9" t="s">
        <v>9</v>
      </c>
    </row>
    <row r="2" spans="1:18" s="20" customFormat="1" x14ac:dyDescent="0.35">
      <c r="A2" s="11" t="s">
        <v>10</v>
      </c>
      <c r="B2" s="163" t="s">
        <v>11</v>
      </c>
      <c r="C2" s="374"/>
      <c r="D2" s="370"/>
      <c r="E2" s="370"/>
      <c r="F2" s="12"/>
      <c r="G2" s="12"/>
      <c r="H2" s="13" t="s">
        <v>12</v>
      </c>
      <c r="I2" s="14"/>
      <c r="J2" s="15"/>
      <c r="K2" s="17"/>
      <c r="L2" s="18"/>
      <c r="M2" s="16"/>
      <c r="N2" s="16"/>
      <c r="O2" s="402"/>
      <c r="P2" s="19"/>
      <c r="Q2" s="19"/>
      <c r="R2" s="21"/>
    </row>
    <row r="3" spans="1:18" s="20" customFormat="1" x14ac:dyDescent="0.35">
      <c r="A3" s="11" t="s">
        <v>10</v>
      </c>
      <c r="B3" s="163" t="s">
        <v>11</v>
      </c>
      <c r="C3" s="374"/>
      <c r="D3" s="370"/>
      <c r="E3" s="370"/>
      <c r="F3" s="12"/>
      <c r="G3" s="22" t="s">
        <v>13</v>
      </c>
      <c r="H3" s="13" t="s">
        <v>14</v>
      </c>
      <c r="I3" s="23"/>
      <c r="J3" s="24"/>
      <c r="K3" s="26"/>
      <c r="L3" s="27"/>
      <c r="M3" s="25"/>
      <c r="N3" s="25"/>
      <c r="O3" s="403"/>
      <c r="P3" s="28"/>
      <c r="Q3" s="28"/>
      <c r="R3" s="21"/>
    </row>
    <row r="4" spans="1:18" s="20" customFormat="1" x14ac:dyDescent="0.35">
      <c r="A4" s="11" t="s">
        <v>10</v>
      </c>
      <c r="B4" s="163" t="s">
        <v>11</v>
      </c>
      <c r="C4" s="374"/>
      <c r="D4" s="370"/>
      <c r="E4" s="370"/>
      <c r="F4" s="12"/>
      <c r="G4" s="12"/>
      <c r="H4" s="13" t="s">
        <v>15</v>
      </c>
      <c r="I4" s="23"/>
      <c r="J4" s="24"/>
      <c r="K4" s="26"/>
      <c r="L4" s="27"/>
      <c r="M4" s="25"/>
      <c r="N4" s="25"/>
      <c r="O4" s="403"/>
      <c r="P4" s="28"/>
      <c r="Q4" s="28"/>
      <c r="R4" s="21"/>
    </row>
    <row r="5" spans="1:18" s="20" customFormat="1" x14ac:dyDescent="0.35">
      <c r="A5" s="11" t="s">
        <v>10</v>
      </c>
      <c r="B5" s="163" t="s">
        <v>11</v>
      </c>
      <c r="C5" s="374"/>
      <c r="D5" s="370"/>
      <c r="E5" s="370"/>
      <c r="F5" s="12"/>
      <c r="G5" s="12"/>
      <c r="H5" s="13" t="s">
        <v>16</v>
      </c>
      <c r="I5" s="23"/>
      <c r="J5" s="24"/>
      <c r="K5" s="26"/>
      <c r="L5" s="27"/>
      <c r="M5" s="25"/>
      <c r="N5" s="25"/>
      <c r="O5" s="403"/>
      <c r="P5" s="28"/>
      <c r="Q5" s="28"/>
      <c r="R5" s="21"/>
    </row>
    <row r="6" spans="1:18" s="20" customFormat="1" x14ac:dyDescent="0.35">
      <c r="A6" s="11" t="s">
        <v>10</v>
      </c>
      <c r="B6" s="163" t="s">
        <v>11</v>
      </c>
      <c r="C6" s="374"/>
      <c r="D6" s="370"/>
      <c r="E6" s="370"/>
      <c r="F6" s="12"/>
      <c r="G6" s="12">
        <v>8.3000000000000007</v>
      </c>
      <c r="H6" s="13" t="s">
        <v>17</v>
      </c>
      <c r="I6" s="23"/>
      <c r="J6" s="24"/>
      <c r="K6" s="26"/>
      <c r="L6" s="27"/>
      <c r="M6" s="25"/>
      <c r="N6" s="25"/>
      <c r="O6" s="403"/>
      <c r="P6" s="28"/>
      <c r="Q6" s="28"/>
      <c r="R6" s="21"/>
    </row>
    <row r="7" spans="1:18" s="20" customFormat="1" x14ac:dyDescent="0.35">
      <c r="A7" s="11" t="s">
        <v>10</v>
      </c>
      <c r="B7" s="163" t="s">
        <v>11</v>
      </c>
      <c r="C7" s="374"/>
      <c r="D7" s="370"/>
      <c r="E7" s="370"/>
      <c r="F7" s="12"/>
      <c r="G7" s="12"/>
      <c r="H7" s="13" t="s">
        <v>18</v>
      </c>
      <c r="I7" s="23"/>
      <c r="J7" s="24"/>
      <c r="K7" s="26"/>
      <c r="L7" s="27"/>
      <c r="M7" s="25"/>
      <c r="N7" s="25"/>
      <c r="O7" s="403"/>
      <c r="P7" s="28"/>
      <c r="Q7" s="28"/>
      <c r="R7" s="21"/>
    </row>
    <row r="8" spans="1:18" s="20" customFormat="1" ht="21" x14ac:dyDescent="0.35">
      <c r="A8" s="11" t="s">
        <v>10</v>
      </c>
      <c r="B8" s="163" t="s">
        <v>11</v>
      </c>
      <c r="C8" s="374"/>
      <c r="D8" s="370"/>
      <c r="E8" s="370"/>
      <c r="F8" s="12"/>
      <c r="G8" s="12"/>
      <c r="H8" s="29" t="s">
        <v>19</v>
      </c>
      <c r="I8" s="23"/>
      <c r="J8" s="24"/>
      <c r="K8" s="26"/>
      <c r="L8" s="27"/>
      <c r="M8" s="25"/>
      <c r="N8" s="25"/>
      <c r="O8" s="403"/>
      <c r="P8" s="28"/>
      <c r="Q8" s="28"/>
      <c r="R8" s="21"/>
    </row>
    <row r="9" spans="1:18" s="20" customFormat="1" x14ac:dyDescent="0.35">
      <c r="A9" s="11" t="s">
        <v>10</v>
      </c>
      <c r="B9" s="163" t="s">
        <v>11</v>
      </c>
      <c r="C9" s="374"/>
      <c r="D9" s="370"/>
      <c r="E9" s="370"/>
      <c r="F9" s="12" t="s">
        <v>20</v>
      </c>
      <c r="G9" s="12" t="s">
        <v>21</v>
      </c>
      <c r="H9" s="30" t="s">
        <v>22</v>
      </c>
      <c r="I9" s="23" t="s">
        <v>23</v>
      </c>
      <c r="J9" s="24">
        <v>1</v>
      </c>
      <c r="K9" s="31">
        <v>500000</v>
      </c>
      <c r="L9" s="27">
        <f>J9*K9</f>
        <v>500000</v>
      </c>
      <c r="M9" s="25">
        <v>1</v>
      </c>
      <c r="N9" s="25">
        <v>1</v>
      </c>
      <c r="O9" s="404">
        <v>500000</v>
      </c>
      <c r="P9" s="28">
        <f>O9*M9</f>
        <v>500000</v>
      </c>
      <c r="Q9" s="28">
        <f>O9*N9</f>
        <v>500000</v>
      </c>
      <c r="R9" s="21"/>
    </row>
    <row r="10" spans="1:18" s="20" customFormat="1" x14ac:dyDescent="0.35">
      <c r="A10" s="11" t="s">
        <v>10</v>
      </c>
      <c r="B10" s="163" t="s">
        <v>11</v>
      </c>
      <c r="C10" s="374"/>
      <c r="D10" s="370"/>
      <c r="E10" s="370"/>
      <c r="F10" s="12"/>
      <c r="G10" s="12" t="s">
        <v>24</v>
      </c>
      <c r="H10" s="32" t="s">
        <v>25</v>
      </c>
      <c r="I10" s="23"/>
      <c r="J10" s="24"/>
      <c r="K10" s="31"/>
      <c r="L10" s="27"/>
      <c r="M10" s="25"/>
      <c r="N10" s="25"/>
      <c r="O10" s="404"/>
      <c r="P10" s="28">
        <f t="shared" ref="P10:P73" si="0">O10*M10</f>
        <v>0</v>
      </c>
      <c r="Q10" s="28">
        <f t="shared" ref="Q10:Q73" si="1">O10*N10</f>
        <v>0</v>
      </c>
      <c r="R10" s="21"/>
    </row>
    <row r="11" spans="1:18" s="20" customFormat="1" x14ac:dyDescent="0.35">
      <c r="A11" s="11" t="s">
        <v>10</v>
      </c>
      <c r="B11" s="163" t="s">
        <v>11</v>
      </c>
      <c r="C11" s="374"/>
      <c r="D11" s="370"/>
      <c r="E11" s="370"/>
      <c r="F11" s="12" t="s">
        <v>26</v>
      </c>
      <c r="G11" s="12" t="s">
        <v>27</v>
      </c>
      <c r="H11" s="30" t="s">
        <v>28</v>
      </c>
      <c r="I11" s="23" t="s">
        <v>23</v>
      </c>
      <c r="J11" s="24">
        <v>1</v>
      </c>
      <c r="K11" s="31">
        <v>30000</v>
      </c>
      <c r="L11" s="27">
        <f>J11*K11</f>
        <v>30000</v>
      </c>
      <c r="M11" s="25">
        <v>1</v>
      </c>
      <c r="N11" s="25">
        <v>1</v>
      </c>
      <c r="O11" s="404">
        <v>30000</v>
      </c>
      <c r="P11" s="28">
        <f t="shared" si="0"/>
        <v>30000</v>
      </c>
      <c r="Q11" s="28">
        <f t="shared" si="1"/>
        <v>30000</v>
      </c>
      <c r="R11" s="21"/>
    </row>
    <row r="12" spans="1:18" s="20" customFormat="1" x14ac:dyDescent="0.35">
      <c r="A12" s="11" t="s">
        <v>10</v>
      </c>
      <c r="B12" s="163" t="s">
        <v>11</v>
      </c>
      <c r="C12" s="374"/>
      <c r="D12" s="370"/>
      <c r="E12" s="370"/>
      <c r="F12" s="12" t="s">
        <v>29</v>
      </c>
      <c r="G12" s="12" t="s">
        <v>30</v>
      </c>
      <c r="H12" s="30" t="s">
        <v>31</v>
      </c>
      <c r="I12" s="23" t="s">
        <v>23</v>
      </c>
      <c r="J12" s="24">
        <v>1</v>
      </c>
      <c r="K12" s="31">
        <v>10000</v>
      </c>
      <c r="L12" s="27">
        <f>J12*K12</f>
        <v>10000</v>
      </c>
      <c r="M12" s="25">
        <v>1</v>
      </c>
      <c r="N12" s="25">
        <v>1</v>
      </c>
      <c r="O12" s="404">
        <v>10000</v>
      </c>
      <c r="P12" s="28">
        <f t="shared" si="0"/>
        <v>10000</v>
      </c>
      <c r="Q12" s="28">
        <f t="shared" si="1"/>
        <v>10000</v>
      </c>
      <c r="R12" s="21"/>
    </row>
    <row r="13" spans="1:18" s="33" customFormat="1" ht="14.5" x14ac:dyDescent="0.35">
      <c r="A13" s="11" t="s">
        <v>10</v>
      </c>
      <c r="B13" s="163" t="s">
        <v>11</v>
      </c>
      <c r="C13" s="374"/>
      <c r="D13" s="377"/>
      <c r="E13" s="377"/>
      <c r="F13" s="12" t="s">
        <v>32</v>
      </c>
      <c r="G13" s="12" t="s">
        <v>33</v>
      </c>
      <c r="H13" s="30" t="s">
        <v>34</v>
      </c>
      <c r="I13" s="23" t="s">
        <v>35</v>
      </c>
      <c r="J13" s="24">
        <v>1</v>
      </c>
      <c r="K13" s="31">
        <v>10000</v>
      </c>
      <c r="L13" s="27">
        <f>K13*J13</f>
        <v>10000</v>
      </c>
      <c r="M13" s="25">
        <v>1</v>
      </c>
      <c r="N13" s="25">
        <v>1</v>
      </c>
      <c r="O13" s="404">
        <v>10000</v>
      </c>
      <c r="P13" s="28">
        <f t="shared" si="0"/>
        <v>10000</v>
      </c>
      <c r="Q13" s="28">
        <f t="shared" si="1"/>
        <v>10000</v>
      </c>
    </row>
    <row r="14" spans="1:18" s="33" customFormat="1" ht="14.5" x14ac:dyDescent="0.35">
      <c r="A14" s="11" t="s">
        <v>10</v>
      </c>
      <c r="B14" s="163" t="s">
        <v>11</v>
      </c>
      <c r="C14" s="374"/>
      <c r="D14" s="377"/>
      <c r="E14" s="377"/>
      <c r="F14" s="12" t="s">
        <v>36</v>
      </c>
      <c r="G14" s="12" t="s">
        <v>37</v>
      </c>
      <c r="H14" s="30" t="s">
        <v>38</v>
      </c>
      <c r="I14" s="23" t="s">
        <v>35</v>
      </c>
      <c r="J14" s="24">
        <v>1</v>
      </c>
      <c r="K14" s="31">
        <v>20000</v>
      </c>
      <c r="L14" s="27">
        <f>K14*J14</f>
        <v>20000</v>
      </c>
      <c r="M14" s="25">
        <v>1</v>
      </c>
      <c r="N14" s="25">
        <v>1</v>
      </c>
      <c r="O14" s="404">
        <v>20000</v>
      </c>
      <c r="P14" s="28">
        <f t="shared" si="0"/>
        <v>20000</v>
      </c>
      <c r="Q14" s="28">
        <f t="shared" si="1"/>
        <v>20000</v>
      </c>
    </row>
    <row r="15" spans="1:18" s="33" customFormat="1" ht="14.5" x14ac:dyDescent="0.35">
      <c r="A15" s="11" t="s">
        <v>10</v>
      </c>
      <c r="B15" s="163" t="s">
        <v>11</v>
      </c>
      <c r="C15" s="374"/>
      <c r="D15" s="377"/>
      <c r="E15" s="377"/>
      <c r="F15" s="12" t="s">
        <v>39</v>
      </c>
      <c r="G15" s="12" t="s">
        <v>40</v>
      </c>
      <c r="H15" s="30" t="s">
        <v>41</v>
      </c>
      <c r="I15" s="23" t="s">
        <v>35</v>
      </c>
      <c r="J15" s="24">
        <v>1</v>
      </c>
      <c r="K15" s="31">
        <v>20000</v>
      </c>
      <c r="L15" s="27">
        <f>K15*J15</f>
        <v>20000</v>
      </c>
      <c r="M15" s="25">
        <v>1</v>
      </c>
      <c r="N15" s="25">
        <v>1</v>
      </c>
      <c r="O15" s="404">
        <v>20000</v>
      </c>
      <c r="P15" s="28">
        <f t="shared" si="0"/>
        <v>20000</v>
      </c>
      <c r="Q15" s="28">
        <f t="shared" si="1"/>
        <v>20000</v>
      </c>
    </row>
    <row r="16" spans="1:18" s="21" customFormat="1" x14ac:dyDescent="0.35">
      <c r="A16" s="11" t="s">
        <v>10</v>
      </c>
      <c r="B16" s="163" t="s">
        <v>11</v>
      </c>
      <c r="C16" s="374"/>
      <c r="D16" s="378"/>
      <c r="E16" s="378"/>
      <c r="F16" s="12" t="s">
        <v>42</v>
      </c>
      <c r="G16" s="12" t="s">
        <v>43</v>
      </c>
      <c r="H16" s="30" t="s">
        <v>44</v>
      </c>
      <c r="I16" s="23" t="s">
        <v>23</v>
      </c>
      <c r="J16" s="24">
        <v>1</v>
      </c>
      <c r="K16" s="31">
        <v>20000</v>
      </c>
      <c r="L16" s="27">
        <f>J16*K16</f>
        <v>20000</v>
      </c>
      <c r="M16" s="25">
        <v>1</v>
      </c>
      <c r="N16" s="25">
        <v>1</v>
      </c>
      <c r="O16" s="404">
        <v>20000</v>
      </c>
      <c r="P16" s="28">
        <f t="shared" si="0"/>
        <v>20000</v>
      </c>
      <c r="Q16" s="28">
        <f t="shared" si="1"/>
        <v>20000</v>
      </c>
    </row>
    <row r="17" spans="1:18" s="21" customFormat="1" x14ac:dyDescent="0.35">
      <c r="A17" s="11" t="s">
        <v>10</v>
      </c>
      <c r="B17" s="163" t="s">
        <v>11</v>
      </c>
      <c r="C17" s="374"/>
      <c r="D17" s="378"/>
      <c r="E17" s="378"/>
      <c r="F17" s="12" t="s">
        <v>45</v>
      </c>
      <c r="G17" s="12" t="s">
        <v>46</v>
      </c>
      <c r="H17" s="30" t="s">
        <v>47</v>
      </c>
      <c r="I17" s="23" t="s">
        <v>23</v>
      </c>
      <c r="J17" s="24">
        <v>1</v>
      </c>
      <c r="K17" s="31">
        <v>15000</v>
      </c>
      <c r="L17" s="27">
        <f>J17*K17</f>
        <v>15000</v>
      </c>
      <c r="M17" s="25">
        <v>1</v>
      </c>
      <c r="N17" s="25">
        <v>1</v>
      </c>
      <c r="O17" s="404">
        <v>15000</v>
      </c>
      <c r="P17" s="28">
        <f t="shared" si="0"/>
        <v>15000</v>
      </c>
      <c r="Q17" s="28">
        <f t="shared" si="1"/>
        <v>15000</v>
      </c>
    </row>
    <row r="18" spans="1:18" s="33" customFormat="1" ht="14.5" x14ac:dyDescent="0.35">
      <c r="A18" s="11" t="s">
        <v>10</v>
      </c>
      <c r="B18" s="163" t="s">
        <v>11</v>
      </c>
      <c r="C18" s="374"/>
      <c r="D18" s="377"/>
      <c r="E18" s="377"/>
      <c r="F18" s="12" t="s">
        <v>48</v>
      </c>
      <c r="G18" s="12" t="s">
        <v>49</v>
      </c>
      <c r="H18" s="30" t="s">
        <v>50</v>
      </c>
      <c r="I18" s="23" t="s">
        <v>23</v>
      </c>
      <c r="J18" s="24">
        <v>1</v>
      </c>
      <c r="K18" s="31">
        <v>25000</v>
      </c>
      <c r="L18" s="27">
        <f>K18*J18</f>
        <v>25000</v>
      </c>
      <c r="M18" s="25">
        <v>1</v>
      </c>
      <c r="N18" s="25">
        <v>1</v>
      </c>
      <c r="O18" s="404">
        <v>25000</v>
      </c>
      <c r="P18" s="28">
        <f t="shared" si="0"/>
        <v>25000</v>
      </c>
      <c r="Q18" s="28">
        <f t="shared" si="1"/>
        <v>25000</v>
      </c>
    </row>
    <row r="19" spans="1:18" s="33" customFormat="1" ht="14.5" x14ac:dyDescent="0.35">
      <c r="A19" s="11" t="s">
        <v>10</v>
      </c>
      <c r="B19" s="163" t="s">
        <v>11</v>
      </c>
      <c r="C19" s="374"/>
      <c r="D19" s="377"/>
      <c r="E19" s="377"/>
      <c r="F19" s="34" t="s">
        <v>51</v>
      </c>
      <c r="G19" s="30"/>
      <c r="H19" s="30" t="s">
        <v>52</v>
      </c>
      <c r="I19" s="23" t="s">
        <v>23</v>
      </c>
      <c r="J19" s="35">
        <v>1</v>
      </c>
      <c r="K19" s="31">
        <v>20000</v>
      </c>
      <c r="L19" s="27">
        <f>K19*J19</f>
        <v>20000</v>
      </c>
      <c r="M19" s="36">
        <v>1</v>
      </c>
      <c r="N19" s="36">
        <v>1</v>
      </c>
      <c r="O19" s="404">
        <v>20000</v>
      </c>
      <c r="P19" s="28">
        <f t="shared" si="0"/>
        <v>20000</v>
      </c>
      <c r="Q19" s="28">
        <f t="shared" si="1"/>
        <v>20000</v>
      </c>
    </row>
    <row r="20" spans="1:18" s="33" customFormat="1" ht="13.75" customHeight="1" x14ac:dyDescent="0.35">
      <c r="A20" s="11" t="s">
        <v>10</v>
      </c>
      <c r="B20" s="163" t="s">
        <v>11</v>
      </c>
      <c r="C20" s="374"/>
      <c r="D20" s="377"/>
      <c r="E20" s="377"/>
      <c r="F20" s="34" t="s">
        <v>53</v>
      </c>
      <c r="G20" s="30"/>
      <c r="H20" s="30" t="s">
        <v>54</v>
      </c>
      <c r="I20" s="23" t="s">
        <v>23</v>
      </c>
      <c r="J20" s="35">
        <v>1</v>
      </c>
      <c r="K20" s="31">
        <v>55933.13</v>
      </c>
      <c r="L20" s="27">
        <f>K20*J20</f>
        <v>55933.13</v>
      </c>
      <c r="M20" s="36">
        <v>1</v>
      </c>
      <c r="N20" s="36">
        <v>1</v>
      </c>
      <c r="O20" s="404">
        <v>55933.13</v>
      </c>
      <c r="P20" s="28">
        <f t="shared" si="0"/>
        <v>55933.13</v>
      </c>
      <c r="Q20" s="28">
        <f t="shared" si="1"/>
        <v>55933.13</v>
      </c>
    </row>
    <row r="21" spans="1:18" s="21" customFormat="1" ht="13.4" customHeight="1" x14ac:dyDescent="0.35">
      <c r="A21" s="11" t="s">
        <v>10</v>
      </c>
      <c r="B21" s="163" t="s">
        <v>11</v>
      </c>
      <c r="C21" s="374"/>
      <c r="D21" s="378"/>
      <c r="E21" s="378"/>
      <c r="F21" s="12" t="s">
        <v>55</v>
      </c>
      <c r="G21" s="12" t="s">
        <v>56</v>
      </c>
      <c r="H21" s="32" t="s">
        <v>57</v>
      </c>
      <c r="I21" s="23" t="s">
        <v>23</v>
      </c>
      <c r="J21" s="24">
        <v>1</v>
      </c>
      <c r="K21" s="31">
        <v>5000</v>
      </c>
      <c r="L21" s="27">
        <f>J21*K21</f>
        <v>5000</v>
      </c>
      <c r="M21" s="25">
        <v>1</v>
      </c>
      <c r="N21" s="25">
        <v>1</v>
      </c>
      <c r="O21" s="404">
        <v>5000</v>
      </c>
      <c r="P21" s="28">
        <f t="shared" si="0"/>
        <v>5000</v>
      </c>
      <c r="Q21" s="28">
        <f t="shared" si="1"/>
        <v>5000</v>
      </c>
    </row>
    <row r="22" spans="1:18" s="21" customFormat="1" ht="16.399999999999999" customHeight="1" x14ac:dyDescent="0.35">
      <c r="A22" s="11" t="s">
        <v>10</v>
      </c>
      <c r="B22" s="163" t="s">
        <v>11</v>
      </c>
      <c r="C22" s="374"/>
      <c r="D22" s="378"/>
      <c r="E22" s="378"/>
      <c r="F22" s="12" t="s">
        <v>58</v>
      </c>
      <c r="G22" s="12" t="s">
        <v>59</v>
      </c>
      <c r="H22" s="30" t="s">
        <v>60</v>
      </c>
      <c r="I22" s="23" t="s">
        <v>23</v>
      </c>
      <c r="J22" s="24">
        <v>1</v>
      </c>
      <c r="K22" s="31">
        <v>15000</v>
      </c>
      <c r="L22" s="27">
        <f>J22*K22</f>
        <v>15000</v>
      </c>
      <c r="M22" s="25">
        <v>1</v>
      </c>
      <c r="N22" s="25">
        <v>1</v>
      </c>
      <c r="O22" s="404">
        <v>15000</v>
      </c>
      <c r="P22" s="28">
        <f t="shared" si="0"/>
        <v>15000</v>
      </c>
      <c r="Q22" s="28">
        <f t="shared" si="1"/>
        <v>15000</v>
      </c>
    </row>
    <row r="23" spans="1:18" s="20" customFormat="1" x14ac:dyDescent="0.35">
      <c r="A23" s="11" t="s">
        <v>10</v>
      </c>
      <c r="B23" s="163" t="s">
        <v>61</v>
      </c>
      <c r="C23" s="374"/>
      <c r="D23" s="370"/>
      <c r="E23" s="370"/>
      <c r="F23" s="12"/>
      <c r="G23" s="37"/>
      <c r="H23" s="13" t="s">
        <v>12</v>
      </c>
      <c r="I23" s="23"/>
      <c r="J23" s="24"/>
      <c r="K23" s="38"/>
      <c r="L23" s="27"/>
      <c r="M23" s="25"/>
      <c r="N23" s="25"/>
      <c r="O23" s="405"/>
      <c r="P23" s="28">
        <f t="shared" si="0"/>
        <v>0</v>
      </c>
      <c r="Q23" s="28">
        <f t="shared" si="1"/>
        <v>0</v>
      </c>
    </row>
    <row r="24" spans="1:18" s="40" customFormat="1" ht="13" x14ac:dyDescent="0.35">
      <c r="A24" s="11" t="s">
        <v>10</v>
      </c>
      <c r="B24" s="163" t="s">
        <v>61</v>
      </c>
      <c r="C24" s="374"/>
      <c r="D24" s="379"/>
      <c r="E24" s="379"/>
      <c r="F24" s="22"/>
      <c r="G24" s="22" t="s">
        <v>13</v>
      </c>
      <c r="H24" s="13" t="s">
        <v>14</v>
      </c>
      <c r="I24" s="14"/>
      <c r="J24" s="15"/>
      <c r="K24" s="39"/>
      <c r="L24" s="18"/>
      <c r="M24" s="16"/>
      <c r="N24" s="16"/>
      <c r="O24" s="406"/>
      <c r="P24" s="19">
        <f t="shared" si="0"/>
        <v>0</v>
      </c>
      <c r="Q24" s="19">
        <f t="shared" si="1"/>
        <v>0</v>
      </c>
      <c r="R24" s="41"/>
    </row>
    <row r="25" spans="1:18" s="20" customFormat="1" x14ac:dyDescent="0.35">
      <c r="A25" s="11" t="s">
        <v>10</v>
      </c>
      <c r="B25" s="163" t="s">
        <v>61</v>
      </c>
      <c r="C25" s="374"/>
      <c r="D25" s="370"/>
      <c r="E25" s="370"/>
      <c r="F25" s="12"/>
      <c r="G25" s="12"/>
      <c r="H25" s="13" t="s">
        <v>15</v>
      </c>
      <c r="I25" s="23"/>
      <c r="J25" s="24"/>
      <c r="K25" s="31"/>
      <c r="L25" s="27"/>
      <c r="M25" s="25"/>
      <c r="N25" s="25"/>
      <c r="O25" s="404"/>
      <c r="P25" s="28">
        <f t="shared" si="0"/>
        <v>0</v>
      </c>
      <c r="Q25" s="28">
        <f t="shared" si="1"/>
        <v>0</v>
      </c>
      <c r="R25" s="21"/>
    </row>
    <row r="26" spans="1:18" s="20" customFormat="1" x14ac:dyDescent="0.35">
      <c r="A26" s="11" t="s">
        <v>10</v>
      </c>
      <c r="B26" s="163" t="s">
        <v>61</v>
      </c>
      <c r="C26" s="374"/>
      <c r="D26" s="370"/>
      <c r="E26" s="370"/>
      <c r="F26" s="12"/>
      <c r="G26" s="12"/>
      <c r="H26" s="13" t="s">
        <v>62</v>
      </c>
      <c r="I26" s="23"/>
      <c r="J26" s="24"/>
      <c r="K26" s="31"/>
      <c r="L26" s="27"/>
      <c r="M26" s="25"/>
      <c r="N26" s="25"/>
      <c r="O26" s="404"/>
      <c r="P26" s="28">
        <f t="shared" si="0"/>
        <v>0</v>
      </c>
      <c r="Q26" s="28">
        <f t="shared" si="1"/>
        <v>0</v>
      </c>
      <c r="R26" s="21"/>
    </row>
    <row r="27" spans="1:18" s="20" customFormat="1" x14ac:dyDescent="0.35">
      <c r="A27" s="11" t="s">
        <v>10</v>
      </c>
      <c r="B27" s="163" t="s">
        <v>61</v>
      </c>
      <c r="C27" s="374"/>
      <c r="D27" s="370"/>
      <c r="E27" s="370"/>
      <c r="F27" s="12"/>
      <c r="G27" s="12">
        <v>8.4</v>
      </c>
      <c r="H27" s="13" t="s">
        <v>63</v>
      </c>
      <c r="I27" s="23"/>
      <c r="J27" s="24"/>
      <c r="K27" s="31"/>
      <c r="L27" s="27"/>
      <c r="M27" s="25"/>
      <c r="N27" s="25"/>
      <c r="O27" s="404"/>
      <c r="P27" s="28">
        <f t="shared" si="0"/>
        <v>0</v>
      </c>
      <c r="Q27" s="28">
        <f t="shared" si="1"/>
        <v>0</v>
      </c>
      <c r="R27" s="21"/>
    </row>
    <row r="28" spans="1:18" s="20" customFormat="1" x14ac:dyDescent="0.35">
      <c r="A28" s="11" t="s">
        <v>10</v>
      </c>
      <c r="B28" s="163" t="s">
        <v>61</v>
      </c>
      <c r="C28" s="374"/>
      <c r="D28" s="370"/>
      <c r="E28" s="370"/>
      <c r="F28" s="12"/>
      <c r="G28" s="12"/>
      <c r="H28" s="13" t="s">
        <v>18</v>
      </c>
      <c r="I28" s="23"/>
      <c r="J28" s="24"/>
      <c r="K28" s="31"/>
      <c r="L28" s="27"/>
      <c r="M28" s="25"/>
      <c r="N28" s="25"/>
      <c r="O28" s="404"/>
      <c r="P28" s="28">
        <f t="shared" si="0"/>
        <v>0</v>
      </c>
      <c r="Q28" s="28">
        <f t="shared" si="1"/>
        <v>0</v>
      </c>
      <c r="R28" s="21"/>
    </row>
    <row r="29" spans="1:18" s="20" customFormat="1" ht="21" x14ac:dyDescent="0.35">
      <c r="A29" s="11" t="s">
        <v>10</v>
      </c>
      <c r="B29" s="163" t="s">
        <v>61</v>
      </c>
      <c r="C29" s="374"/>
      <c r="D29" s="370"/>
      <c r="E29" s="370"/>
      <c r="F29" s="12"/>
      <c r="G29" s="12"/>
      <c r="H29" s="29" t="s">
        <v>19</v>
      </c>
      <c r="I29" s="23"/>
      <c r="J29" s="24"/>
      <c r="K29" s="31"/>
      <c r="L29" s="27"/>
      <c r="M29" s="25"/>
      <c r="N29" s="25"/>
      <c r="O29" s="404"/>
      <c r="P29" s="28">
        <f t="shared" si="0"/>
        <v>0</v>
      </c>
      <c r="Q29" s="28">
        <f t="shared" si="1"/>
        <v>0</v>
      </c>
      <c r="R29" s="21"/>
    </row>
    <row r="30" spans="1:18" s="21" customFormat="1" x14ac:dyDescent="0.35">
      <c r="A30" s="11" t="s">
        <v>10</v>
      </c>
      <c r="B30" s="163" t="s">
        <v>61</v>
      </c>
      <c r="C30" s="374"/>
      <c r="D30" s="378"/>
      <c r="E30" s="378"/>
      <c r="F30" s="12" t="s">
        <v>20</v>
      </c>
      <c r="G30" s="12" t="s">
        <v>64</v>
      </c>
      <c r="H30" s="30" t="s">
        <v>22</v>
      </c>
      <c r="I30" s="23" t="s">
        <v>23</v>
      </c>
      <c r="J30" s="24">
        <v>1</v>
      </c>
      <c r="K30" s="31">
        <v>100000</v>
      </c>
      <c r="L30" s="27">
        <f>J30*K30</f>
        <v>100000</v>
      </c>
      <c r="M30" s="25">
        <v>1</v>
      </c>
      <c r="N30" s="25">
        <v>1</v>
      </c>
      <c r="O30" s="404">
        <v>100000</v>
      </c>
      <c r="P30" s="28">
        <f t="shared" si="0"/>
        <v>100000</v>
      </c>
      <c r="Q30" s="28">
        <f t="shared" si="1"/>
        <v>100000</v>
      </c>
    </row>
    <row r="31" spans="1:18" s="21" customFormat="1" ht="20" x14ac:dyDescent="0.35">
      <c r="A31" s="11" t="s">
        <v>10</v>
      </c>
      <c r="B31" s="163" t="s">
        <v>61</v>
      </c>
      <c r="C31" s="374"/>
      <c r="D31" s="378"/>
      <c r="E31" s="378"/>
      <c r="F31" s="12"/>
      <c r="G31" s="12" t="s">
        <v>65</v>
      </c>
      <c r="H31" s="32" t="s">
        <v>66</v>
      </c>
      <c r="I31" s="23"/>
      <c r="J31" s="24"/>
      <c r="K31" s="31"/>
      <c r="L31" s="27"/>
      <c r="M31" s="25"/>
      <c r="N31" s="25"/>
      <c r="O31" s="404"/>
      <c r="P31" s="28">
        <f t="shared" si="0"/>
        <v>0</v>
      </c>
      <c r="Q31" s="28">
        <f t="shared" si="1"/>
        <v>0</v>
      </c>
    </row>
    <row r="32" spans="1:18" s="21" customFormat="1" x14ac:dyDescent="0.35">
      <c r="A32" s="11" t="s">
        <v>10</v>
      </c>
      <c r="B32" s="163" t="s">
        <v>61</v>
      </c>
      <c r="C32" s="374"/>
      <c r="D32" s="378"/>
      <c r="E32" s="378"/>
      <c r="F32" s="12"/>
      <c r="G32" s="12" t="s">
        <v>67</v>
      </c>
      <c r="H32" s="32" t="s">
        <v>25</v>
      </c>
      <c r="I32" s="23"/>
      <c r="J32" s="24"/>
      <c r="K32" s="31"/>
      <c r="L32" s="27"/>
      <c r="M32" s="25"/>
      <c r="N32" s="25"/>
      <c r="O32" s="404"/>
      <c r="P32" s="28">
        <f t="shared" si="0"/>
        <v>0</v>
      </c>
      <c r="Q32" s="28">
        <f t="shared" si="1"/>
        <v>0</v>
      </c>
    </row>
    <row r="33" spans="1:18" s="21" customFormat="1" x14ac:dyDescent="0.35">
      <c r="A33" s="11" t="s">
        <v>10</v>
      </c>
      <c r="B33" s="163" t="s">
        <v>61</v>
      </c>
      <c r="C33" s="374"/>
      <c r="D33" s="378"/>
      <c r="E33" s="378"/>
      <c r="F33" s="12" t="s">
        <v>26</v>
      </c>
      <c r="G33" s="12" t="s">
        <v>68</v>
      </c>
      <c r="H33" s="30" t="s">
        <v>28</v>
      </c>
      <c r="I33" s="23" t="s">
        <v>23</v>
      </c>
      <c r="J33" s="24">
        <v>1</v>
      </c>
      <c r="K33" s="31">
        <v>30000</v>
      </c>
      <c r="L33" s="27">
        <f>J33*K33</f>
        <v>30000</v>
      </c>
      <c r="M33" s="25">
        <v>1</v>
      </c>
      <c r="N33" s="25">
        <v>1</v>
      </c>
      <c r="O33" s="404">
        <v>30000</v>
      </c>
      <c r="P33" s="28">
        <f t="shared" si="0"/>
        <v>30000</v>
      </c>
      <c r="Q33" s="28">
        <f t="shared" si="1"/>
        <v>30000</v>
      </c>
    </row>
    <row r="34" spans="1:18" s="21" customFormat="1" x14ac:dyDescent="0.35">
      <c r="A34" s="11" t="s">
        <v>10</v>
      </c>
      <c r="B34" s="163" t="s">
        <v>61</v>
      </c>
      <c r="C34" s="374"/>
      <c r="D34" s="378"/>
      <c r="E34" s="378"/>
      <c r="F34" s="12" t="s">
        <v>29</v>
      </c>
      <c r="G34" s="12" t="s">
        <v>69</v>
      </c>
      <c r="H34" s="30" t="s">
        <v>31</v>
      </c>
      <c r="I34" s="23" t="s">
        <v>23</v>
      </c>
      <c r="J34" s="24">
        <v>1</v>
      </c>
      <c r="K34" s="31">
        <v>15000</v>
      </c>
      <c r="L34" s="27">
        <f>J34*K34</f>
        <v>15000</v>
      </c>
      <c r="M34" s="25">
        <v>1</v>
      </c>
      <c r="N34" s="25">
        <v>1</v>
      </c>
      <c r="O34" s="404">
        <v>15000</v>
      </c>
      <c r="P34" s="28">
        <f t="shared" si="0"/>
        <v>15000</v>
      </c>
      <c r="Q34" s="28">
        <f t="shared" si="1"/>
        <v>15000</v>
      </c>
    </row>
    <row r="35" spans="1:18" s="21" customFormat="1" x14ac:dyDescent="0.35">
      <c r="A35" s="11" t="s">
        <v>10</v>
      </c>
      <c r="B35" s="163" t="s">
        <v>61</v>
      </c>
      <c r="C35" s="374"/>
      <c r="D35" s="378"/>
      <c r="E35" s="378"/>
      <c r="F35" s="12" t="s">
        <v>32</v>
      </c>
      <c r="G35" s="12" t="s">
        <v>70</v>
      </c>
      <c r="H35" s="30" t="s">
        <v>71</v>
      </c>
      <c r="I35" s="23" t="s">
        <v>23</v>
      </c>
      <c r="J35" s="24">
        <v>1</v>
      </c>
      <c r="K35" s="31">
        <v>15000</v>
      </c>
      <c r="L35" s="27">
        <f>J35*K35</f>
        <v>15000</v>
      </c>
      <c r="M35" s="25">
        <v>1</v>
      </c>
      <c r="N35" s="25">
        <v>1</v>
      </c>
      <c r="O35" s="404">
        <v>15000</v>
      </c>
      <c r="P35" s="28">
        <f t="shared" si="0"/>
        <v>15000</v>
      </c>
      <c r="Q35" s="28">
        <f t="shared" si="1"/>
        <v>15000</v>
      </c>
    </row>
    <row r="36" spans="1:18" s="21" customFormat="1" x14ac:dyDescent="0.35">
      <c r="A36" s="11" t="s">
        <v>10</v>
      </c>
      <c r="B36" s="163" t="s">
        <v>61</v>
      </c>
      <c r="C36" s="374"/>
      <c r="D36" s="378"/>
      <c r="E36" s="378"/>
      <c r="F36" s="12" t="s">
        <v>36</v>
      </c>
      <c r="G36" s="12" t="s">
        <v>72</v>
      </c>
      <c r="H36" s="30" t="s">
        <v>73</v>
      </c>
      <c r="I36" s="23" t="s">
        <v>23</v>
      </c>
      <c r="J36" s="24">
        <v>1</v>
      </c>
      <c r="K36" s="31">
        <v>30000</v>
      </c>
      <c r="L36" s="27">
        <f>J36*K36</f>
        <v>30000</v>
      </c>
      <c r="M36" s="25">
        <v>1</v>
      </c>
      <c r="N36" s="25">
        <v>1</v>
      </c>
      <c r="O36" s="404">
        <v>30000</v>
      </c>
      <c r="P36" s="28">
        <f t="shared" si="0"/>
        <v>30000</v>
      </c>
      <c r="Q36" s="28">
        <f t="shared" si="1"/>
        <v>30000</v>
      </c>
    </row>
    <row r="37" spans="1:18" s="21" customFormat="1" x14ac:dyDescent="0.35">
      <c r="A37" s="11" t="s">
        <v>10</v>
      </c>
      <c r="B37" s="163" t="s">
        <v>61</v>
      </c>
      <c r="C37" s="374"/>
      <c r="D37" s="378"/>
      <c r="E37" s="378"/>
      <c r="F37" s="12" t="s">
        <v>39</v>
      </c>
      <c r="G37" s="12" t="s">
        <v>74</v>
      </c>
      <c r="H37" s="30" t="s">
        <v>75</v>
      </c>
      <c r="I37" s="23" t="s">
        <v>23</v>
      </c>
      <c r="J37" s="24">
        <v>1</v>
      </c>
      <c r="K37" s="31">
        <v>30000</v>
      </c>
      <c r="L37" s="27">
        <f>J37*K37</f>
        <v>30000</v>
      </c>
      <c r="M37" s="25">
        <v>1</v>
      </c>
      <c r="N37" s="25">
        <v>1</v>
      </c>
      <c r="O37" s="404">
        <v>30000</v>
      </c>
      <c r="P37" s="28">
        <f t="shared" si="0"/>
        <v>30000</v>
      </c>
      <c r="Q37" s="28">
        <f t="shared" si="1"/>
        <v>30000</v>
      </c>
    </row>
    <row r="38" spans="1:18" s="21" customFormat="1" x14ac:dyDescent="0.35">
      <c r="A38" s="11" t="s">
        <v>10</v>
      </c>
      <c r="B38" s="163" t="s">
        <v>61</v>
      </c>
      <c r="C38" s="374"/>
      <c r="D38" s="378"/>
      <c r="E38" s="378"/>
      <c r="F38" s="12" t="s">
        <v>42</v>
      </c>
      <c r="G38" s="12" t="s">
        <v>76</v>
      </c>
      <c r="H38" s="30" t="s">
        <v>44</v>
      </c>
      <c r="I38" s="23" t="s">
        <v>23</v>
      </c>
      <c r="J38" s="24">
        <v>1</v>
      </c>
      <c r="K38" s="31">
        <v>20000</v>
      </c>
      <c r="L38" s="27">
        <f>J38*K38</f>
        <v>20000</v>
      </c>
      <c r="M38" s="25">
        <v>1</v>
      </c>
      <c r="N38" s="25">
        <v>1</v>
      </c>
      <c r="O38" s="404">
        <v>20000</v>
      </c>
      <c r="P38" s="28">
        <f t="shared" si="0"/>
        <v>20000</v>
      </c>
      <c r="Q38" s="28">
        <f t="shared" si="1"/>
        <v>20000</v>
      </c>
    </row>
    <row r="39" spans="1:18" s="21" customFormat="1" x14ac:dyDescent="0.35">
      <c r="A39" s="11" t="s">
        <v>10</v>
      </c>
      <c r="B39" s="163" t="s">
        <v>61</v>
      </c>
      <c r="C39" s="374"/>
      <c r="D39" s="378"/>
      <c r="E39" s="378"/>
      <c r="F39" s="12" t="s">
        <v>45</v>
      </c>
      <c r="G39" s="12" t="s">
        <v>77</v>
      </c>
      <c r="H39" s="30" t="s">
        <v>47</v>
      </c>
      <c r="I39" s="23" t="s">
        <v>23</v>
      </c>
      <c r="J39" s="24">
        <v>1</v>
      </c>
      <c r="K39" s="31">
        <v>20000</v>
      </c>
      <c r="L39" s="27">
        <f>J39*K39</f>
        <v>20000</v>
      </c>
      <c r="M39" s="25">
        <v>1</v>
      </c>
      <c r="N39" s="25">
        <v>1</v>
      </c>
      <c r="O39" s="404">
        <v>20000</v>
      </c>
      <c r="P39" s="28">
        <f t="shared" si="0"/>
        <v>20000</v>
      </c>
      <c r="Q39" s="28">
        <f t="shared" si="1"/>
        <v>20000</v>
      </c>
    </row>
    <row r="40" spans="1:18" s="21" customFormat="1" x14ac:dyDescent="0.35">
      <c r="A40" s="11" t="s">
        <v>10</v>
      </c>
      <c r="B40" s="163" t="s">
        <v>61</v>
      </c>
      <c r="C40" s="374"/>
      <c r="D40" s="378"/>
      <c r="E40" s="378"/>
      <c r="F40" s="12" t="s">
        <v>48</v>
      </c>
      <c r="G40" s="12" t="s">
        <v>78</v>
      </c>
      <c r="H40" s="30" t="s">
        <v>79</v>
      </c>
      <c r="I40" s="23" t="s">
        <v>23</v>
      </c>
      <c r="J40" s="24">
        <v>1</v>
      </c>
      <c r="K40" s="31">
        <v>60000</v>
      </c>
      <c r="L40" s="27">
        <f>J40*K40</f>
        <v>60000</v>
      </c>
      <c r="M40" s="25">
        <v>1</v>
      </c>
      <c r="N40" s="25">
        <v>1</v>
      </c>
      <c r="O40" s="404">
        <v>60000</v>
      </c>
      <c r="P40" s="28">
        <f t="shared" si="0"/>
        <v>60000</v>
      </c>
      <c r="Q40" s="28">
        <f t="shared" si="1"/>
        <v>60000</v>
      </c>
    </row>
    <row r="41" spans="1:18" s="21" customFormat="1" x14ac:dyDescent="0.35">
      <c r="A41" s="11" t="s">
        <v>10</v>
      </c>
      <c r="B41" s="163" t="s">
        <v>61</v>
      </c>
      <c r="C41" s="374"/>
      <c r="D41" s="378"/>
      <c r="E41" s="378"/>
      <c r="F41" s="12" t="s">
        <v>51</v>
      </c>
      <c r="G41" s="12" t="s">
        <v>80</v>
      </c>
      <c r="H41" s="30" t="s">
        <v>81</v>
      </c>
      <c r="I41" s="23" t="s">
        <v>23</v>
      </c>
      <c r="J41" s="24">
        <v>1</v>
      </c>
      <c r="K41" s="31">
        <v>120000</v>
      </c>
      <c r="L41" s="27">
        <f>J41*K41</f>
        <v>120000</v>
      </c>
      <c r="M41" s="25">
        <v>1</v>
      </c>
      <c r="N41" s="25">
        <v>1</v>
      </c>
      <c r="O41" s="404">
        <v>120000</v>
      </c>
      <c r="P41" s="28">
        <f t="shared" si="0"/>
        <v>120000</v>
      </c>
      <c r="Q41" s="28">
        <f t="shared" si="1"/>
        <v>120000</v>
      </c>
    </row>
    <row r="42" spans="1:18" s="21" customFormat="1" x14ac:dyDescent="0.35">
      <c r="A42" s="11" t="s">
        <v>10</v>
      </c>
      <c r="B42" s="163" t="s">
        <v>61</v>
      </c>
      <c r="C42" s="374"/>
      <c r="D42" s="378"/>
      <c r="E42" s="378"/>
      <c r="F42" s="12" t="s">
        <v>53</v>
      </c>
      <c r="G42" s="12" t="s">
        <v>82</v>
      </c>
      <c r="H42" s="30" t="s">
        <v>83</v>
      </c>
      <c r="I42" s="23" t="s">
        <v>23</v>
      </c>
      <c r="J42" s="24">
        <v>1</v>
      </c>
      <c r="K42" s="31">
        <v>24000</v>
      </c>
      <c r="L42" s="27">
        <f>J42*K42</f>
        <v>24000</v>
      </c>
      <c r="M42" s="25">
        <v>1</v>
      </c>
      <c r="N42" s="25">
        <v>1</v>
      </c>
      <c r="O42" s="404">
        <v>24000</v>
      </c>
      <c r="P42" s="28">
        <f t="shared" si="0"/>
        <v>24000</v>
      </c>
      <c r="Q42" s="28">
        <f t="shared" si="1"/>
        <v>24000</v>
      </c>
    </row>
    <row r="43" spans="1:18" s="33" customFormat="1" ht="14.5" x14ac:dyDescent="0.35">
      <c r="A43" s="11" t="s">
        <v>10</v>
      </c>
      <c r="B43" s="163" t="s">
        <v>61</v>
      </c>
      <c r="C43" s="374"/>
      <c r="D43" s="377"/>
      <c r="E43" s="377"/>
      <c r="F43" s="12" t="s">
        <v>55</v>
      </c>
      <c r="G43" s="12"/>
      <c r="H43" s="30" t="s">
        <v>84</v>
      </c>
      <c r="I43" s="23" t="s">
        <v>35</v>
      </c>
      <c r="J43" s="24">
        <v>1</v>
      </c>
      <c r="K43" s="31">
        <v>200000</v>
      </c>
      <c r="L43" s="27">
        <f>K43*J43</f>
        <v>200000</v>
      </c>
      <c r="M43" s="25">
        <v>1</v>
      </c>
      <c r="N43" s="25">
        <v>1</v>
      </c>
      <c r="O43" s="404">
        <v>200000</v>
      </c>
      <c r="P43" s="28">
        <f t="shared" si="0"/>
        <v>200000</v>
      </c>
      <c r="Q43" s="28">
        <f t="shared" si="1"/>
        <v>200000</v>
      </c>
    </row>
    <row r="44" spans="1:18" s="21" customFormat="1" x14ac:dyDescent="0.35">
      <c r="A44" s="11" t="s">
        <v>10</v>
      </c>
      <c r="B44" s="163" t="s">
        <v>61</v>
      </c>
      <c r="C44" s="374"/>
      <c r="D44" s="378"/>
      <c r="E44" s="378"/>
      <c r="F44" s="12" t="s">
        <v>58</v>
      </c>
      <c r="G44" s="12" t="s">
        <v>85</v>
      </c>
      <c r="H44" s="30" t="s">
        <v>86</v>
      </c>
      <c r="I44" s="23" t="s">
        <v>23</v>
      </c>
      <c r="J44" s="24">
        <v>1</v>
      </c>
      <c r="K44" s="31">
        <v>10000</v>
      </c>
      <c r="L44" s="27">
        <f>J44*K44</f>
        <v>10000</v>
      </c>
      <c r="M44" s="25">
        <v>1</v>
      </c>
      <c r="N44" s="25">
        <v>1</v>
      </c>
      <c r="O44" s="404">
        <v>10000</v>
      </c>
      <c r="P44" s="28">
        <f t="shared" si="0"/>
        <v>10000</v>
      </c>
      <c r="Q44" s="28">
        <f t="shared" si="1"/>
        <v>10000</v>
      </c>
    </row>
    <row r="45" spans="1:18" s="21" customFormat="1" x14ac:dyDescent="0.35">
      <c r="A45" s="11" t="s">
        <v>10</v>
      </c>
      <c r="B45" s="163" t="s">
        <v>61</v>
      </c>
      <c r="C45" s="374"/>
      <c r="D45" s="378"/>
      <c r="E45" s="378"/>
      <c r="F45" s="12" t="s">
        <v>87</v>
      </c>
      <c r="G45" s="12" t="s">
        <v>88</v>
      </c>
      <c r="H45" s="30" t="s">
        <v>89</v>
      </c>
      <c r="I45" s="23" t="s">
        <v>23</v>
      </c>
      <c r="J45" s="24">
        <v>1</v>
      </c>
      <c r="K45" s="31">
        <v>60000</v>
      </c>
      <c r="L45" s="27">
        <f>J45*K45</f>
        <v>60000</v>
      </c>
      <c r="M45" s="25">
        <v>1</v>
      </c>
      <c r="N45" s="25">
        <v>1</v>
      </c>
      <c r="O45" s="404">
        <v>60000</v>
      </c>
      <c r="P45" s="28">
        <f t="shared" si="0"/>
        <v>60000</v>
      </c>
      <c r="Q45" s="28">
        <f t="shared" si="1"/>
        <v>60000</v>
      </c>
    </row>
    <row r="46" spans="1:18" s="20" customFormat="1" x14ac:dyDescent="0.35">
      <c r="A46" s="11" t="s">
        <v>10</v>
      </c>
      <c r="B46" s="163" t="s">
        <v>61</v>
      </c>
      <c r="C46" s="374"/>
      <c r="D46" s="370"/>
      <c r="E46" s="370"/>
      <c r="F46" s="12" t="s">
        <v>90</v>
      </c>
      <c r="G46" s="12" t="s">
        <v>91</v>
      </c>
      <c r="H46" s="30" t="s">
        <v>92</v>
      </c>
      <c r="I46" s="23" t="s">
        <v>23</v>
      </c>
      <c r="J46" s="24">
        <v>1</v>
      </c>
      <c r="K46" s="31">
        <v>100000</v>
      </c>
      <c r="L46" s="27">
        <f>J46*K46</f>
        <v>100000</v>
      </c>
      <c r="M46" s="25">
        <v>1</v>
      </c>
      <c r="N46" s="25">
        <v>1</v>
      </c>
      <c r="O46" s="404">
        <v>100000</v>
      </c>
      <c r="P46" s="28">
        <f t="shared" si="0"/>
        <v>100000</v>
      </c>
      <c r="Q46" s="28">
        <f t="shared" si="1"/>
        <v>100000</v>
      </c>
      <c r="R46" s="21"/>
    </row>
    <row r="47" spans="1:18" ht="13" x14ac:dyDescent="0.35">
      <c r="A47" s="11" t="s">
        <v>93</v>
      </c>
      <c r="B47" s="163" t="s">
        <v>94</v>
      </c>
      <c r="C47" s="284"/>
      <c r="D47" s="284"/>
      <c r="E47" s="284"/>
      <c r="F47" s="11"/>
      <c r="G47" s="11"/>
      <c r="H47" s="43" t="s">
        <v>95</v>
      </c>
      <c r="I47" s="44"/>
      <c r="J47" s="45"/>
      <c r="K47" s="47"/>
      <c r="L47" s="48"/>
      <c r="M47" s="46"/>
      <c r="N47" s="46"/>
      <c r="O47" s="407"/>
      <c r="P47" s="49">
        <f t="shared" si="0"/>
        <v>0</v>
      </c>
      <c r="Q47" s="49">
        <f t="shared" si="1"/>
        <v>0</v>
      </c>
    </row>
    <row r="48" spans="1:18" ht="13" x14ac:dyDescent="0.35">
      <c r="A48" s="11" t="s">
        <v>93</v>
      </c>
      <c r="B48" s="163" t="s">
        <v>94</v>
      </c>
      <c r="C48" s="284"/>
      <c r="D48" s="284"/>
      <c r="E48" s="284"/>
      <c r="F48" s="11"/>
      <c r="G48" s="11"/>
      <c r="H48" s="43" t="s">
        <v>96</v>
      </c>
      <c r="I48" s="44"/>
      <c r="J48" s="45"/>
      <c r="K48" s="47"/>
      <c r="L48" s="48"/>
      <c r="M48" s="46"/>
      <c r="N48" s="46"/>
      <c r="O48" s="407"/>
      <c r="P48" s="49">
        <f t="shared" si="0"/>
        <v>0</v>
      </c>
      <c r="Q48" s="49">
        <f t="shared" si="1"/>
        <v>0</v>
      </c>
    </row>
    <row r="49" spans="1:17" ht="13" x14ac:dyDescent="0.35">
      <c r="A49" s="11" t="s">
        <v>93</v>
      </c>
      <c r="B49" s="163" t="s">
        <v>94</v>
      </c>
      <c r="C49" s="284"/>
      <c r="D49" s="284"/>
      <c r="E49" s="284"/>
      <c r="F49" s="11"/>
      <c r="G49" s="11"/>
      <c r="H49" s="43" t="s">
        <v>97</v>
      </c>
      <c r="I49" s="44"/>
      <c r="J49" s="45"/>
      <c r="K49" s="47"/>
      <c r="L49" s="48"/>
      <c r="M49" s="46"/>
      <c r="N49" s="46"/>
      <c r="O49" s="407"/>
      <c r="P49" s="49">
        <f t="shared" si="0"/>
        <v>0</v>
      </c>
      <c r="Q49" s="49">
        <f t="shared" si="1"/>
        <v>0</v>
      </c>
    </row>
    <row r="50" spans="1:17" ht="13" x14ac:dyDescent="0.35">
      <c r="A50" s="50" t="s">
        <v>93</v>
      </c>
      <c r="B50" s="163" t="s">
        <v>94</v>
      </c>
      <c r="C50" s="284"/>
      <c r="D50" s="361"/>
      <c r="E50" s="361"/>
      <c r="F50" s="50"/>
      <c r="G50" s="50" t="s">
        <v>98</v>
      </c>
      <c r="H50" s="43" t="s">
        <v>99</v>
      </c>
      <c r="I50" s="51"/>
      <c r="J50" s="52"/>
      <c r="K50" s="54"/>
      <c r="L50" s="55"/>
      <c r="M50" s="53"/>
      <c r="N50" s="53"/>
      <c r="O50" s="408"/>
      <c r="P50" s="56">
        <f t="shared" si="0"/>
        <v>0</v>
      </c>
      <c r="Q50" s="56">
        <f t="shared" si="1"/>
        <v>0</v>
      </c>
    </row>
    <row r="51" spans="1:17" ht="13" x14ac:dyDescent="0.35">
      <c r="A51" s="11" t="s">
        <v>93</v>
      </c>
      <c r="B51" s="163" t="s">
        <v>94</v>
      </c>
      <c r="C51" s="284"/>
      <c r="D51" s="284"/>
      <c r="E51" s="284"/>
      <c r="F51" s="11"/>
      <c r="G51" s="11"/>
      <c r="H51" s="57" t="s">
        <v>100</v>
      </c>
      <c r="I51" s="44"/>
      <c r="J51" s="58"/>
      <c r="K51" s="47"/>
      <c r="L51" s="48"/>
      <c r="M51" s="59"/>
      <c r="N51" s="59"/>
      <c r="O51" s="407"/>
      <c r="P51" s="49">
        <f t="shared" si="0"/>
        <v>0</v>
      </c>
      <c r="Q51" s="49">
        <f t="shared" si="1"/>
        <v>0</v>
      </c>
    </row>
    <row r="52" spans="1:17" x14ac:dyDescent="0.35">
      <c r="A52" s="11" t="s">
        <v>93</v>
      </c>
      <c r="B52" s="163" t="s">
        <v>94</v>
      </c>
      <c r="C52" s="284"/>
      <c r="D52" s="284"/>
      <c r="E52" s="284"/>
      <c r="F52" s="11"/>
      <c r="G52" s="11"/>
      <c r="H52" s="60" t="s">
        <v>101</v>
      </c>
      <c r="I52" s="44"/>
      <c r="J52" s="58"/>
      <c r="K52" s="47"/>
      <c r="L52" s="48"/>
      <c r="M52" s="59"/>
      <c r="N52" s="59"/>
      <c r="O52" s="407"/>
      <c r="P52" s="49">
        <f t="shared" si="0"/>
        <v>0</v>
      </c>
      <c r="Q52" s="49">
        <f t="shared" si="1"/>
        <v>0</v>
      </c>
    </row>
    <row r="53" spans="1:17" ht="13" x14ac:dyDescent="0.35">
      <c r="A53" s="11" t="s">
        <v>93</v>
      </c>
      <c r="B53" s="163" t="s">
        <v>94</v>
      </c>
      <c r="C53" s="284"/>
      <c r="D53" s="284"/>
      <c r="E53" s="284"/>
      <c r="F53" s="11"/>
      <c r="G53" s="11"/>
      <c r="H53" s="57" t="s">
        <v>102</v>
      </c>
      <c r="I53" s="44"/>
      <c r="J53" s="58"/>
      <c r="K53" s="47"/>
      <c r="L53" s="48"/>
      <c r="M53" s="59"/>
      <c r="N53" s="59"/>
      <c r="O53" s="407"/>
      <c r="P53" s="49">
        <f t="shared" si="0"/>
        <v>0</v>
      </c>
      <c r="Q53" s="49">
        <f t="shared" si="1"/>
        <v>0</v>
      </c>
    </row>
    <row r="54" spans="1:17" ht="13" x14ac:dyDescent="0.35">
      <c r="A54" s="11" t="s">
        <v>93</v>
      </c>
      <c r="B54" s="163" t="s">
        <v>94</v>
      </c>
      <c r="C54" s="284"/>
      <c r="D54" s="284"/>
      <c r="E54" s="284"/>
      <c r="F54" s="11"/>
      <c r="G54" s="11"/>
      <c r="H54" s="57" t="s">
        <v>103</v>
      </c>
      <c r="I54" s="44"/>
      <c r="J54" s="58"/>
      <c r="K54" s="47"/>
      <c r="L54" s="48"/>
      <c r="M54" s="59"/>
      <c r="N54" s="59"/>
      <c r="O54" s="407"/>
      <c r="P54" s="49">
        <f t="shared" si="0"/>
        <v>0</v>
      </c>
      <c r="Q54" s="49">
        <f t="shared" si="1"/>
        <v>0</v>
      </c>
    </row>
    <row r="55" spans="1:17" ht="37.5" x14ac:dyDescent="0.35">
      <c r="A55" s="11" t="s">
        <v>93</v>
      </c>
      <c r="B55" s="163" t="s">
        <v>94</v>
      </c>
      <c r="C55" s="284"/>
      <c r="D55" s="284"/>
      <c r="E55" s="284"/>
      <c r="F55" s="11"/>
      <c r="G55" s="11"/>
      <c r="H55" s="60" t="s">
        <v>104</v>
      </c>
      <c r="I55" s="44"/>
      <c r="J55" s="58"/>
      <c r="K55" s="47"/>
      <c r="L55" s="48"/>
      <c r="M55" s="59"/>
      <c r="N55" s="59"/>
      <c r="O55" s="407"/>
      <c r="P55" s="49">
        <f t="shared" si="0"/>
        <v>0</v>
      </c>
      <c r="Q55" s="49">
        <f t="shared" si="1"/>
        <v>0</v>
      </c>
    </row>
    <row r="56" spans="1:17" ht="13" x14ac:dyDescent="0.35">
      <c r="A56" s="11" t="s">
        <v>93</v>
      </c>
      <c r="B56" s="163" t="s">
        <v>94</v>
      </c>
      <c r="C56" s="284"/>
      <c r="D56" s="284"/>
      <c r="E56" s="284"/>
      <c r="F56" s="11"/>
      <c r="G56" s="61" t="s">
        <v>105</v>
      </c>
      <c r="H56" s="57" t="s">
        <v>106</v>
      </c>
      <c r="I56" s="44"/>
      <c r="J56" s="58"/>
      <c r="K56" s="47"/>
      <c r="L56" s="48"/>
      <c r="M56" s="59"/>
      <c r="N56" s="59"/>
      <c r="O56" s="407"/>
      <c r="P56" s="49">
        <f t="shared" si="0"/>
        <v>0</v>
      </c>
      <c r="Q56" s="49">
        <f t="shared" si="1"/>
        <v>0</v>
      </c>
    </row>
    <row r="57" spans="1:17" x14ac:dyDescent="0.35">
      <c r="A57" s="11" t="s">
        <v>93</v>
      </c>
      <c r="B57" s="163" t="s">
        <v>94</v>
      </c>
      <c r="C57" s="284"/>
      <c r="D57" s="284"/>
      <c r="E57" s="284"/>
      <c r="F57" s="11"/>
      <c r="G57" s="11" t="s">
        <v>21</v>
      </c>
      <c r="H57" s="62" t="s">
        <v>107</v>
      </c>
      <c r="I57" s="44"/>
      <c r="J57" s="58"/>
      <c r="K57" s="47"/>
      <c r="L57" s="48"/>
      <c r="M57" s="59"/>
      <c r="N57" s="59"/>
      <c r="O57" s="407"/>
      <c r="P57" s="49">
        <f t="shared" si="0"/>
        <v>0</v>
      </c>
      <c r="Q57" s="49">
        <f t="shared" si="1"/>
        <v>0</v>
      </c>
    </row>
    <row r="58" spans="1:17" ht="25" x14ac:dyDescent="0.35">
      <c r="A58" s="11" t="s">
        <v>93</v>
      </c>
      <c r="B58" s="163" t="s">
        <v>94</v>
      </c>
      <c r="C58" s="284"/>
      <c r="D58" s="284"/>
      <c r="E58" s="284"/>
      <c r="F58" s="11" t="s">
        <v>20</v>
      </c>
      <c r="G58" s="11" t="s">
        <v>108</v>
      </c>
      <c r="H58" s="60" t="s">
        <v>109</v>
      </c>
      <c r="I58" s="44" t="s">
        <v>110</v>
      </c>
      <c r="J58" s="58">
        <v>307</v>
      </c>
      <c r="K58" s="47">
        <v>25</v>
      </c>
      <c r="L58" s="48">
        <f>K58*J58</f>
        <v>7675</v>
      </c>
      <c r="M58" s="59">
        <v>307</v>
      </c>
      <c r="N58" s="59">
        <v>307</v>
      </c>
      <c r="O58" s="407">
        <v>25</v>
      </c>
      <c r="P58" s="49">
        <f t="shared" si="0"/>
        <v>7675</v>
      </c>
      <c r="Q58" s="49">
        <f t="shared" si="1"/>
        <v>7675</v>
      </c>
    </row>
    <row r="59" spans="1:17" ht="14.5" x14ac:dyDescent="0.35">
      <c r="A59" s="11" t="s">
        <v>93</v>
      </c>
      <c r="B59" s="163" t="s">
        <v>94</v>
      </c>
      <c r="C59" s="284"/>
      <c r="D59" s="284"/>
      <c r="E59" s="284"/>
      <c r="F59" s="11" t="s">
        <v>26</v>
      </c>
      <c r="G59" s="11" t="s">
        <v>111</v>
      </c>
      <c r="H59" s="60" t="s">
        <v>112</v>
      </c>
      <c r="I59" s="44" t="s">
        <v>110</v>
      </c>
      <c r="J59" s="58">
        <f>J58</f>
        <v>307</v>
      </c>
      <c r="K59" s="47">
        <v>65</v>
      </c>
      <c r="L59" s="48">
        <f>K59*J59</f>
        <v>19955</v>
      </c>
      <c r="M59" s="59">
        <f>M58</f>
        <v>307</v>
      </c>
      <c r="N59" s="59">
        <f>N58</f>
        <v>307</v>
      </c>
      <c r="O59" s="407">
        <v>65</v>
      </c>
      <c r="P59" s="49">
        <f t="shared" si="0"/>
        <v>19955</v>
      </c>
      <c r="Q59" s="49">
        <f t="shared" si="1"/>
        <v>19955</v>
      </c>
    </row>
    <row r="60" spans="1:17" ht="13" x14ac:dyDescent="0.35">
      <c r="A60" s="11" t="s">
        <v>93</v>
      </c>
      <c r="B60" s="163" t="s">
        <v>94</v>
      </c>
      <c r="C60" s="284"/>
      <c r="D60" s="284"/>
      <c r="E60" s="284"/>
      <c r="F60" s="11"/>
      <c r="G60" s="11"/>
      <c r="H60" s="57" t="s">
        <v>113</v>
      </c>
      <c r="I60" s="44"/>
      <c r="J60" s="58"/>
      <c r="K60" s="47"/>
      <c r="L60" s="48"/>
      <c r="M60" s="59"/>
      <c r="N60" s="59"/>
      <c r="O60" s="407"/>
      <c r="P60" s="49">
        <f t="shared" si="0"/>
        <v>0</v>
      </c>
      <c r="Q60" s="49">
        <f t="shared" si="1"/>
        <v>0</v>
      </c>
    </row>
    <row r="61" spans="1:17" ht="13" x14ac:dyDescent="0.35">
      <c r="A61" s="11" t="s">
        <v>93</v>
      </c>
      <c r="B61" s="163" t="s">
        <v>94</v>
      </c>
      <c r="C61" s="284"/>
      <c r="D61" s="284"/>
      <c r="E61" s="284"/>
      <c r="F61" s="11"/>
      <c r="G61" s="61" t="s">
        <v>56</v>
      </c>
      <c r="H61" s="57" t="s">
        <v>114</v>
      </c>
      <c r="I61" s="44"/>
      <c r="J61" s="63"/>
      <c r="K61" s="47"/>
      <c r="L61" s="48"/>
      <c r="M61" s="64"/>
      <c r="N61" s="64"/>
      <c r="O61" s="407"/>
      <c r="P61" s="49">
        <f t="shared" si="0"/>
        <v>0</v>
      </c>
      <c r="Q61" s="49">
        <f t="shared" si="1"/>
        <v>0</v>
      </c>
    </row>
    <row r="62" spans="1:17" ht="14.5" x14ac:dyDescent="0.35">
      <c r="A62" s="11" t="s">
        <v>93</v>
      </c>
      <c r="B62" s="163" t="s">
        <v>94</v>
      </c>
      <c r="C62" s="284"/>
      <c r="D62" s="284"/>
      <c r="E62" s="284"/>
      <c r="F62" s="11" t="s">
        <v>29</v>
      </c>
      <c r="G62" s="61" t="s">
        <v>115</v>
      </c>
      <c r="H62" s="60" t="s">
        <v>116</v>
      </c>
      <c r="I62" s="44" t="s">
        <v>117</v>
      </c>
      <c r="J62" s="63">
        <v>112</v>
      </c>
      <c r="K62" s="47">
        <v>85</v>
      </c>
      <c r="L62" s="48">
        <f>J62*K62</f>
        <v>9520</v>
      </c>
      <c r="M62" s="64">
        <v>112</v>
      </c>
      <c r="N62" s="64">
        <v>112</v>
      </c>
      <c r="O62" s="407">
        <v>85</v>
      </c>
      <c r="P62" s="49">
        <f t="shared" si="0"/>
        <v>9520</v>
      </c>
      <c r="Q62" s="49">
        <f t="shared" si="1"/>
        <v>9520</v>
      </c>
    </row>
    <row r="63" spans="1:17" ht="13" x14ac:dyDescent="0.35">
      <c r="A63" s="11" t="s">
        <v>93</v>
      </c>
      <c r="B63" s="163" t="s">
        <v>94</v>
      </c>
      <c r="C63" s="284"/>
      <c r="D63" s="284"/>
      <c r="E63" s="284"/>
      <c r="F63" s="11"/>
      <c r="G63" s="61"/>
      <c r="H63" s="57" t="s">
        <v>118</v>
      </c>
      <c r="I63" s="44"/>
      <c r="J63" s="63"/>
      <c r="K63" s="47"/>
      <c r="L63" s="48"/>
      <c r="M63" s="64"/>
      <c r="N63" s="64"/>
      <c r="O63" s="407"/>
      <c r="P63" s="49">
        <f t="shared" si="0"/>
        <v>0</v>
      </c>
      <c r="Q63" s="49">
        <f t="shared" si="1"/>
        <v>0</v>
      </c>
    </row>
    <row r="64" spans="1:17" ht="14.5" x14ac:dyDescent="0.35">
      <c r="A64" s="11" t="s">
        <v>93</v>
      </c>
      <c r="B64" s="163" t="s">
        <v>94</v>
      </c>
      <c r="C64" s="284"/>
      <c r="D64" s="284"/>
      <c r="E64" s="284"/>
      <c r="F64" s="11" t="s">
        <v>32</v>
      </c>
      <c r="G64" s="61" t="s">
        <v>119</v>
      </c>
      <c r="H64" s="60" t="s">
        <v>120</v>
      </c>
      <c r="I64" s="44" t="s">
        <v>117</v>
      </c>
      <c r="J64" s="63">
        <f>J62*0.1</f>
        <v>11.200000000000001</v>
      </c>
      <c r="K64" s="47">
        <v>95</v>
      </c>
      <c r="L64" s="48">
        <f>J64*K64</f>
        <v>1064</v>
      </c>
      <c r="M64" s="64">
        <f>M62*0.1</f>
        <v>11.200000000000001</v>
      </c>
      <c r="N64" s="64">
        <f>N62*0.1</f>
        <v>11.200000000000001</v>
      </c>
      <c r="O64" s="407">
        <v>95</v>
      </c>
      <c r="P64" s="49">
        <f t="shared" si="0"/>
        <v>1064</v>
      </c>
      <c r="Q64" s="49">
        <f t="shared" si="1"/>
        <v>1064</v>
      </c>
    </row>
    <row r="65" spans="1:17" ht="14.5" x14ac:dyDescent="0.35">
      <c r="A65" s="11" t="s">
        <v>93</v>
      </c>
      <c r="B65" s="163" t="s">
        <v>94</v>
      </c>
      <c r="C65" s="284"/>
      <c r="D65" s="284"/>
      <c r="E65" s="284"/>
      <c r="F65" s="11" t="s">
        <v>36</v>
      </c>
      <c r="G65" s="61" t="s">
        <v>121</v>
      </c>
      <c r="H65" s="60" t="s">
        <v>122</v>
      </c>
      <c r="I65" s="44" t="s">
        <v>117</v>
      </c>
      <c r="J65" s="63">
        <f>J62*0.05</f>
        <v>5.6000000000000005</v>
      </c>
      <c r="K65" s="47">
        <v>350</v>
      </c>
      <c r="L65" s="48">
        <f>J65*K65</f>
        <v>1960.0000000000002</v>
      </c>
      <c r="M65" s="64">
        <f>M62*0.05</f>
        <v>5.6000000000000005</v>
      </c>
      <c r="N65" s="64">
        <f>N62*0.05</f>
        <v>5.6000000000000005</v>
      </c>
      <c r="O65" s="407">
        <v>350</v>
      </c>
      <c r="P65" s="49">
        <f t="shared" si="0"/>
        <v>1960.0000000000002</v>
      </c>
      <c r="Q65" s="49">
        <f t="shared" si="1"/>
        <v>1960.0000000000002</v>
      </c>
    </row>
    <row r="66" spans="1:17" ht="13" x14ac:dyDescent="0.35">
      <c r="A66" s="11" t="s">
        <v>93</v>
      </c>
      <c r="B66" s="163" t="s">
        <v>94</v>
      </c>
      <c r="C66" s="284"/>
      <c r="D66" s="284"/>
      <c r="E66" s="284"/>
      <c r="F66" s="11"/>
      <c r="G66" s="11" t="s">
        <v>59</v>
      </c>
      <c r="H66" s="57" t="s">
        <v>123</v>
      </c>
      <c r="I66" s="44"/>
      <c r="J66" s="58"/>
      <c r="K66" s="47"/>
      <c r="L66" s="48"/>
      <c r="M66" s="59"/>
      <c r="N66" s="59"/>
      <c r="O66" s="407"/>
      <c r="P66" s="49">
        <f t="shared" si="0"/>
        <v>0</v>
      </c>
      <c r="Q66" s="49">
        <f t="shared" si="1"/>
        <v>0</v>
      </c>
    </row>
    <row r="67" spans="1:17" x14ac:dyDescent="0.35">
      <c r="A67" s="11" t="s">
        <v>93</v>
      </c>
      <c r="B67" s="163" t="s">
        <v>94</v>
      </c>
      <c r="C67" s="284"/>
      <c r="D67" s="284"/>
      <c r="E67" s="284"/>
      <c r="F67" s="11"/>
      <c r="G67" s="11" t="s">
        <v>124</v>
      </c>
      <c r="H67" s="60" t="s">
        <v>125</v>
      </c>
      <c r="I67" s="44"/>
      <c r="J67" s="58"/>
      <c r="K67" s="47"/>
      <c r="L67" s="48"/>
      <c r="M67" s="59"/>
      <c r="N67" s="59"/>
      <c r="O67" s="407"/>
      <c r="P67" s="49">
        <f t="shared" si="0"/>
        <v>0</v>
      </c>
      <c r="Q67" s="49">
        <f t="shared" si="1"/>
        <v>0</v>
      </c>
    </row>
    <row r="68" spans="1:17" ht="25" x14ac:dyDescent="0.35">
      <c r="A68" s="11" t="s">
        <v>93</v>
      </c>
      <c r="B68" s="163" t="s">
        <v>94</v>
      </c>
      <c r="C68" s="284"/>
      <c r="D68" s="284"/>
      <c r="E68" s="284"/>
      <c r="F68" s="11" t="s">
        <v>39</v>
      </c>
      <c r="G68" s="11"/>
      <c r="H68" s="60" t="s">
        <v>126</v>
      </c>
      <c r="I68" s="44" t="s">
        <v>117</v>
      </c>
      <c r="J68" s="58">
        <v>41</v>
      </c>
      <c r="K68" s="47">
        <v>320</v>
      </c>
      <c r="L68" s="48">
        <f>K68*J68</f>
        <v>13120</v>
      </c>
      <c r="M68" s="59">
        <v>41</v>
      </c>
      <c r="N68" s="59">
        <v>41</v>
      </c>
      <c r="O68" s="407">
        <v>320</v>
      </c>
      <c r="P68" s="49">
        <f t="shared" si="0"/>
        <v>13120</v>
      </c>
      <c r="Q68" s="49">
        <f t="shared" si="1"/>
        <v>13120</v>
      </c>
    </row>
    <row r="69" spans="1:17" ht="25" x14ac:dyDescent="0.35">
      <c r="A69" s="11" t="s">
        <v>93</v>
      </c>
      <c r="B69" s="163" t="s">
        <v>94</v>
      </c>
      <c r="C69" s="284"/>
      <c r="D69" s="284"/>
      <c r="E69" s="284"/>
      <c r="F69" s="11" t="s">
        <v>42</v>
      </c>
      <c r="G69" s="11"/>
      <c r="H69" s="60" t="s">
        <v>127</v>
      </c>
      <c r="I69" s="44" t="s">
        <v>117</v>
      </c>
      <c r="J69" s="58">
        <v>99</v>
      </c>
      <c r="K69" s="47">
        <v>320</v>
      </c>
      <c r="L69" s="48">
        <f>K69*J69</f>
        <v>31680</v>
      </c>
      <c r="M69" s="59">
        <v>99</v>
      </c>
      <c r="N69" s="59">
        <v>99</v>
      </c>
      <c r="O69" s="407">
        <v>320</v>
      </c>
      <c r="P69" s="49">
        <f t="shared" si="0"/>
        <v>31680</v>
      </c>
      <c r="Q69" s="49">
        <f t="shared" si="1"/>
        <v>31680</v>
      </c>
    </row>
    <row r="70" spans="1:17" x14ac:dyDescent="0.35">
      <c r="A70" s="11" t="s">
        <v>93</v>
      </c>
      <c r="B70" s="163" t="s">
        <v>94</v>
      </c>
      <c r="C70" s="284"/>
      <c r="D70" s="284"/>
      <c r="E70" s="284"/>
      <c r="F70" s="11" t="s">
        <v>45</v>
      </c>
      <c r="G70" s="61" t="s">
        <v>128</v>
      </c>
      <c r="H70" s="60" t="s">
        <v>129</v>
      </c>
      <c r="I70" s="44"/>
      <c r="J70" s="65"/>
      <c r="K70" s="47"/>
      <c r="L70" s="48"/>
      <c r="M70" s="66"/>
      <c r="N70" s="66"/>
      <c r="O70" s="407"/>
      <c r="P70" s="49">
        <f t="shared" si="0"/>
        <v>0</v>
      </c>
      <c r="Q70" s="49">
        <f t="shared" si="1"/>
        <v>0</v>
      </c>
    </row>
    <row r="71" spans="1:17" ht="14.5" x14ac:dyDescent="0.35">
      <c r="A71" s="11" t="s">
        <v>93</v>
      </c>
      <c r="B71" s="163" t="s">
        <v>94</v>
      </c>
      <c r="C71" s="284"/>
      <c r="D71" s="284"/>
      <c r="E71" s="284"/>
      <c r="F71" s="11" t="s">
        <v>48</v>
      </c>
      <c r="G71" s="61" t="s">
        <v>130</v>
      </c>
      <c r="H71" s="60" t="s">
        <v>131</v>
      </c>
      <c r="I71" s="44" t="s">
        <v>132</v>
      </c>
      <c r="J71" s="63">
        <f>J62*12</f>
        <v>1344</v>
      </c>
      <c r="K71" s="47">
        <v>8</v>
      </c>
      <c r="L71" s="48">
        <f>K71*J71</f>
        <v>10752</v>
      </c>
      <c r="M71" s="64">
        <f>M62*12</f>
        <v>1344</v>
      </c>
      <c r="N71" s="64">
        <f>N62*12</f>
        <v>1344</v>
      </c>
      <c r="O71" s="407">
        <v>8</v>
      </c>
      <c r="P71" s="49">
        <f t="shared" si="0"/>
        <v>10752</v>
      </c>
      <c r="Q71" s="49">
        <f t="shared" si="1"/>
        <v>10752</v>
      </c>
    </row>
    <row r="72" spans="1:17" ht="13" x14ac:dyDescent="0.35">
      <c r="A72" s="11" t="s">
        <v>93</v>
      </c>
      <c r="B72" s="163" t="s">
        <v>94</v>
      </c>
      <c r="C72" s="284"/>
      <c r="D72" s="284"/>
      <c r="E72" s="284"/>
      <c r="F72" s="11"/>
      <c r="G72" s="11"/>
      <c r="H72" s="57" t="s">
        <v>133</v>
      </c>
      <c r="I72" s="44"/>
      <c r="J72" s="58"/>
      <c r="K72" s="47"/>
      <c r="L72" s="48"/>
      <c r="M72" s="59"/>
      <c r="N72" s="59"/>
      <c r="O72" s="407"/>
      <c r="P72" s="49">
        <f t="shared" si="0"/>
        <v>0</v>
      </c>
      <c r="Q72" s="49">
        <f t="shared" si="1"/>
        <v>0</v>
      </c>
    </row>
    <row r="73" spans="1:17" x14ac:dyDescent="0.35">
      <c r="A73" s="11" t="s">
        <v>93</v>
      </c>
      <c r="B73" s="163" t="s">
        <v>94</v>
      </c>
      <c r="C73" s="284"/>
      <c r="D73" s="284"/>
      <c r="E73" s="284"/>
      <c r="F73" s="11"/>
      <c r="G73" s="11"/>
      <c r="H73" s="60" t="s">
        <v>134</v>
      </c>
      <c r="I73" s="44"/>
      <c r="J73" s="58"/>
      <c r="K73" s="47"/>
      <c r="L73" s="48"/>
      <c r="M73" s="59"/>
      <c r="N73" s="59"/>
      <c r="O73" s="407"/>
      <c r="P73" s="49">
        <f t="shared" si="0"/>
        <v>0</v>
      </c>
      <c r="Q73" s="49">
        <f t="shared" si="1"/>
        <v>0</v>
      </c>
    </row>
    <row r="74" spans="1:17" ht="37.5" x14ac:dyDescent="0.35">
      <c r="A74" s="11" t="s">
        <v>93</v>
      </c>
      <c r="B74" s="163" t="s">
        <v>94</v>
      </c>
      <c r="C74" s="284"/>
      <c r="D74" s="284"/>
      <c r="E74" s="284"/>
      <c r="F74" s="11" t="s">
        <v>51</v>
      </c>
      <c r="G74" s="11"/>
      <c r="H74" s="60" t="s">
        <v>135</v>
      </c>
      <c r="I74" s="44" t="s">
        <v>110</v>
      </c>
      <c r="J74" s="58">
        <v>353</v>
      </c>
      <c r="K74" s="47">
        <v>35</v>
      </c>
      <c r="L74" s="48">
        <f>K74*J74</f>
        <v>12355</v>
      </c>
      <c r="M74" s="59">
        <v>353</v>
      </c>
      <c r="N74" s="59">
        <v>353</v>
      </c>
      <c r="O74" s="407">
        <v>35</v>
      </c>
      <c r="P74" s="49">
        <f t="shared" ref="P74:P137" si="2">O74*M74</f>
        <v>12355</v>
      </c>
      <c r="Q74" s="49">
        <f t="shared" ref="Q74:Q137" si="3">O74*N74</f>
        <v>12355</v>
      </c>
    </row>
    <row r="75" spans="1:17" ht="13" x14ac:dyDescent="0.35">
      <c r="A75" s="11" t="s">
        <v>93</v>
      </c>
      <c r="B75" s="163" t="s">
        <v>136</v>
      </c>
      <c r="C75" s="284"/>
      <c r="D75" s="284"/>
      <c r="E75" s="284"/>
      <c r="F75" s="11"/>
      <c r="G75" s="11"/>
      <c r="H75" s="43" t="s">
        <v>95</v>
      </c>
      <c r="I75" s="44"/>
      <c r="J75" s="45"/>
      <c r="K75" s="47"/>
      <c r="L75" s="48"/>
      <c r="M75" s="46"/>
      <c r="N75" s="46"/>
      <c r="O75" s="407"/>
      <c r="P75" s="49">
        <f t="shared" si="2"/>
        <v>0</v>
      </c>
      <c r="Q75" s="49">
        <f t="shared" si="3"/>
        <v>0</v>
      </c>
    </row>
    <row r="76" spans="1:17" ht="13" x14ac:dyDescent="0.35">
      <c r="A76" s="11" t="s">
        <v>93</v>
      </c>
      <c r="B76" s="163" t="s">
        <v>136</v>
      </c>
      <c r="C76" s="284"/>
      <c r="D76" s="284"/>
      <c r="E76" s="284"/>
      <c r="F76" s="11"/>
      <c r="G76" s="11"/>
      <c r="H76" s="43" t="str">
        <f>H48</f>
        <v>LEPHADIMISHA - MEDIA CENTRE</v>
      </c>
      <c r="I76" s="44"/>
      <c r="J76" s="45"/>
      <c r="K76" s="47"/>
      <c r="L76" s="48"/>
      <c r="M76" s="46"/>
      <c r="N76" s="46"/>
      <c r="O76" s="407"/>
      <c r="P76" s="49">
        <f t="shared" si="2"/>
        <v>0</v>
      </c>
      <c r="Q76" s="49">
        <f t="shared" si="3"/>
        <v>0</v>
      </c>
    </row>
    <row r="77" spans="1:17" ht="13" x14ac:dyDescent="0.35">
      <c r="A77" s="11" t="s">
        <v>93</v>
      </c>
      <c r="B77" s="163" t="s">
        <v>136</v>
      </c>
      <c r="C77" s="284"/>
      <c r="D77" s="284"/>
      <c r="E77" s="284"/>
      <c r="F77" s="11"/>
      <c r="G77" s="11"/>
      <c r="H77" s="43" t="s">
        <v>137</v>
      </c>
      <c r="I77" s="44"/>
      <c r="J77" s="45"/>
      <c r="K77" s="47"/>
      <c r="L77" s="48"/>
      <c r="M77" s="46"/>
      <c r="N77" s="46"/>
      <c r="O77" s="407"/>
      <c r="P77" s="49">
        <f t="shared" si="2"/>
        <v>0</v>
      </c>
      <c r="Q77" s="49">
        <f t="shared" si="3"/>
        <v>0</v>
      </c>
    </row>
    <row r="78" spans="1:17" ht="13" x14ac:dyDescent="0.35">
      <c r="A78" s="11" t="s">
        <v>93</v>
      </c>
      <c r="B78" s="163" t="s">
        <v>136</v>
      </c>
      <c r="C78" s="284"/>
      <c r="D78" s="284"/>
      <c r="E78" s="284"/>
      <c r="F78" s="11"/>
      <c r="G78" s="50" t="s">
        <v>138</v>
      </c>
      <c r="H78" s="43" t="s">
        <v>139</v>
      </c>
      <c r="I78" s="44"/>
      <c r="J78" s="45"/>
      <c r="K78" s="47"/>
      <c r="L78" s="48"/>
      <c r="M78" s="46"/>
      <c r="N78" s="46"/>
      <c r="O78" s="407"/>
      <c r="P78" s="49">
        <f t="shared" si="2"/>
        <v>0</v>
      </c>
      <c r="Q78" s="49">
        <f t="shared" si="3"/>
        <v>0</v>
      </c>
    </row>
    <row r="79" spans="1:17" ht="13" x14ac:dyDescent="0.35">
      <c r="A79" s="11" t="s">
        <v>93</v>
      </c>
      <c r="B79" s="163" t="s">
        <v>136</v>
      </c>
      <c r="C79" s="284"/>
      <c r="D79" s="284"/>
      <c r="E79" s="284"/>
      <c r="F79" s="11"/>
      <c r="G79" s="11"/>
      <c r="H79" s="57" t="s">
        <v>100</v>
      </c>
      <c r="I79" s="44"/>
      <c r="J79" s="45"/>
      <c r="K79" s="47"/>
      <c r="L79" s="48"/>
      <c r="M79" s="46"/>
      <c r="N79" s="46"/>
      <c r="O79" s="407"/>
      <c r="P79" s="49">
        <f t="shared" si="2"/>
        <v>0</v>
      </c>
      <c r="Q79" s="49">
        <f t="shared" si="3"/>
        <v>0</v>
      </c>
    </row>
    <row r="80" spans="1:17" x14ac:dyDescent="0.35">
      <c r="A80" s="11" t="s">
        <v>93</v>
      </c>
      <c r="B80" s="163" t="s">
        <v>136</v>
      </c>
      <c r="C80" s="284"/>
      <c r="D80" s="284"/>
      <c r="E80" s="284"/>
      <c r="F80" s="11"/>
      <c r="G80" s="11"/>
      <c r="H80" s="60" t="s">
        <v>101</v>
      </c>
      <c r="I80" s="44"/>
      <c r="J80" s="45"/>
      <c r="K80" s="47"/>
      <c r="L80" s="48"/>
      <c r="M80" s="46"/>
      <c r="N80" s="46"/>
      <c r="O80" s="407"/>
      <c r="P80" s="49">
        <f t="shared" si="2"/>
        <v>0</v>
      </c>
      <c r="Q80" s="49">
        <f t="shared" si="3"/>
        <v>0</v>
      </c>
    </row>
    <row r="81" spans="1:17" ht="13" x14ac:dyDescent="0.35">
      <c r="A81" s="11" t="s">
        <v>93</v>
      </c>
      <c r="B81" s="163" t="s">
        <v>136</v>
      </c>
      <c r="C81" s="284"/>
      <c r="D81" s="284"/>
      <c r="E81" s="284"/>
      <c r="F81" s="11"/>
      <c r="G81" s="11"/>
      <c r="H81" s="57" t="s">
        <v>102</v>
      </c>
      <c r="I81" s="44"/>
      <c r="J81" s="45"/>
      <c r="K81" s="47"/>
      <c r="L81" s="48"/>
      <c r="M81" s="46"/>
      <c r="N81" s="46"/>
      <c r="O81" s="407"/>
      <c r="P81" s="49">
        <f t="shared" si="2"/>
        <v>0</v>
      </c>
      <c r="Q81" s="49">
        <f t="shared" si="3"/>
        <v>0</v>
      </c>
    </row>
    <row r="82" spans="1:17" ht="13" x14ac:dyDescent="0.35">
      <c r="A82" s="11" t="s">
        <v>93</v>
      </c>
      <c r="B82" s="163" t="s">
        <v>136</v>
      </c>
      <c r="C82" s="284"/>
      <c r="D82" s="284"/>
      <c r="E82" s="284"/>
      <c r="F82" s="11"/>
      <c r="G82" s="11"/>
      <c r="H82" s="57" t="s">
        <v>140</v>
      </c>
      <c r="I82" s="44"/>
      <c r="J82" s="45"/>
      <c r="K82" s="47"/>
      <c r="L82" s="48"/>
      <c r="M82" s="46"/>
      <c r="N82" s="46"/>
      <c r="O82" s="407"/>
      <c r="P82" s="49">
        <f t="shared" si="2"/>
        <v>0</v>
      </c>
      <c r="Q82" s="49">
        <f t="shared" si="3"/>
        <v>0</v>
      </c>
    </row>
    <row r="83" spans="1:17" ht="87.5" x14ac:dyDescent="0.35">
      <c r="A83" s="11" t="s">
        <v>93</v>
      </c>
      <c r="B83" s="163" t="s">
        <v>136</v>
      </c>
      <c r="C83" s="284"/>
      <c r="D83" s="284"/>
      <c r="E83" s="284"/>
      <c r="F83" s="11"/>
      <c r="G83" s="11"/>
      <c r="H83" s="60" t="s">
        <v>141</v>
      </c>
      <c r="I83" s="44"/>
      <c r="J83" s="45"/>
      <c r="K83" s="47"/>
      <c r="L83" s="48"/>
      <c r="M83" s="46"/>
      <c r="N83" s="46"/>
      <c r="O83" s="407"/>
      <c r="P83" s="49">
        <f t="shared" si="2"/>
        <v>0</v>
      </c>
      <c r="Q83" s="49">
        <f t="shared" si="3"/>
        <v>0</v>
      </c>
    </row>
    <row r="84" spans="1:17" ht="13" x14ac:dyDescent="0.35">
      <c r="A84" s="11" t="s">
        <v>93</v>
      </c>
      <c r="B84" s="163" t="s">
        <v>136</v>
      </c>
      <c r="C84" s="284"/>
      <c r="D84" s="284"/>
      <c r="E84" s="284"/>
      <c r="F84" s="11"/>
      <c r="G84" s="11"/>
      <c r="H84" s="57" t="s">
        <v>142</v>
      </c>
      <c r="I84" s="44"/>
      <c r="J84" s="45"/>
      <c r="K84" s="47"/>
      <c r="L84" s="48"/>
      <c r="M84" s="46"/>
      <c r="N84" s="46"/>
      <c r="O84" s="407"/>
      <c r="P84" s="49">
        <f t="shared" si="2"/>
        <v>0</v>
      </c>
      <c r="Q84" s="49">
        <f t="shared" si="3"/>
        <v>0</v>
      </c>
    </row>
    <row r="85" spans="1:17" ht="25" x14ac:dyDescent="0.35">
      <c r="A85" s="11" t="s">
        <v>93</v>
      </c>
      <c r="B85" s="163" t="s">
        <v>136</v>
      </c>
      <c r="C85" s="284"/>
      <c r="D85" s="284"/>
      <c r="E85" s="284"/>
      <c r="F85" s="11"/>
      <c r="G85" s="11"/>
      <c r="H85" s="60" t="s">
        <v>143</v>
      </c>
      <c r="I85" s="44"/>
      <c r="J85" s="45"/>
      <c r="K85" s="47"/>
      <c r="L85" s="48"/>
      <c r="M85" s="46"/>
      <c r="N85" s="46"/>
      <c r="O85" s="407"/>
      <c r="P85" s="49">
        <f t="shared" si="2"/>
        <v>0</v>
      </c>
      <c r="Q85" s="49">
        <f t="shared" si="3"/>
        <v>0</v>
      </c>
    </row>
    <row r="86" spans="1:17" ht="75" x14ac:dyDescent="0.35">
      <c r="A86" s="11" t="s">
        <v>93</v>
      </c>
      <c r="B86" s="163" t="s">
        <v>136</v>
      </c>
      <c r="C86" s="284"/>
      <c r="D86" s="284"/>
      <c r="E86" s="284"/>
      <c r="F86" s="11"/>
      <c r="G86" s="11"/>
      <c r="H86" s="60" t="s">
        <v>144</v>
      </c>
      <c r="I86" s="44"/>
      <c r="J86" s="45"/>
      <c r="K86" s="47"/>
      <c r="L86" s="48"/>
      <c r="M86" s="46"/>
      <c r="N86" s="46"/>
      <c r="O86" s="407"/>
      <c r="P86" s="49">
        <f t="shared" si="2"/>
        <v>0</v>
      </c>
      <c r="Q86" s="49">
        <f t="shared" si="3"/>
        <v>0</v>
      </c>
    </row>
    <row r="87" spans="1:17" x14ac:dyDescent="0.35">
      <c r="A87" s="11" t="s">
        <v>93</v>
      </c>
      <c r="B87" s="163" t="s">
        <v>136</v>
      </c>
      <c r="C87" s="284"/>
      <c r="D87" s="284"/>
      <c r="E87" s="284"/>
      <c r="F87" s="11"/>
      <c r="G87" s="11"/>
      <c r="H87" s="60" t="s">
        <v>145</v>
      </c>
      <c r="I87" s="44"/>
      <c r="J87" s="45"/>
      <c r="K87" s="47"/>
      <c r="L87" s="48"/>
      <c r="M87" s="46"/>
      <c r="N87" s="46"/>
      <c r="O87" s="407"/>
      <c r="P87" s="49">
        <f t="shared" si="2"/>
        <v>0</v>
      </c>
      <c r="Q87" s="49">
        <f t="shared" si="3"/>
        <v>0</v>
      </c>
    </row>
    <row r="88" spans="1:17" ht="25" x14ac:dyDescent="0.35">
      <c r="A88" s="11" t="s">
        <v>93</v>
      </c>
      <c r="B88" s="163" t="s">
        <v>136</v>
      </c>
      <c r="C88" s="284"/>
      <c r="D88" s="284"/>
      <c r="E88" s="284"/>
      <c r="F88" s="11"/>
      <c r="G88" s="11"/>
      <c r="H88" s="60" t="s">
        <v>146</v>
      </c>
      <c r="I88" s="44"/>
      <c r="J88" s="45"/>
      <c r="K88" s="47"/>
      <c r="L88" s="48"/>
      <c r="M88" s="46"/>
      <c r="N88" s="46"/>
      <c r="O88" s="407"/>
      <c r="P88" s="49">
        <f t="shared" si="2"/>
        <v>0</v>
      </c>
      <c r="Q88" s="49">
        <f t="shared" si="3"/>
        <v>0</v>
      </c>
    </row>
    <row r="89" spans="1:17" ht="13" x14ac:dyDescent="0.35">
      <c r="A89" s="11" t="s">
        <v>93</v>
      </c>
      <c r="B89" s="163" t="s">
        <v>136</v>
      </c>
      <c r="C89" s="284"/>
      <c r="D89" s="284"/>
      <c r="E89" s="284"/>
      <c r="F89" s="11"/>
      <c r="G89" s="11" t="s">
        <v>147</v>
      </c>
      <c r="H89" s="57" t="s">
        <v>148</v>
      </c>
      <c r="I89" s="44"/>
      <c r="J89" s="45"/>
      <c r="K89" s="47"/>
      <c r="L89" s="48"/>
      <c r="M89" s="46"/>
      <c r="N89" s="46"/>
      <c r="O89" s="407"/>
      <c r="P89" s="49">
        <f t="shared" si="2"/>
        <v>0</v>
      </c>
      <c r="Q89" s="49">
        <f t="shared" si="3"/>
        <v>0</v>
      </c>
    </row>
    <row r="90" spans="1:17" x14ac:dyDescent="0.35">
      <c r="A90" s="11" t="s">
        <v>93</v>
      </c>
      <c r="B90" s="163" t="s">
        <v>136</v>
      </c>
      <c r="C90" s="284"/>
      <c r="D90" s="284"/>
      <c r="E90" s="284"/>
      <c r="F90" s="11"/>
      <c r="G90" s="11" t="s">
        <v>149</v>
      </c>
      <c r="H90" s="62" t="s">
        <v>150</v>
      </c>
      <c r="I90" s="44"/>
      <c r="J90" s="45"/>
      <c r="K90" s="47"/>
      <c r="L90" s="48"/>
      <c r="M90" s="46"/>
      <c r="N90" s="46"/>
      <c r="O90" s="407"/>
      <c r="P90" s="49">
        <f t="shared" si="2"/>
        <v>0</v>
      </c>
      <c r="Q90" s="49">
        <f t="shared" si="3"/>
        <v>0</v>
      </c>
    </row>
    <row r="91" spans="1:17" ht="14.5" x14ac:dyDescent="0.35">
      <c r="A91" s="11" t="s">
        <v>93</v>
      </c>
      <c r="B91" s="163" t="s">
        <v>136</v>
      </c>
      <c r="C91" s="284"/>
      <c r="D91" s="284"/>
      <c r="E91" s="284"/>
      <c r="F91" s="11" t="s">
        <v>20</v>
      </c>
      <c r="G91" s="11"/>
      <c r="H91" s="67" t="s">
        <v>151</v>
      </c>
      <c r="I91" s="44" t="s">
        <v>110</v>
      </c>
      <c r="J91" s="45">
        <v>67</v>
      </c>
      <c r="K91" s="47">
        <v>385</v>
      </c>
      <c r="L91" s="48">
        <f>J91*K91</f>
        <v>25795</v>
      </c>
      <c r="M91" s="46">
        <v>67</v>
      </c>
      <c r="N91" s="46">
        <v>67</v>
      </c>
      <c r="O91" s="407">
        <v>385</v>
      </c>
      <c r="P91" s="49">
        <f t="shared" si="2"/>
        <v>25795</v>
      </c>
      <c r="Q91" s="49">
        <f t="shared" si="3"/>
        <v>25795</v>
      </c>
    </row>
    <row r="92" spans="1:17" ht="13" x14ac:dyDescent="0.35">
      <c r="A92" s="11" t="s">
        <v>93</v>
      </c>
      <c r="B92" s="163" t="s">
        <v>136</v>
      </c>
      <c r="C92" s="284"/>
      <c r="D92" s="284"/>
      <c r="E92" s="284"/>
      <c r="F92" s="11"/>
      <c r="G92" s="11">
        <v>8.3000000000000007</v>
      </c>
      <c r="H92" s="57" t="s">
        <v>152</v>
      </c>
      <c r="I92" s="44"/>
      <c r="J92" s="45"/>
      <c r="K92" s="47"/>
      <c r="L92" s="48"/>
      <c r="M92" s="46"/>
      <c r="N92" s="46"/>
      <c r="O92" s="407"/>
      <c r="P92" s="49">
        <f t="shared" si="2"/>
        <v>0</v>
      </c>
      <c r="Q92" s="49">
        <f t="shared" si="3"/>
        <v>0</v>
      </c>
    </row>
    <row r="93" spans="1:17" ht="13" x14ac:dyDescent="0.35">
      <c r="A93" s="11" t="s">
        <v>93</v>
      </c>
      <c r="B93" s="163" t="s">
        <v>136</v>
      </c>
      <c r="C93" s="284"/>
      <c r="D93" s="284"/>
      <c r="E93" s="284"/>
      <c r="F93" s="11"/>
      <c r="G93" s="11" t="s">
        <v>21</v>
      </c>
      <c r="H93" s="57" t="s">
        <v>153</v>
      </c>
      <c r="I93" s="44"/>
      <c r="J93" s="45"/>
      <c r="K93" s="47"/>
      <c r="L93" s="48"/>
      <c r="M93" s="46"/>
      <c r="N93" s="46"/>
      <c r="O93" s="407"/>
      <c r="P93" s="49">
        <f t="shared" si="2"/>
        <v>0</v>
      </c>
      <c r="Q93" s="49">
        <f t="shared" si="3"/>
        <v>0</v>
      </c>
    </row>
    <row r="94" spans="1:17" ht="13" x14ac:dyDescent="0.35">
      <c r="A94" s="11" t="s">
        <v>93</v>
      </c>
      <c r="B94" s="163" t="s">
        <v>136</v>
      </c>
      <c r="C94" s="284"/>
      <c r="D94" s="284"/>
      <c r="E94" s="284"/>
      <c r="F94" s="11"/>
      <c r="G94" s="11" t="s">
        <v>21</v>
      </c>
      <c r="H94" s="57" t="s">
        <v>154</v>
      </c>
      <c r="I94" s="44"/>
      <c r="J94" s="45"/>
      <c r="K94" s="47"/>
      <c r="L94" s="48"/>
      <c r="M94" s="46"/>
      <c r="N94" s="46"/>
      <c r="O94" s="407"/>
      <c r="P94" s="49">
        <f t="shared" si="2"/>
        <v>0</v>
      </c>
      <c r="Q94" s="49">
        <f t="shared" si="3"/>
        <v>0</v>
      </c>
    </row>
    <row r="95" spans="1:17" x14ac:dyDescent="0.35">
      <c r="A95" s="11" t="s">
        <v>93</v>
      </c>
      <c r="B95" s="163" t="s">
        <v>136</v>
      </c>
      <c r="C95" s="284"/>
      <c r="D95" s="284"/>
      <c r="E95" s="284"/>
      <c r="F95" s="11"/>
      <c r="G95" s="11"/>
      <c r="H95" s="60" t="s">
        <v>155</v>
      </c>
      <c r="I95" s="44"/>
      <c r="J95" s="45"/>
      <c r="K95" s="47"/>
      <c r="L95" s="48"/>
      <c r="M95" s="46"/>
      <c r="N95" s="46"/>
      <c r="O95" s="407"/>
      <c r="P95" s="49">
        <f t="shared" si="2"/>
        <v>0</v>
      </c>
      <c r="Q95" s="49">
        <f t="shared" si="3"/>
        <v>0</v>
      </c>
    </row>
    <row r="96" spans="1:17" x14ac:dyDescent="0.35">
      <c r="A96" s="11" t="s">
        <v>93</v>
      </c>
      <c r="B96" s="163" t="s">
        <v>136</v>
      </c>
      <c r="C96" s="284"/>
      <c r="D96" s="284"/>
      <c r="E96" s="284"/>
      <c r="F96" s="11" t="s">
        <v>26</v>
      </c>
      <c r="G96" s="11"/>
      <c r="H96" s="60" t="s">
        <v>156</v>
      </c>
      <c r="I96" s="44" t="s">
        <v>157</v>
      </c>
      <c r="J96" s="68">
        <v>0.53900000000000003</v>
      </c>
      <c r="K96" s="47">
        <v>19500</v>
      </c>
      <c r="L96" s="48">
        <f>J96*K96</f>
        <v>10510.5</v>
      </c>
      <c r="M96" s="69">
        <v>0.53900000000000003</v>
      </c>
      <c r="N96" s="69">
        <v>0.53900000000000003</v>
      </c>
      <c r="O96" s="407">
        <v>19500</v>
      </c>
      <c r="P96" s="49">
        <f t="shared" si="2"/>
        <v>10510.5</v>
      </c>
      <c r="Q96" s="49">
        <f t="shared" si="3"/>
        <v>10510.5</v>
      </c>
    </row>
    <row r="97" spans="1:17" x14ac:dyDescent="0.35">
      <c r="A97" s="11" t="s">
        <v>93</v>
      </c>
      <c r="B97" s="163" t="s">
        <v>136</v>
      </c>
      <c r="C97" s="284"/>
      <c r="D97" s="284"/>
      <c r="E97" s="284"/>
      <c r="F97" s="11"/>
      <c r="G97" s="11"/>
      <c r="H97" s="60" t="s">
        <v>158</v>
      </c>
      <c r="I97" s="44"/>
      <c r="J97" s="45"/>
      <c r="K97" s="47"/>
      <c r="L97" s="48"/>
      <c r="M97" s="46"/>
      <c r="N97" s="46"/>
      <c r="O97" s="407"/>
      <c r="P97" s="49">
        <f t="shared" si="2"/>
        <v>0</v>
      </c>
      <c r="Q97" s="49">
        <f t="shared" si="3"/>
        <v>0</v>
      </c>
    </row>
    <row r="98" spans="1:17" x14ac:dyDescent="0.35">
      <c r="A98" s="11" t="s">
        <v>93</v>
      </c>
      <c r="B98" s="163" t="s">
        <v>136</v>
      </c>
      <c r="C98" s="284"/>
      <c r="D98" s="284"/>
      <c r="E98" s="284"/>
      <c r="F98" s="11" t="s">
        <v>29</v>
      </c>
      <c r="G98" s="11"/>
      <c r="H98" s="60" t="s">
        <v>156</v>
      </c>
      <c r="I98" s="44" t="s">
        <v>157</v>
      </c>
      <c r="J98" s="68">
        <v>0.12</v>
      </c>
      <c r="K98" s="47">
        <v>19500</v>
      </c>
      <c r="L98" s="48">
        <f>J98*K98</f>
        <v>2340</v>
      </c>
      <c r="M98" s="69">
        <v>0.12</v>
      </c>
      <c r="N98" s="69">
        <v>0.12</v>
      </c>
      <c r="O98" s="407">
        <v>19500</v>
      </c>
      <c r="P98" s="49">
        <f t="shared" si="2"/>
        <v>2340</v>
      </c>
      <c r="Q98" s="49">
        <f t="shared" si="3"/>
        <v>2340</v>
      </c>
    </row>
    <row r="99" spans="1:17" ht="13" x14ac:dyDescent="0.35">
      <c r="A99" s="11" t="s">
        <v>93</v>
      </c>
      <c r="B99" s="163" t="s">
        <v>136</v>
      </c>
      <c r="C99" s="284"/>
      <c r="D99" s="284"/>
      <c r="E99" s="284"/>
      <c r="F99" s="11"/>
      <c r="G99" s="11" t="s">
        <v>159</v>
      </c>
      <c r="H99" s="57" t="s">
        <v>160</v>
      </c>
      <c r="I99" s="44"/>
      <c r="J99" s="45"/>
      <c r="K99" s="47"/>
      <c r="L99" s="48"/>
      <c r="M99" s="46"/>
      <c r="N99" s="46"/>
      <c r="O99" s="407"/>
      <c r="P99" s="49">
        <f t="shared" si="2"/>
        <v>0</v>
      </c>
      <c r="Q99" s="49">
        <f t="shared" si="3"/>
        <v>0</v>
      </c>
    </row>
    <row r="100" spans="1:17" ht="14.5" x14ac:dyDescent="0.35">
      <c r="A100" s="11" t="s">
        <v>93</v>
      </c>
      <c r="B100" s="163" t="s">
        <v>136</v>
      </c>
      <c r="C100" s="284"/>
      <c r="D100" s="284"/>
      <c r="E100" s="284"/>
      <c r="F100" s="11" t="s">
        <v>32</v>
      </c>
      <c r="G100" s="11"/>
      <c r="H100" s="60" t="s">
        <v>161</v>
      </c>
      <c r="I100" s="44" t="s">
        <v>110</v>
      </c>
      <c r="J100" s="45">
        <v>141</v>
      </c>
      <c r="K100" s="47">
        <v>145</v>
      </c>
      <c r="L100" s="48">
        <f>J100*K100</f>
        <v>20445</v>
      </c>
      <c r="M100" s="46">
        <v>141</v>
      </c>
      <c r="N100" s="46">
        <v>141</v>
      </c>
      <c r="O100" s="407">
        <v>145</v>
      </c>
      <c r="P100" s="49">
        <f t="shared" si="2"/>
        <v>20445</v>
      </c>
      <c r="Q100" s="49">
        <f t="shared" si="3"/>
        <v>20445</v>
      </c>
    </row>
    <row r="101" spans="1:17" ht="14.5" x14ac:dyDescent="0.35">
      <c r="A101" s="11" t="s">
        <v>93</v>
      </c>
      <c r="B101" s="163" t="s">
        <v>136</v>
      </c>
      <c r="C101" s="284"/>
      <c r="D101" s="284"/>
      <c r="E101" s="284"/>
      <c r="F101" s="11" t="s">
        <v>36</v>
      </c>
      <c r="G101" s="11"/>
      <c r="H101" s="60" t="s">
        <v>162</v>
      </c>
      <c r="I101" s="44" t="s">
        <v>110</v>
      </c>
      <c r="J101" s="45">
        <v>41</v>
      </c>
      <c r="K101" s="47">
        <v>145</v>
      </c>
      <c r="L101" s="48">
        <f>J101*K101</f>
        <v>5945</v>
      </c>
      <c r="M101" s="46">
        <v>41</v>
      </c>
      <c r="N101" s="46">
        <v>41</v>
      </c>
      <c r="O101" s="407">
        <v>145</v>
      </c>
      <c r="P101" s="49">
        <f t="shared" si="2"/>
        <v>5945</v>
      </c>
      <c r="Q101" s="49">
        <f t="shared" si="3"/>
        <v>5945</v>
      </c>
    </row>
    <row r="102" spans="1:17" ht="14.5" x14ac:dyDescent="0.35">
      <c r="A102" s="11" t="s">
        <v>93</v>
      </c>
      <c r="B102" s="163" t="s">
        <v>136</v>
      </c>
      <c r="C102" s="284"/>
      <c r="D102" s="284"/>
      <c r="E102" s="284"/>
      <c r="F102" s="11" t="s">
        <v>39</v>
      </c>
      <c r="G102" s="11"/>
      <c r="H102" s="60" t="s">
        <v>163</v>
      </c>
      <c r="I102" s="44" t="s">
        <v>110</v>
      </c>
      <c r="J102" s="45">
        <v>67</v>
      </c>
      <c r="K102" s="47">
        <v>145</v>
      </c>
      <c r="L102" s="48">
        <f>J102*K102</f>
        <v>9715</v>
      </c>
      <c r="M102" s="46">
        <v>67</v>
      </c>
      <c r="N102" s="46">
        <v>67</v>
      </c>
      <c r="O102" s="407">
        <v>145</v>
      </c>
      <c r="P102" s="49">
        <f t="shared" si="2"/>
        <v>9715</v>
      </c>
      <c r="Q102" s="49">
        <f t="shared" si="3"/>
        <v>9715</v>
      </c>
    </row>
    <row r="103" spans="1:17" ht="13" x14ac:dyDescent="0.35">
      <c r="A103" s="11" t="s">
        <v>93</v>
      </c>
      <c r="B103" s="163" t="s">
        <v>136</v>
      </c>
      <c r="C103" s="284"/>
      <c r="D103" s="284"/>
      <c r="E103" s="284"/>
      <c r="F103" s="11"/>
      <c r="G103" s="11" t="s">
        <v>164</v>
      </c>
      <c r="H103" s="57" t="s">
        <v>165</v>
      </c>
      <c r="I103" s="44"/>
      <c r="J103" s="45"/>
      <c r="K103" s="47"/>
      <c r="L103" s="48"/>
      <c r="M103" s="46"/>
      <c r="N103" s="46"/>
      <c r="O103" s="407"/>
      <c r="P103" s="49">
        <f t="shared" si="2"/>
        <v>0</v>
      </c>
      <c r="Q103" s="49">
        <f t="shared" si="3"/>
        <v>0</v>
      </c>
    </row>
    <row r="104" spans="1:17" ht="13" x14ac:dyDescent="0.35">
      <c r="A104" s="11" t="s">
        <v>93</v>
      </c>
      <c r="B104" s="163" t="s">
        <v>136</v>
      </c>
      <c r="C104" s="284"/>
      <c r="D104" s="284"/>
      <c r="E104" s="284"/>
      <c r="F104" s="11"/>
      <c r="G104" s="11" t="s">
        <v>65</v>
      </c>
      <c r="H104" s="57" t="s">
        <v>166</v>
      </c>
      <c r="I104" s="44"/>
      <c r="J104" s="58"/>
      <c r="K104" s="70"/>
      <c r="L104" s="48"/>
      <c r="M104" s="59"/>
      <c r="N104" s="59"/>
      <c r="O104" s="409"/>
      <c r="P104" s="49">
        <f t="shared" si="2"/>
        <v>0</v>
      </c>
      <c r="Q104" s="49">
        <f t="shared" si="3"/>
        <v>0</v>
      </c>
    </row>
    <row r="105" spans="1:17" ht="14.5" x14ac:dyDescent="0.35">
      <c r="A105" s="11" t="s">
        <v>93</v>
      </c>
      <c r="B105" s="163" t="s">
        <v>136</v>
      </c>
      <c r="C105" s="284"/>
      <c r="D105" s="284"/>
      <c r="E105" s="284"/>
      <c r="F105" s="11" t="s">
        <v>42</v>
      </c>
      <c r="G105" s="11"/>
      <c r="H105" s="60" t="s">
        <v>167</v>
      </c>
      <c r="I105" s="44" t="s">
        <v>117</v>
      </c>
      <c r="J105" s="58">
        <v>3</v>
      </c>
      <c r="K105" s="47">
        <v>2000</v>
      </c>
      <c r="L105" s="48">
        <f>J105*K105</f>
        <v>6000</v>
      </c>
      <c r="M105" s="59">
        <v>3</v>
      </c>
      <c r="N105" s="59">
        <v>3</v>
      </c>
      <c r="O105" s="407">
        <f>'Specification Code'!J5</f>
        <v>1624.8000000000002</v>
      </c>
      <c r="P105" s="49">
        <f t="shared" si="2"/>
        <v>4874.4000000000005</v>
      </c>
      <c r="Q105" s="49">
        <f t="shared" si="3"/>
        <v>4874.4000000000005</v>
      </c>
    </row>
    <row r="106" spans="1:17" ht="13" x14ac:dyDescent="0.35">
      <c r="A106" s="11" t="s">
        <v>93</v>
      </c>
      <c r="B106" s="163" t="s">
        <v>136</v>
      </c>
      <c r="C106" s="284"/>
      <c r="D106" s="284"/>
      <c r="E106" s="284"/>
      <c r="F106" s="11"/>
      <c r="G106" s="11"/>
      <c r="H106" s="57" t="s">
        <v>168</v>
      </c>
      <c r="I106" s="44"/>
      <c r="J106" s="45"/>
      <c r="K106" s="47"/>
      <c r="L106" s="48"/>
      <c r="M106" s="46"/>
      <c r="N106" s="46"/>
      <c r="O106" s="407"/>
      <c r="P106" s="49">
        <f t="shared" si="2"/>
        <v>0</v>
      </c>
      <c r="Q106" s="49">
        <f t="shared" si="3"/>
        <v>0</v>
      </c>
    </row>
    <row r="107" spans="1:17" ht="14.5" x14ac:dyDescent="0.35">
      <c r="A107" s="11" t="s">
        <v>93</v>
      </c>
      <c r="B107" s="163" t="s">
        <v>136</v>
      </c>
      <c r="C107" s="284"/>
      <c r="D107" s="284"/>
      <c r="E107" s="284" t="s">
        <v>2260</v>
      </c>
      <c r="F107" s="11" t="s">
        <v>45</v>
      </c>
      <c r="G107" s="11"/>
      <c r="H107" s="60" t="s">
        <v>169</v>
      </c>
      <c r="I107" s="44" t="s">
        <v>117</v>
      </c>
      <c r="J107" s="45">
        <v>14</v>
      </c>
      <c r="K107" s="47">
        <v>2200</v>
      </c>
      <c r="L107" s="48">
        <f>J107*K107</f>
        <v>30800</v>
      </c>
      <c r="M107" s="46">
        <v>14</v>
      </c>
      <c r="N107" s="46">
        <v>14</v>
      </c>
      <c r="O107" s="407">
        <v>2200</v>
      </c>
      <c r="P107" s="49">
        <f t="shared" si="2"/>
        <v>30800</v>
      </c>
      <c r="Q107" s="49">
        <f t="shared" si="3"/>
        <v>30800</v>
      </c>
    </row>
    <row r="108" spans="1:17" ht="14.5" x14ac:dyDescent="0.35">
      <c r="A108" s="11" t="s">
        <v>93</v>
      </c>
      <c r="B108" s="163" t="s">
        <v>136</v>
      </c>
      <c r="C108" s="284"/>
      <c r="D108" s="284"/>
      <c r="E108" s="284"/>
      <c r="F108" s="11" t="s">
        <v>48</v>
      </c>
      <c r="G108" s="11"/>
      <c r="H108" s="60" t="s">
        <v>170</v>
      </c>
      <c r="I108" s="44" t="s">
        <v>117</v>
      </c>
      <c r="J108" s="58">
        <v>6</v>
      </c>
      <c r="K108" s="47">
        <v>2200</v>
      </c>
      <c r="L108" s="48">
        <f>J108*K108</f>
        <v>13200</v>
      </c>
      <c r="M108" s="59">
        <v>6</v>
      </c>
      <c r="N108" s="59">
        <v>6</v>
      </c>
      <c r="O108" s="407">
        <v>2200</v>
      </c>
      <c r="P108" s="49">
        <f t="shared" si="2"/>
        <v>13200</v>
      </c>
      <c r="Q108" s="49">
        <f t="shared" si="3"/>
        <v>13200</v>
      </c>
    </row>
    <row r="109" spans="1:17" ht="14.5" x14ac:dyDescent="0.35">
      <c r="A109" s="11" t="s">
        <v>93</v>
      </c>
      <c r="B109" s="163" t="s">
        <v>136</v>
      </c>
      <c r="C109" s="284"/>
      <c r="D109" s="284"/>
      <c r="E109" s="284"/>
      <c r="F109" s="11" t="s">
        <v>51</v>
      </c>
      <c r="G109" s="11"/>
      <c r="H109" s="60" t="s">
        <v>171</v>
      </c>
      <c r="I109" s="44" t="s">
        <v>117</v>
      </c>
      <c r="J109" s="45">
        <v>13</v>
      </c>
      <c r="K109" s="47">
        <v>2200</v>
      </c>
      <c r="L109" s="48">
        <f>J109*K109</f>
        <v>28600</v>
      </c>
      <c r="M109" s="46">
        <v>13</v>
      </c>
      <c r="N109" s="46">
        <v>13</v>
      </c>
      <c r="O109" s="407">
        <v>2200</v>
      </c>
      <c r="P109" s="49">
        <f t="shared" si="2"/>
        <v>28600</v>
      </c>
      <c r="Q109" s="49">
        <f t="shared" si="3"/>
        <v>28600</v>
      </c>
    </row>
    <row r="110" spans="1:17" ht="14.5" x14ac:dyDescent="0.35">
      <c r="A110" s="11" t="s">
        <v>93</v>
      </c>
      <c r="B110" s="163" t="s">
        <v>136</v>
      </c>
      <c r="C110" s="284"/>
      <c r="D110" s="284"/>
      <c r="E110" s="284"/>
      <c r="F110" s="11" t="s">
        <v>53</v>
      </c>
      <c r="G110" s="11"/>
      <c r="H110" s="60" t="s">
        <v>172</v>
      </c>
      <c r="I110" s="44" t="s">
        <v>117</v>
      </c>
      <c r="J110" s="45">
        <v>10</v>
      </c>
      <c r="K110" s="47">
        <v>2200</v>
      </c>
      <c r="L110" s="48">
        <f>J110*K110</f>
        <v>22000</v>
      </c>
      <c r="M110" s="46">
        <v>10</v>
      </c>
      <c r="N110" s="46">
        <v>10</v>
      </c>
      <c r="O110" s="407">
        <v>2200</v>
      </c>
      <c r="P110" s="49">
        <f t="shared" si="2"/>
        <v>22000</v>
      </c>
      <c r="Q110" s="49">
        <f t="shared" si="3"/>
        <v>22000</v>
      </c>
    </row>
    <row r="111" spans="1:17" ht="13" x14ac:dyDescent="0.35">
      <c r="A111" s="11" t="s">
        <v>93</v>
      </c>
      <c r="B111" s="163" t="s">
        <v>136</v>
      </c>
      <c r="C111" s="284"/>
      <c r="D111" s="284"/>
      <c r="E111" s="284"/>
      <c r="F111" s="11"/>
      <c r="G111" s="11"/>
      <c r="H111" s="57" t="s">
        <v>173</v>
      </c>
      <c r="I111" s="44"/>
      <c r="J111" s="45"/>
      <c r="K111" s="47"/>
      <c r="L111" s="48"/>
      <c r="M111" s="46"/>
      <c r="N111" s="46"/>
      <c r="O111" s="407"/>
      <c r="P111" s="49">
        <f t="shared" si="2"/>
        <v>0</v>
      </c>
      <c r="Q111" s="49">
        <f t="shared" si="3"/>
        <v>0</v>
      </c>
    </row>
    <row r="112" spans="1:17" ht="25" x14ac:dyDescent="0.35">
      <c r="A112" s="11" t="s">
        <v>93</v>
      </c>
      <c r="B112" s="163" t="s">
        <v>136</v>
      </c>
      <c r="C112" s="284"/>
      <c r="D112" s="284"/>
      <c r="E112" s="284"/>
      <c r="F112" s="11" t="s">
        <v>55</v>
      </c>
      <c r="G112" s="11"/>
      <c r="H112" s="60" t="s">
        <v>174</v>
      </c>
      <c r="I112" s="44" t="s">
        <v>175</v>
      </c>
      <c r="J112" s="45">
        <v>22</v>
      </c>
      <c r="K112" s="47">
        <v>650</v>
      </c>
      <c r="L112" s="48">
        <f>J112*K112</f>
        <v>14300</v>
      </c>
      <c r="M112" s="46">
        <v>22</v>
      </c>
      <c r="N112" s="46">
        <v>22</v>
      </c>
      <c r="O112" s="407">
        <v>650</v>
      </c>
      <c r="P112" s="49">
        <f t="shared" si="2"/>
        <v>14300</v>
      </c>
      <c r="Q112" s="49">
        <f t="shared" si="3"/>
        <v>14300</v>
      </c>
    </row>
    <row r="113" spans="1:17" ht="13" x14ac:dyDescent="0.35">
      <c r="A113" s="11" t="s">
        <v>93</v>
      </c>
      <c r="B113" s="163" t="s">
        <v>136</v>
      </c>
      <c r="C113" s="284"/>
      <c r="D113" s="284"/>
      <c r="E113" s="284"/>
      <c r="F113" s="11"/>
      <c r="G113" s="11" t="s">
        <v>82</v>
      </c>
      <c r="H113" s="57" t="s">
        <v>176</v>
      </c>
      <c r="I113" s="44"/>
      <c r="J113" s="58"/>
      <c r="K113" s="70"/>
      <c r="L113" s="48"/>
      <c r="M113" s="59"/>
      <c r="N113" s="59"/>
      <c r="O113" s="409"/>
      <c r="P113" s="49">
        <f t="shared" si="2"/>
        <v>0</v>
      </c>
      <c r="Q113" s="49">
        <f t="shared" si="3"/>
        <v>0</v>
      </c>
    </row>
    <row r="114" spans="1:17" ht="13" x14ac:dyDescent="0.35">
      <c r="A114" s="11" t="s">
        <v>93</v>
      </c>
      <c r="B114" s="163" t="s">
        <v>136</v>
      </c>
      <c r="C114" s="284"/>
      <c r="D114" s="284"/>
      <c r="E114" s="284"/>
      <c r="F114" s="11"/>
      <c r="G114" s="11" t="s">
        <v>177</v>
      </c>
      <c r="H114" s="57" t="s">
        <v>178</v>
      </c>
      <c r="I114" s="44"/>
      <c r="J114" s="58"/>
      <c r="K114" s="70"/>
      <c r="L114" s="48"/>
      <c r="M114" s="59"/>
      <c r="N114" s="59"/>
      <c r="O114" s="409"/>
      <c r="P114" s="49">
        <f t="shared" si="2"/>
        <v>0</v>
      </c>
      <c r="Q114" s="49">
        <f t="shared" si="3"/>
        <v>0</v>
      </c>
    </row>
    <row r="115" spans="1:17" ht="14.5" x14ac:dyDescent="0.35">
      <c r="A115" s="11" t="s">
        <v>93</v>
      </c>
      <c r="B115" s="163" t="s">
        <v>136</v>
      </c>
      <c r="C115" s="284"/>
      <c r="D115" s="284"/>
      <c r="E115" s="284"/>
      <c r="F115" s="11" t="s">
        <v>58</v>
      </c>
      <c r="G115" s="11"/>
      <c r="H115" s="60" t="s">
        <v>179</v>
      </c>
      <c r="I115" s="44" t="s">
        <v>110</v>
      </c>
      <c r="J115" s="58">
        <v>141</v>
      </c>
      <c r="K115" s="47">
        <v>15</v>
      </c>
      <c r="L115" s="48">
        <f>J115*K115</f>
        <v>2115</v>
      </c>
      <c r="M115" s="59">
        <v>141</v>
      </c>
      <c r="N115" s="59">
        <v>141</v>
      </c>
      <c r="O115" s="407">
        <v>15</v>
      </c>
      <c r="P115" s="49">
        <f t="shared" si="2"/>
        <v>2115</v>
      </c>
      <c r="Q115" s="49">
        <f t="shared" si="3"/>
        <v>2115</v>
      </c>
    </row>
    <row r="116" spans="1:17" ht="14.5" x14ac:dyDescent="0.35">
      <c r="A116" s="11" t="s">
        <v>93</v>
      </c>
      <c r="B116" s="163" t="s">
        <v>136</v>
      </c>
      <c r="C116" s="284"/>
      <c r="D116" s="284"/>
      <c r="E116" s="284"/>
      <c r="F116" s="11" t="s">
        <v>180</v>
      </c>
      <c r="G116" s="11"/>
      <c r="H116" s="60" t="s">
        <v>181</v>
      </c>
      <c r="I116" s="44" t="s">
        <v>110</v>
      </c>
      <c r="J116" s="58">
        <v>37</v>
      </c>
      <c r="K116" s="47">
        <v>15</v>
      </c>
      <c r="L116" s="48">
        <f>J116*K116</f>
        <v>555</v>
      </c>
      <c r="M116" s="59">
        <v>37</v>
      </c>
      <c r="N116" s="59">
        <v>37</v>
      </c>
      <c r="O116" s="407">
        <v>15</v>
      </c>
      <c r="P116" s="49">
        <f t="shared" si="2"/>
        <v>555</v>
      </c>
      <c r="Q116" s="49">
        <f t="shared" si="3"/>
        <v>555</v>
      </c>
    </row>
    <row r="117" spans="1:17" ht="14.5" x14ac:dyDescent="0.35">
      <c r="A117" s="11" t="s">
        <v>93</v>
      </c>
      <c r="B117" s="163" t="s">
        <v>136</v>
      </c>
      <c r="C117" s="284"/>
      <c r="D117" s="284"/>
      <c r="E117" s="284"/>
      <c r="F117" s="11" t="s">
        <v>87</v>
      </c>
      <c r="G117" s="11"/>
      <c r="H117" s="60" t="s">
        <v>182</v>
      </c>
      <c r="I117" s="44" t="s">
        <v>110</v>
      </c>
      <c r="J117" s="58">
        <v>67</v>
      </c>
      <c r="K117" s="47">
        <v>15</v>
      </c>
      <c r="L117" s="48">
        <f>J117*K117</f>
        <v>1005</v>
      </c>
      <c r="M117" s="59">
        <v>67</v>
      </c>
      <c r="N117" s="59">
        <v>67</v>
      </c>
      <c r="O117" s="407">
        <v>15</v>
      </c>
      <c r="P117" s="49">
        <f t="shared" si="2"/>
        <v>1005</v>
      </c>
      <c r="Q117" s="49">
        <f t="shared" si="3"/>
        <v>1005</v>
      </c>
    </row>
    <row r="118" spans="1:17" ht="13" x14ac:dyDescent="0.35">
      <c r="A118" s="11" t="s">
        <v>93</v>
      </c>
      <c r="B118" s="163" t="s">
        <v>136</v>
      </c>
      <c r="C118" s="284"/>
      <c r="D118" s="284"/>
      <c r="E118" s="284"/>
      <c r="F118" s="11"/>
      <c r="G118" s="11" t="s">
        <v>183</v>
      </c>
      <c r="H118" s="57" t="s">
        <v>184</v>
      </c>
      <c r="I118" s="44"/>
      <c r="J118" s="58"/>
      <c r="K118" s="47"/>
      <c r="L118" s="48"/>
      <c r="M118" s="59"/>
      <c r="N118" s="59"/>
      <c r="O118" s="407"/>
      <c r="P118" s="49">
        <f t="shared" si="2"/>
        <v>0</v>
      </c>
      <c r="Q118" s="49">
        <f t="shared" si="3"/>
        <v>0</v>
      </c>
    </row>
    <row r="119" spans="1:17" ht="37.5" x14ac:dyDescent="0.35">
      <c r="A119" s="11" t="s">
        <v>93</v>
      </c>
      <c r="B119" s="163" t="s">
        <v>136</v>
      </c>
      <c r="C119" s="284"/>
      <c r="D119" s="284"/>
      <c r="E119" s="284"/>
      <c r="F119" s="11" t="s">
        <v>90</v>
      </c>
      <c r="G119" s="11"/>
      <c r="H119" s="60" t="s">
        <v>185</v>
      </c>
      <c r="I119" s="44" t="s">
        <v>186</v>
      </c>
      <c r="J119" s="58">
        <v>21</v>
      </c>
      <c r="K119" s="47">
        <v>95</v>
      </c>
      <c r="L119" s="48">
        <f>J119*K119</f>
        <v>1995</v>
      </c>
      <c r="M119" s="59">
        <v>21</v>
      </c>
      <c r="N119" s="59">
        <v>21</v>
      </c>
      <c r="O119" s="407">
        <v>95</v>
      </c>
      <c r="P119" s="49">
        <f t="shared" si="2"/>
        <v>1995</v>
      </c>
      <c r="Q119" s="49">
        <f t="shared" si="3"/>
        <v>1995</v>
      </c>
    </row>
    <row r="120" spans="1:17" ht="25" x14ac:dyDescent="0.35">
      <c r="A120" s="11" t="s">
        <v>93</v>
      </c>
      <c r="B120" s="163" t="s">
        <v>136</v>
      </c>
      <c r="C120" s="284"/>
      <c r="D120" s="284"/>
      <c r="E120" s="284"/>
      <c r="F120" s="11" t="s">
        <v>187</v>
      </c>
      <c r="G120" s="11"/>
      <c r="H120" s="60" t="s">
        <v>188</v>
      </c>
      <c r="I120" s="44" t="s">
        <v>186</v>
      </c>
      <c r="J120" s="58">
        <v>22</v>
      </c>
      <c r="K120" s="47">
        <v>95</v>
      </c>
      <c r="L120" s="48">
        <f>J120*K120</f>
        <v>2090</v>
      </c>
      <c r="M120" s="59">
        <v>22</v>
      </c>
      <c r="N120" s="59">
        <v>22</v>
      </c>
      <c r="O120" s="407">
        <v>95</v>
      </c>
      <c r="P120" s="49">
        <f t="shared" si="2"/>
        <v>2090</v>
      </c>
      <c r="Q120" s="49">
        <f t="shared" si="3"/>
        <v>2090</v>
      </c>
    </row>
    <row r="121" spans="1:17" ht="13" x14ac:dyDescent="0.35">
      <c r="A121" s="11" t="s">
        <v>93</v>
      </c>
      <c r="B121" s="163" t="s">
        <v>189</v>
      </c>
      <c r="C121" s="284"/>
      <c r="D121" s="284"/>
      <c r="E121" s="284"/>
      <c r="F121" s="11"/>
      <c r="G121" s="11"/>
      <c r="H121" s="43" t="s">
        <v>95</v>
      </c>
      <c r="I121" s="44"/>
      <c r="J121" s="45"/>
      <c r="K121" s="47"/>
      <c r="L121" s="48"/>
      <c r="M121" s="46"/>
      <c r="N121" s="46"/>
      <c r="O121" s="407"/>
      <c r="P121" s="49">
        <f t="shared" si="2"/>
        <v>0</v>
      </c>
      <c r="Q121" s="49">
        <f t="shared" si="3"/>
        <v>0</v>
      </c>
    </row>
    <row r="122" spans="1:17" ht="13" x14ac:dyDescent="0.35">
      <c r="A122" s="11" t="s">
        <v>93</v>
      </c>
      <c r="B122" s="163" t="s">
        <v>189</v>
      </c>
      <c r="C122" s="284"/>
      <c r="D122" s="284"/>
      <c r="E122" s="284"/>
      <c r="F122" s="11"/>
      <c r="G122" s="11"/>
      <c r="H122" s="43" t="s">
        <v>96</v>
      </c>
      <c r="I122" s="44"/>
      <c r="J122" s="45"/>
      <c r="K122" s="47"/>
      <c r="L122" s="48"/>
      <c r="M122" s="46"/>
      <c r="N122" s="46"/>
      <c r="O122" s="407"/>
      <c r="P122" s="49">
        <f t="shared" si="2"/>
        <v>0</v>
      </c>
      <c r="Q122" s="49">
        <f t="shared" si="3"/>
        <v>0</v>
      </c>
    </row>
    <row r="123" spans="1:17" ht="13" x14ac:dyDescent="0.35">
      <c r="A123" s="11" t="s">
        <v>93</v>
      </c>
      <c r="B123" s="163" t="s">
        <v>189</v>
      </c>
      <c r="C123" s="284"/>
      <c r="D123" s="284"/>
      <c r="E123" s="284"/>
      <c r="F123" s="11"/>
      <c r="G123" s="11"/>
      <c r="H123" s="43" t="s">
        <v>190</v>
      </c>
      <c r="I123" s="44"/>
      <c r="J123" s="45"/>
      <c r="K123" s="47"/>
      <c r="L123" s="48"/>
      <c r="M123" s="46"/>
      <c r="N123" s="46"/>
      <c r="O123" s="407"/>
      <c r="P123" s="49">
        <f t="shared" si="2"/>
        <v>0</v>
      </c>
      <c r="Q123" s="49">
        <f t="shared" si="3"/>
        <v>0</v>
      </c>
    </row>
    <row r="124" spans="1:17" ht="13" x14ac:dyDescent="0.35">
      <c r="A124" s="11" t="s">
        <v>93</v>
      </c>
      <c r="B124" s="163" t="s">
        <v>189</v>
      </c>
      <c r="C124" s="284"/>
      <c r="D124" s="284"/>
      <c r="E124" s="284"/>
      <c r="F124" s="11"/>
      <c r="G124" s="11"/>
      <c r="H124" s="43" t="s">
        <v>191</v>
      </c>
      <c r="I124" s="44"/>
      <c r="J124" s="45"/>
      <c r="K124" s="47"/>
      <c r="L124" s="48"/>
      <c r="M124" s="46"/>
      <c r="N124" s="46"/>
      <c r="O124" s="407"/>
      <c r="P124" s="49">
        <f t="shared" si="2"/>
        <v>0</v>
      </c>
      <c r="Q124" s="49">
        <f t="shared" si="3"/>
        <v>0</v>
      </c>
    </row>
    <row r="125" spans="1:17" ht="13" x14ac:dyDescent="0.35">
      <c r="A125" s="11" t="s">
        <v>93</v>
      </c>
      <c r="B125" s="163" t="s">
        <v>189</v>
      </c>
      <c r="C125" s="284"/>
      <c r="D125" s="284"/>
      <c r="E125" s="284"/>
      <c r="F125" s="11"/>
      <c r="G125" s="11"/>
      <c r="H125" s="57" t="s">
        <v>100</v>
      </c>
      <c r="I125" s="44"/>
      <c r="J125" s="45"/>
      <c r="K125" s="47"/>
      <c r="L125" s="48"/>
      <c r="M125" s="46"/>
      <c r="N125" s="46"/>
      <c r="O125" s="407"/>
      <c r="P125" s="49">
        <f t="shared" si="2"/>
        <v>0</v>
      </c>
      <c r="Q125" s="49">
        <f t="shared" si="3"/>
        <v>0</v>
      </c>
    </row>
    <row r="126" spans="1:17" x14ac:dyDescent="0.35">
      <c r="A126" s="11" t="s">
        <v>93</v>
      </c>
      <c r="B126" s="163" t="s">
        <v>189</v>
      </c>
      <c r="C126" s="284"/>
      <c r="D126" s="284"/>
      <c r="E126" s="284"/>
      <c r="F126" s="11"/>
      <c r="G126" s="11"/>
      <c r="H126" s="60" t="s">
        <v>101</v>
      </c>
      <c r="I126" s="44"/>
      <c r="J126" s="45"/>
      <c r="K126" s="47"/>
      <c r="L126" s="48"/>
      <c r="M126" s="46"/>
      <c r="N126" s="46"/>
      <c r="O126" s="407"/>
      <c r="P126" s="49">
        <f t="shared" si="2"/>
        <v>0</v>
      </c>
      <c r="Q126" s="49">
        <f t="shared" si="3"/>
        <v>0</v>
      </c>
    </row>
    <row r="127" spans="1:17" ht="13" x14ac:dyDescent="0.35">
      <c r="A127" s="11" t="s">
        <v>93</v>
      </c>
      <c r="B127" s="163" t="s">
        <v>189</v>
      </c>
      <c r="C127" s="284"/>
      <c r="D127" s="284"/>
      <c r="E127" s="284"/>
      <c r="F127" s="11"/>
      <c r="G127" s="11"/>
      <c r="H127" s="57" t="s">
        <v>102</v>
      </c>
      <c r="I127" s="44"/>
      <c r="J127" s="45"/>
      <c r="K127" s="47"/>
      <c r="L127" s="48"/>
      <c r="M127" s="46"/>
      <c r="N127" s="46"/>
      <c r="O127" s="407"/>
      <c r="P127" s="49">
        <f t="shared" si="2"/>
        <v>0</v>
      </c>
      <c r="Q127" s="49">
        <f t="shared" si="3"/>
        <v>0</v>
      </c>
    </row>
    <row r="128" spans="1:17" ht="25" x14ac:dyDescent="0.35">
      <c r="A128" s="11" t="s">
        <v>93</v>
      </c>
      <c r="B128" s="163" t="s">
        <v>189</v>
      </c>
      <c r="C128" s="284"/>
      <c r="D128" s="284"/>
      <c r="E128" s="284"/>
      <c r="F128" s="11"/>
      <c r="G128" s="11"/>
      <c r="H128" s="60" t="s">
        <v>192</v>
      </c>
      <c r="I128" s="44"/>
      <c r="J128" s="45"/>
      <c r="K128" s="47"/>
      <c r="L128" s="48"/>
      <c r="M128" s="46"/>
      <c r="N128" s="46"/>
      <c r="O128" s="407"/>
      <c r="P128" s="49">
        <f t="shared" si="2"/>
        <v>0</v>
      </c>
      <c r="Q128" s="49">
        <f t="shared" si="3"/>
        <v>0</v>
      </c>
    </row>
    <row r="129" spans="1:17" x14ac:dyDescent="0.35">
      <c r="A129" s="11" t="s">
        <v>93</v>
      </c>
      <c r="B129" s="163" t="s">
        <v>189</v>
      </c>
      <c r="C129" s="284"/>
      <c r="D129" s="284"/>
      <c r="E129" s="284"/>
      <c r="F129" s="11"/>
      <c r="G129" s="11"/>
      <c r="H129" s="62" t="s">
        <v>193</v>
      </c>
      <c r="I129" s="44"/>
      <c r="J129" s="58"/>
      <c r="K129" s="47"/>
      <c r="L129" s="48"/>
      <c r="M129" s="59"/>
      <c r="N129" s="59"/>
      <c r="O129" s="407"/>
      <c r="P129" s="49">
        <f t="shared" si="2"/>
        <v>0</v>
      </c>
      <c r="Q129" s="49">
        <f t="shared" si="3"/>
        <v>0</v>
      </c>
    </row>
    <row r="130" spans="1:17" x14ac:dyDescent="0.35">
      <c r="A130" s="11" t="s">
        <v>93</v>
      </c>
      <c r="B130" s="163" t="s">
        <v>189</v>
      </c>
      <c r="C130" s="284"/>
      <c r="D130" s="284"/>
      <c r="E130" s="284"/>
      <c r="F130" s="11"/>
      <c r="G130" s="11"/>
      <c r="H130" s="60" t="s">
        <v>194</v>
      </c>
      <c r="I130" s="44"/>
      <c r="J130" s="58"/>
      <c r="K130" s="47"/>
      <c r="L130" s="48"/>
      <c r="M130" s="59"/>
      <c r="N130" s="59"/>
      <c r="O130" s="407"/>
      <c r="P130" s="49">
        <f t="shared" si="2"/>
        <v>0</v>
      </c>
      <c r="Q130" s="49">
        <f t="shared" si="3"/>
        <v>0</v>
      </c>
    </row>
    <row r="131" spans="1:17" x14ac:dyDescent="0.35">
      <c r="A131" s="11" t="s">
        <v>93</v>
      </c>
      <c r="B131" s="163" t="s">
        <v>189</v>
      </c>
      <c r="C131" s="284"/>
      <c r="D131" s="284"/>
      <c r="E131" s="284"/>
      <c r="F131" s="11"/>
      <c r="G131" s="11"/>
      <c r="H131" s="62" t="s">
        <v>195</v>
      </c>
      <c r="I131" s="44"/>
      <c r="J131" s="58"/>
      <c r="K131" s="47"/>
      <c r="L131" s="48"/>
      <c r="M131" s="59"/>
      <c r="N131" s="59"/>
      <c r="O131" s="407"/>
      <c r="P131" s="49">
        <f t="shared" si="2"/>
        <v>0</v>
      </c>
      <c r="Q131" s="49">
        <f t="shared" si="3"/>
        <v>0</v>
      </c>
    </row>
    <row r="132" spans="1:17" ht="37.5" x14ac:dyDescent="0.35">
      <c r="A132" s="11" t="s">
        <v>93</v>
      </c>
      <c r="B132" s="163" t="s">
        <v>189</v>
      </c>
      <c r="C132" s="284"/>
      <c r="D132" s="284"/>
      <c r="E132" s="284"/>
      <c r="F132" s="11"/>
      <c r="G132" s="11"/>
      <c r="H132" s="60" t="s">
        <v>196</v>
      </c>
      <c r="I132" s="44"/>
      <c r="J132" s="58"/>
      <c r="K132" s="47"/>
      <c r="L132" s="48"/>
      <c r="M132" s="59"/>
      <c r="N132" s="59"/>
      <c r="O132" s="407"/>
      <c r="P132" s="49">
        <f t="shared" si="2"/>
        <v>0</v>
      </c>
      <c r="Q132" s="49">
        <f t="shared" si="3"/>
        <v>0</v>
      </c>
    </row>
    <row r="133" spans="1:17" x14ac:dyDescent="0.35">
      <c r="A133" s="11" t="s">
        <v>93</v>
      </c>
      <c r="B133" s="163" t="s">
        <v>189</v>
      </c>
      <c r="C133" s="284"/>
      <c r="D133" s="284"/>
      <c r="E133" s="284"/>
      <c r="F133" s="11"/>
      <c r="G133" s="11"/>
      <c r="H133" s="62" t="s">
        <v>197</v>
      </c>
      <c r="I133" s="44"/>
      <c r="J133" s="45"/>
      <c r="K133" s="47"/>
      <c r="L133" s="48"/>
      <c r="M133" s="46"/>
      <c r="N133" s="46"/>
      <c r="O133" s="407"/>
      <c r="P133" s="49">
        <f t="shared" si="2"/>
        <v>0</v>
      </c>
      <c r="Q133" s="49">
        <f t="shared" si="3"/>
        <v>0</v>
      </c>
    </row>
    <row r="134" spans="1:17" ht="37.5" x14ac:dyDescent="0.35">
      <c r="A134" s="11" t="s">
        <v>93</v>
      </c>
      <c r="B134" s="163" t="s">
        <v>189</v>
      </c>
      <c r="C134" s="284"/>
      <c r="D134" s="284"/>
      <c r="E134" s="284"/>
      <c r="F134" s="11"/>
      <c r="G134" s="11"/>
      <c r="H134" s="60" t="s">
        <v>198</v>
      </c>
      <c r="I134" s="44"/>
      <c r="J134" s="45"/>
      <c r="K134" s="47"/>
      <c r="L134" s="48"/>
      <c r="M134" s="46"/>
      <c r="N134" s="46"/>
      <c r="O134" s="407"/>
      <c r="P134" s="49">
        <f t="shared" si="2"/>
        <v>0</v>
      </c>
      <c r="Q134" s="49">
        <f t="shared" si="3"/>
        <v>0</v>
      </c>
    </row>
    <row r="135" spans="1:17" ht="13" x14ac:dyDescent="0.35">
      <c r="A135" s="11" t="s">
        <v>93</v>
      </c>
      <c r="B135" s="163" t="s">
        <v>189</v>
      </c>
      <c r="C135" s="284"/>
      <c r="D135" s="284"/>
      <c r="E135" s="284"/>
      <c r="F135" s="11"/>
      <c r="G135" s="11"/>
      <c r="H135" s="57" t="s">
        <v>199</v>
      </c>
      <c r="I135" s="44"/>
      <c r="J135" s="45"/>
      <c r="K135" s="47"/>
      <c r="L135" s="48"/>
      <c r="M135" s="46"/>
      <c r="N135" s="46"/>
      <c r="O135" s="407"/>
      <c r="P135" s="49">
        <f t="shared" si="2"/>
        <v>0</v>
      </c>
      <c r="Q135" s="49">
        <f t="shared" si="3"/>
        <v>0</v>
      </c>
    </row>
    <row r="136" spans="1:17" ht="13" x14ac:dyDescent="0.35">
      <c r="A136" s="11" t="s">
        <v>93</v>
      </c>
      <c r="B136" s="163" t="s">
        <v>189</v>
      </c>
      <c r="C136" s="284"/>
      <c r="D136" s="284"/>
      <c r="E136" s="284"/>
      <c r="F136" s="11"/>
      <c r="G136" s="11"/>
      <c r="H136" s="57" t="s">
        <v>200</v>
      </c>
      <c r="I136" s="44"/>
      <c r="J136" s="45"/>
      <c r="K136" s="47"/>
      <c r="L136" s="48"/>
      <c r="M136" s="46"/>
      <c r="N136" s="46"/>
      <c r="O136" s="407"/>
      <c r="P136" s="49">
        <f t="shared" si="2"/>
        <v>0</v>
      </c>
      <c r="Q136" s="49">
        <f t="shared" si="3"/>
        <v>0</v>
      </c>
    </row>
    <row r="137" spans="1:17" ht="13" x14ac:dyDescent="0.35">
      <c r="A137" s="11" t="s">
        <v>93</v>
      </c>
      <c r="B137" s="163" t="s">
        <v>189</v>
      </c>
      <c r="C137" s="284"/>
      <c r="D137" s="284"/>
      <c r="E137" s="284"/>
      <c r="F137" s="11"/>
      <c r="G137" s="11"/>
      <c r="H137" s="57" t="s">
        <v>201</v>
      </c>
      <c r="I137" s="44"/>
      <c r="J137" s="45"/>
      <c r="K137" s="47"/>
      <c r="L137" s="48"/>
      <c r="M137" s="46"/>
      <c r="N137" s="46"/>
      <c r="O137" s="407"/>
      <c r="P137" s="49">
        <f t="shared" si="2"/>
        <v>0</v>
      </c>
      <c r="Q137" s="49">
        <f t="shared" si="3"/>
        <v>0</v>
      </c>
    </row>
    <row r="138" spans="1:17" ht="14.5" x14ac:dyDescent="0.35">
      <c r="A138" s="11" t="s">
        <v>93</v>
      </c>
      <c r="B138" s="163" t="s">
        <v>189</v>
      </c>
      <c r="C138" s="284"/>
      <c r="D138" s="284"/>
      <c r="E138" s="284"/>
      <c r="F138" s="11" t="s">
        <v>20</v>
      </c>
      <c r="G138" s="11"/>
      <c r="H138" s="60" t="s">
        <v>202</v>
      </c>
      <c r="I138" s="44" t="s">
        <v>117</v>
      </c>
      <c r="J138" s="45">
        <v>3</v>
      </c>
      <c r="K138" s="47">
        <v>295</v>
      </c>
      <c r="L138" s="48">
        <f>J138*K138</f>
        <v>885</v>
      </c>
      <c r="M138" s="46">
        <v>3</v>
      </c>
      <c r="N138" s="46">
        <v>3</v>
      </c>
      <c r="O138" s="407">
        <v>295</v>
      </c>
      <c r="P138" s="49">
        <f t="shared" ref="P138:P201" si="4">O138*M138</f>
        <v>885</v>
      </c>
      <c r="Q138" s="49">
        <f t="shared" ref="Q138:Q201" si="5">O138*N138</f>
        <v>885</v>
      </c>
    </row>
    <row r="139" spans="1:17" ht="14.5" x14ac:dyDescent="0.35">
      <c r="A139" s="11" t="s">
        <v>93</v>
      </c>
      <c r="B139" s="163" t="s">
        <v>189</v>
      </c>
      <c r="C139" s="284"/>
      <c r="D139" s="284"/>
      <c r="E139" s="284"/>
      <c r="F139" s="11" t="s">
        <v>26</v>
      </c>
      <c r="G139" s="11"/>
      <c r="H139" s="60" t="s">
        <v>203</v>
      </c>
      <c r="I139" s="44" t="s">
        <v>110</v>
      </c>
      <c r="J139" s="45">
        <v>30</v>
      </c>
      <c r="K139" s="47">
        <v>295</v>
      </c>
      <c r="L139" s="48">
        <f>J139*K139</f>
        <v>8850</v>
      </c>
      <c r="M139" s="46">
        <v>30</v>
      </c>
      <c r="N139" s="46">
        <v>30</v>
      </c>
      <c r="O139" s="407">
        <v>295</v>
      </c>
      <c r="P139" s="49">
        <f t="shared" si="4"/>
        <v>8850</v>
      </c>
      <c r="Q139" s="49">
        <f t="shared" si="5"/>
        <v>8850</v>
      </c>
    </row>
    <row r="140" spans="1:17" ht="14.5" x14ac:dyDescent="0.35">
      <c r="A140" s="11" t="s">
        <v>93</v>
      </c>
      <c r="B140" s="163" t="s">
        <v>189</v>
      </c>
      <c r="C140" s="284"/>
      <c r="D140" s="284"/>
      <c r="E140" s="284"/>
      <c r="F140" s="11" t="s">
        <v>29</v>
      </c>
      <c r="G140" s="11"/>
      <c r="H140" s="60" t="s">
        <v>204</v>
      </c>
      <c r="I140" s="44" t="s">
        <v>110</v>
      </c>
      <c r="J140" s="45">
        <v>6</v>
      </c>
      <c r="K140" s="47">
        <v>235</v>
      </c>
      <c r="L140" s="48">
        <f>J140*K140</f>
        <v>1410</v>
      </c>
      <c r="M140" s="46">
        <v>6</v>
      </c>
      <c r="N140" s="46">
        <v>6</v>
      </c>
      <c r="O140" s="407">
        <v>235</v>
      </c>
      <c r="P140" s="49">
        <f t="shared" si="4"/>
        <v>1410</v>
      </c>
      <c r="Q140" s="49">
        <f t="shared" si="5"/>
        <v>1410</v>
      </c>
    </row>
    <row r="141" spans="1:17" ht="13" x14ac:dyDescent="0.35">
      <c r="A141" s="11" t="s">
        <v>93</v>
      </c>
      <c r="B141" s="163" t="s">
        <v>189</v>
      </c>
      <c r="C141" s="284"/>
      <c r="D141" s="284"/>
      <c r="E141" s="284"/>
      <c r="F141" s="11"/>
      <c r="G141" s="11"/>
      <c r="H141" s="57" t="s">
        <v>205</v>
      </c>
      <c r="I141" s="44"/>
      <c r="J141" s="45"/>
      <c r="K141" s="47"/>
      <c r="L141" s="48"/>
      <c r="M141" s="46"/>
      <c r="N141" s="46"/>
      <c r="O141" s="407"/>
      <c r="P141" s="49">
        <f t="shared" si="4"/>
        <v>0</v>
      </c>
      <c r="Q141" s="49">
        <f t="shared" si="5"/>
        <v>0</v>
      </c>
    </row>
    <row r="142" spans="1:17" ht="13" x14ac:dyDescent="0.35">
      <c r="A142" s="11" t="s">
        <v>93</v>
      </c>
      <c r="B142" s="163" t="s">
        <v>189</v>
      </c>
      <c r="C142" s="284"/>
      <c r="D142" s="284"/>
      <c r="E142" s="284"/>
      <c r="F142" s="11"/>
      <c r="G142" s="11"/>
      <c r="H142" s="57" t="s">
        <v>201</v>
      </c>
      <c r="I142" s="44"/>
      <c r="J142" s="45"/>
      <c r="K142" s="47"/>
      <c r="L142" s="48"/>
      <c r="M142" s="46"/>
      <c r="N142" s="46"/>
      <c r="O142" s="407"/>
      <c r="P142" s="49">
        <f t="shared" si="4"/>
        <v>0</v>
      </c>
      <c r="Q142" s="49">
        <f t="shared" si="5"/>
        <v>0</v>
      </c>
    </row>
    <row r="143" spans="1:17" ht="14.5" x14ac:dyDescent="0.35">
      <c r="A143" s="11" t="s">
        <v>93</v>
      </c>
      <c r="B143" s="163" t="s">
        <v>189</v>
      </c>
      <c r="C143" s="284"/>
      <c r="D143" s="284"/>
      <c r="E143" s="284"/>
      <c r="F143" s="11" t="s">
        <v>32</v>
      </c>
      <c r="G143" s="11"/>
      <c r="H143" s="60" t="s">
        <v>202</v>
      </c>
      <c r="I143" s="44" t="s">
        <v>117</v>
      </c>
      <c r="J143" s="45">
        <v>12</v>
      </c>
      <c r="K143" s="47">
        <v>295</v>
      </c>
      <c r="L143" s="48">
        <f>J143*K143</f>
        <v>3540</v>
      </c>
      <c r="M143" s="46">
        <v>12</v>
      </c>
      <c r="N143" s="46">
        <v>12</v>
      </c>
      <c r="O143" s="407">
        <v>295</v>
      </c>
      <c r="P143" s="49">
        <f t="shared" si="4"/>
        <v>3540</v>
      </c>
      <c r="Q143" s="49">
        <f t="shared" si="5"/>
        <v>3540</v>
      </c>
    </row>
    <row r="144" spans="1:17" ht="14.5" x14ac:dyDescent="0.35">
      <c r="A144" s="11" t="s">
        <v>93</v>
      </c>
      <c r="B144" s="163" t="s">
        <v>189</v>
      </c>
      <c r="C144" s="284"/>
      <c r="D144" s="284"/>
      <c r="E144" s="284"/>
      <c r="F144" s="11" t="s">
        <v>36</v>
      </c>
      <c r="G144" s="11"/>
      <c r="H144" s="60" t="s">
        <v>203</v>
      </c>
      <c r="I144" s="44" t="s">
        <v>110</v>
      </c>
      <c r="J144" s="45">
        <v>180</v>
      </c>
      <c r="K144" s="47">
        <v>295</v>
      </c>
      <c r="L144" s="48">
        <f>J144*K144</f>
        <v>53100</v>
      </c>
      <c r="M144" s="46">
        <v>180</v>
      </c>
      <c r="N144" s="46">
        <v>180</v>
      </c>
      <c r="O144" s="407">
        <v>295</v>
      </c>
      <c r="P144" s="49">
        <f t="shared" si="4"/>
        <v>53100</v>
      </c>
      <c r="Q144" s="49">
        <f t="shared" si="5"/>
        <v>53100</v>
      </c>
    </row>
    <row r="145" spans="1:17" ht="14.5" x14ac:dyDescent="0.35">
      <c r="A145" s="11" t="s">
        <v>93</v>
      </c>
      <c r="B145" s="163" t="s">
        <v>189</v>
      </c>
      <c r="C145" s="284"/>
      <c r="D145" s="284"/>
      <c r="E145" s="284"/>
      <c r="F145" s="11" t="s">
        <v>39</v>
      </c>
      <c r="G145" s="11"/>
      <c r="H145" s="60" t="s">
        <v>206</v>
      </c>
      <c r="I145" s="44" t="s">
        <v>110</v>
      </c>
      <c r="J145" s="45">
        <v>24</v>
      </c>
      <c r="K145" s="47">
        <v>295</v>
      </c>
      <c r="L145" s="48">
        <f>J145*K145</f>
        <v>7080</v>
      </c>
      <c r="M145" s="46">
        <v>24</v>
      </c>
      <c r="N145" s="46">
        <v>24</v>
      </c>
      <c r="O145" s="407">
        <v>295</v>
      </c>
      <c r="P145" s="49">
        <f t="shared" si="4"/>
        <v>7080</v>
      </c>
      <c r="Q145" s="49">
        <f t="shared" si="5"/>
        <v>7080</v>
      </c>
    </row>
    <row r="146" spans="1:17" ht="14.5" x14ac:dyDescent="0.35">
      <c r="A146" s="11" t="s">
        <v>93</v>
      </c>
      <c r="B146" s="163" t="s">
        <v>189</v>
      </c>
      <c r="C146" s="284"/>
      <c r="D146" s="284"/>
      <c r="E146" s="284"/>
      <c r="F146" s="11" t="s">
        <v>42</v>
      </c>
      <c r="G146" s="11"/>
      <c r="H146" s="60" t="s">
        <v>204</v>
      </c>
      <c r="I146" s="44" t="s">
        <v>110</v>
      </c>
      <c r="J146" s="45">
        <v>10</v>
      </c>
      <c r="K146" s="47">
        <v>235</v>
      </c>
      <c r="L146" s="48">
        <f>J146*K146</f>
        <v>2350</v>
      </c>
      <c r="M146" s="46">
        <v>10</v>
      </c>
      <c r="N146" s="46">
        <v>10</v>
      </c>
      <c r="O146" s="407">
        <v>235</v>
      </c>
      <c r="P146" s="49">
        <f t="shared" si="4"/>
        <v>2350</v>
      </c>
      <c r="Q146" s="49">
        <f t="shared" si="5"/>
        <v>2350</v>
      </c>
    </row>
    <row r="147" spans="1:17" ht="26" x14ac:dyDescent="0.35">
      <c r="A147" s="11" t="s">
        <v>93</v>
      </c>
      <c r="B147" s="163" t="s">
        <v>189</v>
      </c>
      <c r="C147" s="284"/>
      <c r="D147" s="284"/>
      <c r="E147" s="284"/>
      <c r="F147" s="11"/>
      <c r="G147" s="11"/>
      <c r="H147" s="57" t="s">
        <v>207</v>
      </c>
      <c r="I147" s="44"/>
      <c r="J147" s="45"/>
      <c r="K147" s="47"/>
      <c r="L147" s="48"/>
      <c r="M147" s="46"/>
      <c r="N147" s="46"/>
      <c r="O147" s="407"/>
      <c r="P147" s="49">
        <f t="shared" si="4"/>
        <v>0</v>
      </c>
      <c r="Q147" s="49">
        <f t="shared" si="5"/>
        <v>0</v>
      </c>
    </row>
    <row r="148" spans="1:17" x14ac:dyDescent="0.35">
      <c r="A148" s="11" t="s">
        <v>93</v>
      </c>
      <c r="B148" s="163" t="s">
        <v>189</v>
      </c>
      <c r="C148" s="284"/>
      <c r="D148" s="284"/>
      <c r="E148" s="284"/>
      <c r="F148" s="11" t="s">
        <v>45</v>
      </c>
      <c r="G148" s="11"/>
      <c r="H148" s="60" t="s">
        <v>208</v>
      </c>
      <c r="I148" s="44" t="s">
        <v>186</v>
      </c>
      <c r="J148" s="45">
        <v>24</v>
      </c>
      <c r="K148" s="47">
        <v>295</v>
      </c>
      <c r="L148" s="48">
        <f>J148*K148</f>
        <v>7080</v>
      </c>
      <c r="M148" s="46">
        <v>24</v>
      </c>
      <c r="N148" s="46">
        <v>24</v>
      </c>
      <c r="O148" s="407">
        <v>295</v>
      </c>
      <c r="P148" s="49">
        <f t="shared" si="4"/>
        <v>7080</v>
      </c>
      <c r="Q148" s="49">
        <f t="shared" si="5"/>
        <v>7080</v>
      </c>
    </row>
    <row r="149" spans="1:17" ht="26" x14ac:dyDescent="0.35">
      <c r="A149" s="11" t="s">
        <v>93</v>
      </c>
      <c r="B149" s="163" t="s">
        <v>189</v>
      </c>
      <c r="C149" s="284"/>
      <c r="D149" s="284"/>
      <c r="E149" s="284"/>
      <c r="F149" s="11"/>
      <c r="G149" s="11"/>
      <c r="H149" s="57" t="s">
        <v>209</v>
      </c>
      <c r="I149" s="44"/>
      <c r="J149" s="58"/>
      <c r="K149" s="47"/>
      <c r="L149" s="48"/>
      <c r="M149" s="59"/>
      <c r="N149" s="59"/>
      <c r="O149" s="407"/>
      <c r="P149" s="49">
        <f t="shared" si="4"/>
        <v>0</v>
      </c>
      <c r="Q149" s="49">
        <f t="shared" si="5"/>
        <v>0</v>
      </c>
    </row>
    <row r="150" spans="1:17" ht="25" x14ac:dyDescent="0.35">
      <c r="A150" s="11" t="s">
        <v>93</v>
      </c>
      <c r="B150" s="163" t="s">
        <v>189</v>
      </c>
      <c r="C150" s="284"/>
      <c r="D150" s="284"/>
      <c r="E150" s="284"/>
      <c r="F150" s="11" t="s">
        <v>210</v>
      </c>
      <c r="G150" s="11"/>
      <c r="H150" s="60" t="s">
        <v>211</v>
      </c>
      <c r="I150" s="44" t="s">
        <v>186</v>
      </c>
      <c r="J150" s="58">
        <v>28</v>
      </c>
      <c r="K150" s="47">
        <v>95</v>
      </c>
      <c r="L150" s="48">
        <f>J150*K150</f>
        <v>2660</v>
      </c>
      <c r="M150" s="59">
        <v>28</v>
      </c>
      <c r="N150" s="59">
        <v>28</v>
      </c>
      <c r="O150" s="407">
        <v>95</v>
      </c>
      <c r="P150" s="49">
        <f t="shared" si="4"/>
        <v>2660</v>
      </c>
      <c r="Q150" s="49">
        <f t="shared" si="5"/>
        <v>2660</v>
      </c>
    </row>
    <row r="151" spans="1:17" ht="13" x14ac:dyDescent="0.35">
      <c r="A151" s="11" t="s">
        <v>93</v>
      </c>
      <c r="B151" s="163" t="s">
        <v>189</v>
      </c>
      <c r="C151" s="284"/>
      <c r="D151" s="284"/>
      <c r="E151" s="284"/>
      <c r="F151" s="11"/>
      <c r="G151" s="11"/>
      <c r="H151" s="57" t="s">
        <v>212</v>
      </c>
      <c r="I151" s="44"/>
      <c r="J151" s="58"/>
      <c r="K151" s="47"/>
      <c r="L151" s="48"/>
      <c r="M151" s="59"/>
      <c r="N151" s="59"/>
      <c r="O151" s="407"/>
      <c r="P151" s="49">
        <f t="shared" si="4"/>
        <v>0</v>
      </c>
      <c r="Q151" s="49">
        <f t="shared" si="5"/>
        <v>0</v>
      </c>
    </row>
    <row r="152" spans="1:17" x14ac:dyDescent="0.35">
      <c r="A152" s="11" t="s">
        <v>93</v>
      </c>
      <c r="B152" s="163" t="s">
        <v>189</v>
      </c>
      <c r="C152" s="284"/>
      <c r="D152" s="284"/>
      <c r="E152" s="284"/>
      <c r="F152" s="11" t="s">
        <v>48</v>
      </c>
      <c r="G152" s="11"/>
      <c r="H152" s="60" t="s">
        <v>213</v>
      </c>
      <c r="I152" s="44" t="s">
        <v>186</v>
      </c>
      <c r="J152" s="58">
        <v>33</v>
      </c>
      <c r="K152" s="47">
        <v>35</v>
      </c>
      <c r="L152" s="48">
        <f>J152*K152</f>
        <v>1155</v>
      </c>
      <c r="M152" s="59">
        <v>33</v>
      </c>
      <c r="N152" s="59">
        <v>33</v>
      </c>
      <c r="O152" s="407">
        <v>35</v>
      </c>
      <c r="P152" s="49">
        <f t="shared" si="4"/>
        <v>1155</v>
      </c>
      <c r="Q152" s="49">
        <f t="shared" si="5"/>
        <v>1155</v>
      </c>
    </row>
    <row r="153" spans="1:17" ht="13" x14ac:dyDescent="0.35">
      <c r="A153" s="11" t="s">
        <v>93</v>
      </c>
      <c r="B153" s="163" t="s">
        <v>189</v>
      </c>
      <c r="C153" s="284"/>
      <c r="D153" s="284"/>
      <c r="E153" s="284"/>
      <c r="F153" s="11"/>
      <c r="G153" s="11"/>
      <c r="H153" s="57" t="s">
        <v>214</v>
      </c>
      <c r="I153" s="44"/>
      <c r="J153" s="45"/>
      <c r="K153" s="47"/>
      <c r="L153" s="48"/>
      <c r="M153" s="46"/>
      <c r="N153" s="46"/>
      <c r="O153" s="407"/>
      <c r="P153" s="49">
        <f t="shared" si="4"/>
        <v>0</v>
      </c>
      <c r="Q153" s="49">
        <f t="shared" si="5"/>
        <v>0</v>
      </c>
    </row>
    <row r="154" spans="1:17" x14ac:dyDescent="0.35">
      <c r="A154" s="11" t="s">
        <v>93</v>
      </c>
      <c r="B154" s="163" t="s">
        <v>189</v>
      </c>
      <c r="C154" s="284"/>
      <c r="D154" s="284"/>
      <c r="E154" s="284"/>
      <c r="F154" s="11"/>
      <c r="G154" s="11"/>
      <c r="H154" s="62" t="s">
        <v>215</v>
      </c>
      <c r="I154" s="44"/>
      <c r="J154" s="45"/>
      <c r="K154" s="47"/>
      <c r="L154" s="48"/>
      <c r="M154" s="46"/>
      <c r="N154" s="46"/>
      <c r="O154" s="407"/>
      <c r="P154" s="49">
        <f t="shared" si="4"/>
        <v>0</v>
      </c>
      <c r="Q154" s="49">
        <f t="shared" si="5"/>
        <v>0</v>
      </c>
    </row>
    <row r="155" spans="1:17" ht="13" x14ac:dyDescent="0.35">
      <c r="A155" s="11" t="s">
        <v>93</v>
      </c>
      <c r="B155" s="163" t="s">
        <v>189</v>
      </c>
      <c r="C155" s="284"/>
      <c r="D155" s="284"/>
      <c r="E155" s="284"/>
      <c r="F155" s="11"/>
      <c r="G155" s="11"/>
      <c r="H155" s="57" t="s">
        <v>216</v>
      </c>
      <c r="I155" s="44"/>
      <c r="J155" s="45"/>
      <c r="K155" s="47"/>
      <c r="L155" s="48"/>
      <c r="M155" s="46"/>
      <c r="N155" s="46"/>
      <c r="O155" s="407"/>
      <c r="P155" s="49">
        <f t="shared" si="4"/>
        <v>0</v>
      </c>
      <c r="Q155" s="49">
        <f t="shared" si="5"/>
        <v>0</v>
      </c>
    </row>
    <row r="156" spans="1:17" ht="14.5" x14ac:dyDescent="0.35">
      <c r="A156" s="11" t="s">
        <v>93</v>
      </c>
      <c r="B156" s="163" t="s">
        <v>189</v>
      </c>
      <c r="C156" s="284"/>
      <c r="D156" s="284"/>
      <c r="E156" s="284"/>
      <c r="F156" s="11" t="s">
        <v>51</v>
      </c>
      <c r="G156" s="11"/>
      <c r="H156" s="60" t="s">
        <v>217</v>
      </c>
      <c r="I156" s="44" t="s">
        <v>110</v>
      </c>
      <c r="J156" s="45">
        <v>23</v>
      </c>
      <c r="K156" s="47">
        <v>550</v>
      </c>
      <c r="L156" s="48">
        <f>J156*K156</f>
        <v>12650</v>
      </c>
      <c r="M156" s="46">
        <v>23</v>
      </c>
      <c r="N156" s="46">
        <v>23</v>
      </c>
      <c r="O156" s="407">
        <v>550</v>
      </c>
      <c r="P156" s="49">
        <f t="shared" si="4"/>
        <v>12650</v>
      </c>
      <c r="Q156" s="49">
        <f t="shared" si="5"/>
        <v>12650</v>
      </c>
    </row>
    <row r="157" spans="1:17" ht="14.5" x14ac:dyDescent="0.35">
      <c r="A157" s="11" t="s">
        <v>93</v>
      </c>
      <c r="B157" s="163" t="s">
        <v>189</v>
      </c>
      <c r="C157" s="284"/>
      <c r="D157" s="284"/>
      <c r="E157" s="284"/>
      <c r="F157" s="11" t="s">
        <v>53</v>
      </c>
      <c r="G157" s="11"/>
      <c r="H157" s="60" t="s">
        <v>218</v>
      </c>
      <c r="I157" s="44" t="s">
        <v>110</v>
      </c>
      <c r="J157" s="45">
        <v>151</v>
      </c>
      <c r="K157" s="47">
        <v>550</v>
      </c>
      <c r="L157" s="48">
        <f>J157*K157</f>
        <v>83050</v>
      </c>
      <c r="M157" s="46">
        <v>151</v>
      </c>
      <c r="N157" s="46">
        <v>151</v>
      </c>
      <c r="O157" s="407">
        <v>550</v>
      </c>
      <c r="P157" s="49">
        <f t="shared" si="4"/>
        <v>83050</v>
      </c>
      <c r="Q157" s="49">
        <f t="shared" si="5"/>
        <v>83050</v>
      </c>
    </row>
    <row r="158" spans="1:17" x14ac:dyDescent="0.35">
      <c r="A158" s="11" t="s">
        <v>93</v>
      </c>
      <c r="B158" s="163" t="s">
        <v>189</v>
      </c>
      <c r="C158" s="284"/>
      <c r="D158" s="284"/>
      <c r="E158" s="284"/>
      <c r="F158" s="11" t="s">
        <v>55</v>
      </c>
      <c r="G158" s="11"/>
      <c r="H158" s="60" t="s">
        <v>219</v>
      </c>
      <c r="I158" s="44" t="s">
        <v>186</v>
      </c>
      <c r="J158" s="45">
        <v>58</v>
      </c>
      <c r="K158" s="47">
        <v>285</v>
      </c>
      <c r="L158" s="48">
        <f>J158*K158</f>
        <v>16530</v>
      </c>
      <c r="M158" s="46">
        <v>58</v>
      </c>
      <c r="N158" s="46">
        <v>58</v>
      </c>
      <c r="O158" s="407">
        <v>285</v>
      </c>
      <c r="P158" s="49">
        <f t="shared" si="4"/>
        <v>16530</v>
      </c>
      <c r="Q158" s="49">
        <f t="shared" si="5"/>
        <v>16530</v>
      </c>
    </row>
    <row r="159" spans="1:17" ht="13" x14ac:dyDescent="0.35">
      <c r="A159" s="11" t="s">
        <v>93</v>
      </c>
      <c r="B159" s="163" t="s">
        <v>189</v>
      </c>
      <c r="C159" s="284"/>
      <c r="D159" s="284"/>
      <c r="E159" s="284"/>
      <c r="F159" s="11"/>
      <c r="G159" s="11"/>
      <c r="H159" s="57" t="s">
        <v>220</v>
      </c>
      <c r="I159" s="44"/>
      <c r="J159" s="45"/>
      <c r="K159" s="47"/>
      <c r="L159" s="48"/>
      <c r="M159" s="46"/>
      <c r="N159" s="46"/>
      <c r="O159" s="407"/>
      <c r="P159" s="49">
        <f t="shared" si="4"/>
        <v>0</v>
      </c>
      <c r="Q159" s="49">
        <f t="shared" si="5"/>
        <v>0</v>
      </c>
    </row>
    <row r="160" spans="1:17" ht="13" x14ac:dyDescent="0.35">
      <c r="A160" s="11" t="s">
        <v>93</v>
      </c>
      <c r="B160" s="163" t="s">
        <v>189</v>
      </c>
      <c r="C160" s="284"/>
      <c r="D160" s="284"/>
      <c r="E160" s="284"/>
      <c r="F160" s="11"/>
      <c r="G160" s="11"/>
      <c r="H160" s="57" t="s">
        <v>221</v>
      </c>
      <c r="I160" s="44"/>
      <c r="J160" s="45"/>
      <c r="K160" s="47"/>
      <c r="L160" s="48"/>
      <c r="M160" s="46"/>
      <c r="N160" s="46"/>
      <c r="O160" s="407"/>
      <c r="P160" s="49">
        <f t="shared" si="4"/>
        <v>0</v>
      </c>
      <c r="Q160" s="49">
        <f t="shared" si="5"/>
        <v>0</v>
      </c>
    </row>
    <row r="161" spans="1:17" x14ac:dyDescent="0.35">
      <c r="A161" s="11" t="s">
        <v>93</v>
      </c>
      <c r="B161" s="163" t="s">
        <v>189</v>
      </c>
      <c r="C161" s="284"/>
      <c r="D161" s="284"/>
      <c r="E161" s="284"/>
      <c r="F161" s="11" t="s">
        <v>58</v>
      </c>
      <c r="G161" s="11"/>
      <c r="H161" s="60" t="s">
        <v>222</v>
      </c>
      <c r="I161" s="44" t="s">
        <v>186</v>
      </c>
      <c r="J161" s="45">
        <v>45</v>
      </c>
      <c r="K161" s="47">
        <v>10</v>
      </c>
      <c r="L161" s="48">
        <f>J161*K161</f>
        <v>450</v>
      </c>
      <c r="M161" s="46">
        <v>45</v>
      </c>
      <c r="N161" s="46">
        <v>45</v>
      </c>
      <c r="O161" s="407">
        <v>10</v>
      </c>
      <c r="P161" s="49">
        <f t="shared" si="4"/>
        <v>450</v>
      </c>
      <c r="Q161" s="49">
        <f t="shared" si="5"/>
        <v>450</v>
      </c>
    </row>
    <row r="162" spans="1:17" x14ac:dyDescent="0.35">
      <c r="A162" s="11" t="s">
        <v>93</v>
      </c>
      <c r="B162" s="163" t="s">
        <v>189</v>
      </c>
      <c r="C162" s="284"/>
      <c r="D162" s="284"/>
      <c r="E162" s="284"/>
      <c r="F162" s="11" t="s">
        <v>87</v>
      </c>
      <c r="G162" s="11"/>
      <c r="H162" s="60" t="s">
        <v>223</v>
      </c>
      <c r="I162" s="44" t="s">
        <v>186</v>
      </c>
      <c r="J162" s="45">
        <v>757</v>
      </c>
      <c r="K162" s="47">
        <v>15</v>
      </c>
      <c r="L162" s="48">
        <f>J162*K162</f>
        <v>11355</v>
      </c>
      <c r="M162" s="46">
        <v>757</v>
      </c>
      <c r="N162" s="46">
        <v>757</v>
      </c>
      <c r="O162" s="407">
        <v>15</v>
      </c>
      <c r="P162" s="49">
        <f t="shared" si="4"/>
        <v>11355</v>
      </c>
      <c r="Q162" s="49">
        <f t="shared" si="5"/>
        <v>11355</v>
      </c>
    </row>
    <row r="163" spans="1:17" s="71" customFormat="1" ht="13" x14ac:dyDescent="0.35">
      <c r="A163" s="11" t="s">
        <v>93</v>
      </c>
      <c r="B163" s="163" t="s">
        <v>224</v>
      </c>
      <c r="C163" s="284"/>
      <c r="D163" s="284"/>
      <c r="E163" s="284"/>
      <c r="F163" s="11"/>
      <c r="G163" s="11"/>
      <c r="H163" s="43" t="s">
        <v>95</v>
      </c>
      <c r="I163" s="44"/>
      <c r="J163" s="45"/>
      <c r="K163" s="47"/>
      <c r="L163" s="48"/>
      <c r="M163" s="46"/>
      <c r="N163" s="46"/>
      <c r="O163" s="407"/>
      <c r="P163" s="49">
        <f t="shared" si="4"/>
        <v>0</v>
      </c>
      <c r="Q163" s="49">
        <f t="shared" si="5"/>
        <v>0</v>
      </c>
    </row>
    <row r="164" spans="1:17" s="71" customFormat="1" ht="13" x14ac:dyDescent="0.35">
      <c r="A164" s="11" t="s">
        <v>93</v>
      </c>
      <c r="B164" s="163" t="s">
        <v>224</v>
      </c>
      <c r="C164" s="284"/>
      <c r="D164" s="284"/>
      <c r="E164" s="284"/>
      <c r="F164" s="11"/>
      <c r="G164" s="11"/>
      <c r="H164" s="43" t="s">
        <v>96</v>
      </c>
      <c r="I164" s="44"/>
      <c r="J164" s="45"/>
      <c r="K164" s="47"/>
      <c r="L164" s="48"/>
      <c r="M164" s="46"/>
      <c r="N164" s="46"/>
      <c r="O164" s="407"/>
      <c r="P164" s="49">
        <f t="shared" si="4"/>
        <v>0</v>
      </c>
      <c r="Q164" s="49">
        <f t="shared" si="5"/>
        <v>0</v>
      </c>
    </row>
    <row r="165" spans="1:17" s="71" customFormat="1" ht="13" x14ac:dyDescent="0.35">
      <c r="A165" s="11" t="s">
        <v>93</v>
      </c>
      <c r="B165" s="163" t="s">
        <v>224</v>
      </c>
      <c r="C165" s="284"/>
      <c r="D165" s="284"/>
      <c r="E165" s="284"/>
      <c r="F165" s="11"/>
      <c r="G165" s="11"/>
      <c r="H165" s="43" t="s">
        <v>225</v>
      </c>
      <c r="I165" s="44"/>
      <c r="J165" s="45"/>
      <c r="K165" s="47"/>
      <c r="L165" s="48"/>
      <c r="M165" s="46"/>
      <c r="N165" s="46"/>
      <c r="O165" s="407"/>
      <c r="P165" s="49">
        <f t="shared" si="4"/>
        <v>0</v>
      </c>
      <c r="Q165" s="49">
        <f t="shared" si="5"/>
        <v>0</v>
      </c>
    </row>
    <row r="166" spans="1:17" s="71" customFormat="1" ht="13" x14ac:dyDescent="0.35">
      <c r="A166" s="11" t="s">
        <v>93</v>
      </c>
      <c r="B166" s="163" t="s">
        <v>224</v>
      </c>
      <c r="C166" s="284"/>
      <c r="D166" s="284"/>
      <c r="E166" s="284"/>
      <c r="F166" s="11"/>
      <c r="G166" s="11"/>
      <c r="H166" s="43" t="s">
        <v>226</v>
      </c>
      <c r="I166" s="44"/>
      <c r="J166" s="45"/>
      <c r="K166" s="47"/>
      <c r="L166" s="48"/>
      <c r="M166" s="46"/>
      <c r="N166" s="46"/>
      <c r="O166" s="407"/>
      <c r="P166" s="49">
        <f t="shared" si="4"/>
        <v>0</v>
      </c>
      <c r="Q166" s="49">
        <f t="shared" si="5"/>
        <v>0</v>
      </c>
    </row>
    <row r="167" spans="1:17" ht="13" x14ac:dyDescent="0.35">
      <c r="A167" s="11" t="s">
        <v>93</v>
      </c>
      <c r="B167" s="163" t="s">
        <v>224</v>
      </c>
      <c r="C167" s="284"/>
      <c r="D167" s="284"/>
      <c r="E167" s="284"/>
      <c r="F167" s="11"/>
      <c r="G167" s="11"/>
      <c r="H167" s="57" t="s">
        <v>100</v>
      </c>
      <c r="I167" s="44"/>
      <c r="J167" s="45"/>
      <c r="K167" s="47"/>
      <c r="L167" s="48"/>
      <c r="M167" s="46"/>
      <c r="N167" s="46"/>
      <c r="O167" s="407"/>
      <c r="P167" s="49">
        <f t="shared" si="4"/>
        <v>0</v>
      </c>
      <c r="Q167" s="49">
        <f t="shared" si="5"/>
        <v>0</v>
      </c>
    </row>
    <row r="168" spans="1:17" x14ac:dyDescent="0.35">
      <c r="A168" s="11" t="s">
        <v>93</v>
      </c>
      <c r="B168" s="163" t="s">
        <v>224</v>
      </c>
      <c r="C168" s="284"/>
      <c r="D168" s="284"/>
      <c r="E168" s="284"/>
      <c r="F168" s="11"/>
      <c r="G168" s="11"/>
      <c r="H168" s="60" t="s">
        <v>101</v>
      </c>
      <c r="I168" s="44"/>
      <c r="J168" s="45"/>
      <c r="K168" s="47"/>
      <c r="L168" s="48"/>
      <c r="M168" s="46"/>
      <c r="N168" s="46"/>
      <c r="O168" s="407"/>
      <c r="P168" s="49">
        <f t="shared" si="4"/>
        <v>0</v>
      </c>
      <c r="Q168" s="49">
        <f t="shared" si="5"/>
        <v>0</v>
      </c>
    </row>
    <row r="169" spans="1:17" s="71" customFormat="1" ht="13" x14ac:dyDescent="0.35">
      <c r="A169" s="11" t="s">
        <v>93</v>
      </c>
      <c r="B169" s="163" t="s">
        <v>224</v>
      </c>
      <c r="C169" s="284"/>
      <c r="D169" s="284"/>
      <c r="E169" s="284"/>
      <c r="F169" s="11"/>
      <c r="G169" s="11"/>
      <c r="H169" s="57" t="s">
        <v>102</v>
      </c>
      <c r="I169" s="44"/>
      <c r="J169" s="45"/>
      <c r="K169" s="47"/>
      <c r="L169" s="48"/>
      <c r="M169" s="46"/>
      <c r="N169" s="46"/>
      <c r="O169" s="407"/>
      <c r="P169" s="49">
        <f t="shared" si="4"/>
        <v>0</v>
      </c>
      <c r="Q169" s="49">
        <f t="shared" si="5"/>
        <v>0</v>
      </c>
    </row>
    <row r="170" spans="1:17" ht="62.5" x14ac:dyDescent="0.35">
      <c r="A170" s="11" t="s">
        <v>93</v>
      </c>
      <c r="B170" s="163" t="s">
        <v>224</v>
      </c>
      <c r="C170" s="284"/>
      <c r="D170" s="284"/>
      <c r="E170" s="284"/>
      <c r="F170" s="11"/>
      <c r="G170" s="11"/>
      <c r="H170" s="60" t="s">
        <v>227</v>
      </c>
      <c r="I170" s="44"/>
      <c r="J170" s="45"/>
      <c r="K170" s="47"/>
      <c r="L170" s="48"/>
      <c r="M170" s="46"/>
      <c r="N170" s="46"/>
      <c r="O170" s="407"/>
      <c r="P170" s="49">
        <f t="shared" si="4"/>
        <v>0</v>
      </c>
      <c r="Q170" s="49">
        <f t="shared" si="5"/>
        <v>0</v>
      </c>
    </row>
    <row r="171" spans="1:17" ht="25" x14ac:dyDescent="0.35">
      <c r="A171" s="11" t="s">
        <v>93</v>
      </c>
      <c r="B171" s="163" t="s">
        <v>224</v>
      </c>
      <c r="C171" s="284"/>
      <c r="D171" s="284"/>
      <c r="E171" s="284"/>
      <c r="F171" s="11"/>
      <c r="G171" s="11"/>
      <c r="H171" s="60" t="s">
        <v>228</v>
      </c>
      <c r="I171" s="44"/>
      <c r="J171" s="45"/>
      <c r="K171" s="47"/>
      <c r="L171" s="48"/>
      <c r="M171" s="46"/>
      <c r="N171" s="46"/>
      <c r="O171" s="407"/>
      <c r="P171" s="49">
        <f t="shared" si="4"/>
        <v>0</v>
      </c>
      <c r="Q171" s="49">
        <f t="shared" si="5"/>
        <v>0</v>
      </c>
    </row>
    <row r="172" spans="1:17" ht="13" x14ac:dyDescent="0.35">
      <c r="A172" s="11" t="s">
        <v>93</v>
      </c>
      <c r="B172" s="163" t="s">
        <v>224</v>
      </c>
      <c r="C172" s="284"/>
      <c r="D172" s="284"/>
      <c r="E172" s="284"/>
      <c r="F172" s="11"/>
      <c r="G172" s="11"/>
      <c r="H172" s="57" t="s">
        <v>229</v>
      </c>
      <c r="I172" s="44"/>
      <c r="J172" s="45"/>
      <c r="K172" s="47"/>
      <c r="L172" s="48"/>
      <c r="M172" s="46"/>
      <c r="N172" s="46"/>
      <c r="O172" s="407"/>
      <c r="P172" s="49">
        <f t="shared" si="4"/>
        <v>0</v>
      </c>
      <c r="Q172" s="49">
        <f t="shared" si="5"/>
        <v>0</v>
      </c>
    </row>
    <row r="173" spans="1:17" ht="26" x14ac:dyDescent="0.35">
      <c r="A173" s="11" t="s">
        <v>93</v>
      </c>
      <c r="B173" s="163" t="s">
        <v>224</v>
      </c>
      <c r="C173" s="284"/>
      <c r="D173" s="284"/>
      <c r="E173" s="284"/>
      <c r="F173" s="11"/>
      <c r="G173" s="11"/>
      <c r="H173" s="57" t="s">
        <v>230</v>
      </c>
      <c r="I173" s="44"/>
      <c r="J173" s="45"/>
      <c r="K173" s="47"/>
      <c r="L173" s="48"/>
      <c r="M173" s="46"/>
      <c r="N173" s="46"/>
      <c r="O173" s="407"/>
      <c r="P173" s="49">
        <f t="shared" si="4"/>
        <v>0</v>
      </c>
      <c r="Q173" s="49">
        <f t="shared" si="5"/>
        <v>0</v>
      </c>
    </row>
    <row r="174" spans="1:17" ht="14.5" x14ac:dyDescent="0.35">
      <c r="A174" s="11" t="s">
        <v>93</v>
      </c>
      <c r="B174" s="163" t="s">
        <v>224</v>
      </c>
      <c r="C174" s="284"/>
      <c r="D174" s="284"/>
      <c r="E174" s="284"/>
      <c r="F174" s="11" t="s">
        <v>20</v>
      </c>
      <c r="G174" s="11"/>
      <c r="H174" s="60" t="s">
        <v>231</v>
      </c>
      <c r="I174" s="44" t="s">
        <v>110</v>
      </c>
      <c r="J174" s="45">
        <v>62</v>
      </c>
      <c r="K174" s="47">
        <v>65</v>
      </c>
      <c r="L174" s="48">
        <f>J174*K174</f>
        <v>4030</v>
      </c>
      <c r="M174" s="46">
        <v>62</v>
      </c>
      <c r="N174" s="46">
        <v>62</v>
      </c>
      <c r="O174" s="407">
        <v>65</v>
      </c>
      <c r="P174" s="49">
        <f t="shared" si="4"/>
        <v>4030</v>
      </c>
      <c r="Q174" s="49">
        <f t="shared" si="5"/>
        <v>4030</v>
      </c>
    </row>
    <row r="175" spans="1:17" ht="39" x14ac:dyDescent="0.35">
      <c r="A175" s="11" t="s">
        <v>93</v>
      </c>
      <c r="B175" s="163" t="s">
        <v>224</v>
      </c>
      <c r="C175" s="284"/>
      <c r="D175" s="284"/>
      <c r="E175" s="284"/>
      <c r="F175" s="11"/>
      <c r="G175" s="11"/>
      <c r="H175" s="57" t="s">
        <v>232</v>
      </c>
      <c r="I175" s="44"/>
      <c r="J175" s="45"/>
      <c r="K175" s="47"/>
      <c r="L175" s="48"/>
      <c r="M175" s="46"/>
      <c r="N175" s="46"/>
      <c r="O175" s="407"/>
      <c r="P175" s="49">
        <f t="shared" si="4"/>
        <v>0</v>
      </c>
      <c r="Q175" s="49">
        <f t="shared" si="5"/>
        <v>0</v>
      </c>
    </row>
    <row r="176" spans="1:17" ht="14.5" x14ac:dyDescent="0.35">
      <c r="A176" s="11" t="s">
        <v>93</v>
      </c>
      <c r="B176" s="163" t="s">
        <v>224</v>
      </c>
      <c r="C176" s="284"/>
      <c r="D176" s="284"/>
      <c r="E176" s="284"/>
      <c r="F176" s="11" t="s">
        <v>26</v>
      </c>
      <c r="G176" s="11"/>
      <c r="H176" s="60" t="s">
        <v>233</v>
      </c>
      <c r="I176" s="44" t="s">
        <v>110</v>
      </c>
      <c r="J176" s="45">
        <v>171</v>
      </c>
      <c r="K176" s="47">
        <v>65</v>
      </c>
      <c r="L176" s="48">
        <f>J176*K176</f>
        <v>11115</v>
      </c>
      <c r="M176" s="46">
        <v>171</v>
      </c>
      <c r="N176" s="46">
        <v>171</v>
      </c>
      <c r="O176" s="407">
        <v>65</v>
      </c>
      <c r="P176" s="49">
        <f t="shared" si="4"/>
        <v>11115</v>
      </c>
      <c r="Q176" s="49">
        <f t="shared" si="5"/>
        <v>11115</v>
      </c>
    </row>
    <row r="177" spans="1:17" ht="14.5" x14ac:dyDescent="0.35">
      <c r="A177" s="11" t="s">
        <v>93</v>
      </c>
      <c r="B177" s="163" t="s">
        <v>224</v>
      </c>
      <c r="C177" s="284"/>
      <c r="D177" s="284"/>
      <c r="E177" s="284"/>
      <c r="F177" s="11" t="s">
        <v>29</v>
      </c>
      <c r="G177" s="11"/>
      <c r="H177" s="60" t="s">
        <v>234</v>
      </c>
      <c r="I177" s="44" t="s">
        <v>110</v>
      </c>
      <c r="J177" s="45">
        <v>67</v>
      </c>
      <c r="K177" s="47">
        <v>65</v>
      </c>
      <c r="L177" s="48">
        <f>J177*K177</f>
        <v>4355</v>
      </c>
      <c r="M177" s="46">
        <v>67</v>
      </c>
      <c r="N177" s="46">
        <v>67</v>
      </c>
      <c r="O177" s="407">
        <v>65</v>
      </c>
      <c r="P177" s="49">
        <f t="shared" si="4"/>
        <v>4355</v>
      </c>
      <c r="Q177" s="49">
        <f t="shared" si="5"/>
        <v>4355</v>
      </c>
    </row>
    <row r="178" spans="1:17" ht="13" x14ac:dyDescent="0.35">
      <c r="A178" s="11" t="s">
        <v>93</v>
      </c>
      <c r="B178" s="163" t="s">
        <v>235</v>
      </c>
      <c r="C178" s="284"/>
      <c r="D178" s="284"/>
      <c r="E178" s="284"/>
      <c r="F178" s="11"/>
      <c r="G178" s="11"/>
      <c r="H178" s="43" t="s">
        <v>95</v>
      </c>
      <c r="I178" s="44"/>
      <c r="J178" s="58"/>
      <c r="K178" s="47"/>
      <c r="L178" s="48"/>
      <c r="M178" s="59"/>
      <c r="N178" s="59"/>
      <c r="O178" s="407"/>
      <c r="P178" s="49">
        <f t="shared" si="4"/>
        <v>0</v>
      </c>
      <c r="Q178" s="49">
        <f t="shared" si="5"/>
        <v>0</v>
      </c>
    </row>
    <row r="179" spans="1:17" ht="13" x14ac:dyDescent="0.35">
      <c r="A179" s="11" t="s">
        <v>93</v>
      </c>
      <c r="B179" s="163" t="s">
        <v>235</v>
      </c>
      <c r="C179" s="284"/>
      <c r="D179" s="284"/>
      <c r="E179" s="284"/>
      <c r="F179" s="11"/>
      <c r="G179" s="11"/>
      <c r="H179" s="43" t="s">
        <v>96</v>
      </c>
      <c r="I179" s="44"/>
      <c r="J179" s="58"/>
      <c r="K179" s="47"/>
      <c r="L179" s="48"/>
      <c r="M179" s="59"/>
      <c r="N179" s="59"/>
      <c r="O179" s="407"/>
      <c r="P179" s="49">
        <f t="shared" si="4"/>
        <v>0</v>
      </c>
      <c r="Q179" s="49">
        <f t="shared" si="5"/>
        <v>0</v>
      </c>
    </row>
    <row r="180" spans="1:17" ht="13" x14ac:dyDescent="0.35">
      <c r="A180" s="11" t="s">
        <v>93</v>
      </c>
      <c r="B180" s="163" t="s">
        <v>235</v>
      </c>
      <c r="C180" s="284"/>
      <c r="D180" s="284"/>
      <c r="E180" s="284"/>
      <c r="F180" s="11"/>
      <c r="G180" s="11"/>
      <c r="H180" s="43" t="s">
        <v>236</v>
      </c>
      <c r="I180" s="44"/>
      <c r="J180" s="58"/>
      <c r="K180" s="47"/>
      <c r="L180" s="48"/>
      <c r="M180" s="59"/>
      <c r="N180" s="59"/>
      <c r="O180" s="407"/>
      <c r="P180" s="49">
        <f t="shared" si="4"/>
        <v>0</v>
      </c>
      <c r="Q180" s="49">
        <f t="shared" si="5"/>
        <v>0</v>
      </c>
    </row>
    <row r="181" spans="1:17" ht="13" x14ac:dyDescent="0.35">
      <c r="A181" s="11" t="s">
        <v>93</v>
      </c>
      <c r="B181" s="163" t="s">
        <v>235</v>
      </c>
      <c r="C181" s="284"/>
      <c r="D181" s="284"/>
      <c r="E181" s="284"/>
      <c r="F181" s="11"/>
      <c r="G181" s="11"/>
      <c r="H181" s="43" t="s">
        <v>237</v>
      </c>
      <c r="I181" s="44"/>
      <c r="J181" s="58"/>
      <c r="K181" s="47"/>
      <c r="L181" s="48"/>
      <c r="M181" s="59"/>
      <c r="N181" s="59"/>
      <c r="O181" s="407"/>
      <c r="P181" s="49">
        <f t="shared" si="4"/>
        <v>0</v>
      </c>
      <c r="Q181" s="49">
        <f t="shared" si="5"/>
        <v>0</v>
      </c>
    </row>
    <row r="182" spans="1:17" ht="13" x14ac:dyDescent="0.35">
      <c r="A182" s="11" t="s">
        <v>93</v>
      </c>
      <c r="B182" s="163" t="s">
        <v>235</v>
      </c>
      <c r="C182" s="284"/>
      <c r="D182" s="284"/>
      <c r="E182" s="284"/>
      <c r="F182" s="50"/>
      <c r="G182" s="50"/>
      <c r="H182" s="57" t="s">
        <v>100</v>
      </c>
      <c r="I182" s="51"/>
      <c r="J182" s="72"/>
      <c r="K182" s="54"/>
      <c r="L182" s="55"/>
      <c r="M182" s="73"/>
      <c r="N182" s="73"/>
      <c r="O182" s="408"/>
      <c r="P182" s="56">
        <f t="shared" si="4"/>
        <v>0</v>
      </c>
      <c r="Q182" s="56">
        <f t="shared" si="5"/>
        <v>0</v>
      </c>
    </row>
    <row r="183" spans="1:17" ht="13" x14ac:dyDescent="0.35">
      <c r="A183" s="11" t="s">
        <v>93</v>
      </c>
      <c r="B183" s="163" t="s">
        <v>235</v>
      </c>
      <c r="C183" s="284"/>
      <c r="D183" s="284"/>
      <c r="E183" s="284"/>
      <c r="F183" s="50"/>
      <c r="G183" s="50"/>
      <c r="H183" s="60" t="s">
        <v>101</v>
      </c>
      <c r="I183" s="51"/>
      <c r="J183" s="74"/>
      <c r="K183" s="54"/>
      <c r="L183" s="55"/>
      <c r="M183" s="75"/>
      <c r="N183" s="75"/>
      <c r="O183" s="408"/>
      <c r="P183" s="56">
        <f t="shared" si="4"/>
        <v>0</v>
      </c>
      <c r="Q183" s="56">
        <f t="shared" si="5"/>
        <v>0</v>
      </c>
    </row>
    <row r="184" spans="1:17" ht="13" x14ac:dyDescent="0.35">
      <c r="A184" s="11" t="s">
        <v>93</v>
      </c>
      <c r="B184" s="163" t="s">
        <v>235</v>
      </c>
      <c r="C184" s="284"/>
      <c r="D184" s="284"/>
      <c r="E184" s="284"/>
      <c r="F184" s="11"/>
      <c r="G184" s="11"/>
      <c r="H184" s="57" t="s">
        <v>238</v>
      </c>
      <c r="I184" s="44"/>
      <c r="J184" s="58"/>
      <c r="K184" s="47"/>
      <c r="L184" s="48"/>
      <c r="M184" s="59"/>
      <c r="N184" s="59"/>
      <c r="O184" s="407"/>
      <c r="P184" s="49">
        <f t="shared" si="4"/>
        <v>0</v>
      </c>
      <c r="Q184" s="49">
        <f t="shared" si="5"/>
        <v>0</v>
      </c>
    </row>
    <row r="185" spans="1:17" ht="52" x14ac:dyDescent="0.35">
      <c r="A185" s="11" t="s">
        <v>93</v>
      </c>
      <c r="B185" s="163" t="s">
        <v>235</v>
      </c>
      <c r="C185" s="284"/>
      <c r="D185" s="284"/>
      <c r="E185" s="284"/>
      <c r="F185" s="11" t="s">
        <v>20</v>
      </c>
      <c r="G185" s="11"/>
      <c r="H185" s="57" t="s">
        <v>239</v>
      </c>
      <c r="I185" s="44" t="s">
        <v>110</v>
      </c>
      <c r="J185" s="58">
        <v>171</v>
      </c>
      <c r="K185" s="47">
        <v>395</v>
      </c>
      <c r="L185" s="48">
        <f>J185*K185</f>
        <v>67545</v>
      </c>
      <c r="M185" s="59">
        <v>171</v>
      </c>
      <c r="N185" s="59">
        <v>171</v>
      </c>
      <c r="O185" s="407">
        <v>395</v>
      </c>
      <c r="P185" s="49">
        <f t="shared" si="4"/>
        <v>67545</v>
      </c>
      <c r="Q185" s="49">
        <f t="shared" si="5"/>
        <v>67545</v>
      </c>
    </row>
    <row r="186" spans="1:17" s="84" customFormat="1" ht="25" x14ac:dyDescent="0.35">
      <c r="A186" s="11" t="s">
        <v>93</v>
      </c>
      <c r="B186" s="163" t="s">
        <v>235</v>
      </c>
      <c r="C186" s="284"/>
      <c r="D186" s="284"/>
      <c r="E186" s="284"/>
      <c r="F186" s="76"/>
      <c r="G186" s="77"/>
      <c r="H186" s="60" t="s">
        <v>240</v>
      </c>
      <c r="I186" s="78"/>
      <c r="J186" s="79"/>
      <c r="K186" s="81"/>
      <c r="L186" s="82"/>
      <c r="M186" s="80"/>
      <c r="N186" s="80"/>
      <c r="O186" s="410"/>
      <c r="P186" s="83">
        <f t="shared" si="4"/>
        <v>0</v>
      </c>
      <c r="Q186" s="83">
        <f t="shared" si="5"/>
        <v>0</v>
      </c>
    </row>
    <row r="187" spans="1:17" ht="13" x14ac:dyDescent="0.35">
      <c r="A187" s="11" t="s">
        <v>93</v>
      </c>
      <c r="B187" s="163" t="s">
        <v>235</v>
      </c>
      <c r="C187" s="284"/>
      <c r="D187" s="284"/>
      <c r="E187" s="284"/>
      <c r="F187" s="11"/>
      <c r="G187" s="11"/>
      <c r="H187" s="57" t="s">
        <v>241</v>
      </c>
      <c r="I187" s="44"/>
      <c r="J187" s="58"/>
      <c r="K187" s="47"/>
      <c r="L187" s="48"/>
      <c r="M187" s="59"/>
      <c r="N187" s="59"/>
      <c r="O187" s="407"/>
      <c r="P187" s="49">
        <f t="shared" si="4"/>
        <v>0</v>
      </c>
      <c r="Q187" s="49">
        <f t="shared" si="5"/>
        <v>0</v>
      </c>
    </row>
    <row r="188" spans="1:17" x14ac:dyDescent="0.35">
      <c r="A188" s="11" t="s">
        <v>93</v>
      </c>
      <c r="B188" s="163" t="s">
        <v>235</v>
      </c>
      <c r="C188" s="284"/>
      <c r="D188" s="284"/>
      <c r="E188" s="284"/>
      <c r="F188" s="11" t="s">
        <v>26</v>
      </c>
      <c r="G188" s="11"/>
      <c r="H188" s="60" t="s">
        <v>242</v>
      </c>
      <c r="I188" s="44" t="s">
        <v>186</v>
      </c>
      <c r="J188" s="85">
        <v>50</v>
      </c>
      <c r="K188" s="47">
        <v>245</v>
      </c>
      <c r="L188" s="48">
        <f>K188*J188</f>
        <v>12250</v>
      </c>
      <c r="M188" s="86">
        <v>50</v>
      </c>
      <c r="N188" s="86">
        <v>50</v>
      </c>
      <c r="O188" s="407">
        <v>245</v>
      </c>
      <c r="P188" s="49">
        <f t="shared" si="4"/>
        <v>12250</v>
      </c>
      <c r="Q188" s="49">
        <f t="shared" si="5"/>
        <v>12250</v>
      </c>
    </row>
    <row r="189" spans="1:17" s="84" customFormat="1" ht="13" x14ac:dyDescent="0.35">
      <c r="A189" s="11" t="s">
        <v>93</v>
      </c>
      <c r="B189" s="163" t="s">
        <v>235</v>
      </c>
      <c r="C189" s="284"/>
      <c r="D189" s="284"/>
      <c r="E189" s="284"/>
      <c r="F189" s="76"/>
      <c r="G189" s="77"/>
      <c r="H189" s="87" t="s">
        <v>243</v>
      </c>
      <c r="I189" s="78"/>
      <c r="J189" s="79"/>
      <c r="K189" s="81"/>
      <c r="L189" s="82"/>
      <c r="M189" s="80"/>
      <c r="N189" s="80"/>
      <c r="O189" s="410"/>
      <c r="P189" s="83">
        <f t="shared" si="4"/>
        <v>0</v>
      </c>
      <c r="Q189" s="83">
        <f t="shared" si="5"/>
        <v>0</v>
      </c>
    </row>
    <row r="190" spans="1:17" s="84" customFormat="1" x14ac:dyDescent="0.35">
      <c r="A190" s="11" t="s">
        <v>93</v>
      </c>
      <c r="B190" s="163" t="s">
        <v>235</v>
      </c>
      <c r="C190" s="284"/>
      <c r="D190" s="284"/>
      <c r="E190" s="284"/>
      <c r="F190" s="11" t="s">
        <v>29</v>
      </c>
      <c r="G190" s="77"/>
      <c r="H190" s="88" t="s">
        <v>244</v>
      </c>
      <c r="I190" s="78" t="s">
        <v>245</v>
      </c>
      <c r="J190" s="79">
        <v>171</v>
      </c>
      <c r="K190" s="81">
        <v>165</v>
      </c>
      <c r="L190" s="82">
        <f>J190*K190</f>
        <v>28215</v>
      </c>
      <c r="M190" s="80">
        <v>171</v>
      </c>
      <c r="N190" s="80">
        <v>171</v>
      </c>
      <c r="O190" s="410">
        <v>165</v>
      </c>
      <c r="P190" s="83">
        <f t="shared" si="4"/>
        <v>28215</v>
      </c>
      <c r="Q190" s="83">
        <f t="shared" si="5"/>
        <v>28215</v>
      </c>
    </row>
    <row r="191" spans="1:17" ht="13" x14ac:dyDescent="0.35">
      <c r="A191" s="11" t="s">
        <v>93</v>
      </c>
      <c r="B191" s="163" t="s">
        <v>246</v>
      </c>
      <c r="C191" s="284"/>
      <c r="D191" s="284"/>
      <c r="E191" s="284"/>
      <c r="F191" s="11"/>
      <c r="G191" s="11"/>
      <c r="H191" s="43" t="s">
        <v>95</v>
      </c>
      <c r="I191" s="44"/>
      <c r="J191" s="45"/>
      <c r="K191" s="47"/>
      <c r="L191" s="48"/>
      <c r="M191" s="46"/>
      <c r="N191" s="46"/>
      <c r="O191" s="407"/>
      <c r="P191" s="49">
        <f t="shared" si="4"/>
        <v>0</v>
      </c>
      <c r="Q191" s="49">
        <f t="shared" si="5"/>
        <v>0</v>
      </c>
    </row>
    <row r="192" spans="1:17" ht="13" x14ac:dyDescent="0.35">
      <c r="A192" s="11" t="s">
        <v>93</v>
      </c>
      <c r="B192" s="163" t="s">
        <v>246</v>
      </c>
      <c r="C192" s="284"/>
      <c r="D192" s="284"/>
      <c r="E192" s="284"/>
      <c r="F192" s="11"/>
      <c r="G192" s="11"/>
      <c r="H192" s="43" t="s">
        <v>96</v>
      </c>
      <c r="I192" s="44"/>
      <c r="J192" s="45"/>
      <c r="K192" s="47"/>
      <c r="L192" s="48"/>
      <c r="M192" s="46"/>
      <c r="N192" s="46"/>
      <c r="O192" s="407"/>
      <c r="P192" s="49">
        <f t="shared" si="4"/>
        <v>0</v>
      </c>
      <c r="Q192" s="49">
        <f t="shared" si="5"/>
        <v>0</v>
      </c>
    </row>
    <row r="193" spans="1:17" ht="13" x14ac:dyDescent="0.35">
      <c r="A193" s="11" t="s">
        <v>93</v>
      </c>
      <c r="B193" s="163" t="s">
        <v>246</v>
      </c>
      <c r="C193" s="284"/>
      <c r="D193" s="284"/>
      <c r="E193" s="284"/>
      <c r="F193" s="11"/>
      <c r="G193" s="11"/>
      <c r="H193" s="43" t="s">
        <v>247</v>
      </c>
      <c r="I193" s="44"/>
      <c r="J193" s="45"/>
      <c r="K193" s="47"/>
      <c r="L193" s="48"/>
      <c r="M193" s="46"/>
      <c r="N193" s="46"/>
      <c r="O193" s="407"/>
      <c r="P193" s="49">
        <f t="shared" si="4"/>
        <v>0</v>
      </c>
      <c r="Q193" s="49">
        <f t="shared" si="5"/>
        <v>0</v>
      </c>
    </row>
    <row r="194" spans="1:17" ht="13" x14ac:dyDescent="0.35">
      <c r="A194" s="11" t="s">
        <v>93</v>
      </c>
      <c r="B194" s="163" t="s">
        <v>246</v>
      </c>
      <c r="C194" s="284"/>
      <c r="D194" s="284"/>
      <c r="E194" s="284"/>
      <c r="F194" s="11"/>
      <c r="G194" s="11"/>
      <c r="H194" s="43" t="s">
        <v>248</v>
      </c>
      <c r="I194" s="44"/>
      <c r="J194" s="45"/>
      <c r="K194" s="47"/>
      <c r="L194" s="48"/>
      <c r="M194" s="46"/>
      <c r="N194" s="46"/>
      <c r="O194" s="407"/>
      <c r="P194" s="49">
        <f t="shared" si="4"/>
        <v>0</v>
      </c>
      <c r="Q194" s="49">
        <f t="shared" si="5"/>
        <v>0</v>
      </c>
    </row>
    <row r="195" spans="1:17" ht="13" x14ac:dyDescent="0.35">
      <c r="A195" s="11" t="s">
        <v>93</v>
      </c>
      <c r="B195" s="163" t="s">
        <v>246</v>
      </c>
      <c r="C195" s="284"/>
      <c r="D195" s="284"/>
      <c r="E195" s="284"/>
      <c r="F195" s="11"/>
      <c r="G195" s="11"/>
      <c r="H195" s="57" t="s">
        <v>100</v>
      </c>
      <c r="I195" s="44"/>
      <c r="J195" s="45"/>
      <c r="K195" s="47"/>
      <c r="L195" s="48"/>
      <c r="M195" s="46"/>
      <c r="N195" s="46"/>
      <c r="O195" s="407"/>
      <c r="P195" s="49">
        <f t="shared" si="4"/>
        <v>0</v>
      </c>
      <c r="Q195" s="49">
        <f t="shared" si="5"/>
        <v>0</v>
      </c>
    </row>
    <row r="196" spans="1:17" x14ac:dyDescent="0.35">
      <c r="A196" s="11" t="s">
        <v>93</v>
      </c>
      <c r="B196" s="163" t="s">
        <v>246</v>
      </c>
      <c r="C196" s="284"/>
      <c r="D196" s="284"/>
      <c r="E196" s="284"/>
      <c r="F196" s="11"/>
      <c r="G196" s="11"/>
      <c r="H196" s="60" t="s">
        <v>101</v>
      </c>
      <c r="I196" s="44"/>
      <c r="J196" s="45"/>
      <c r="K196" s="47"/>
      <c r="L196" s="48"/>
      <c r="M196" s="46"/>
      <c r="N196" s="46"/>
      <c r="O196" s="407"/>
      <c r="P196" s="49">
        <f t="shared" si="4"/>
        <v>0</v>
      </c>
      <c r="Q196" s="49">
        <f t="shared" si="5"/>
        <v>0</v>
      </c>
    </row>
    <row r="197" spans="1:17" ht="13" x14ac:dyDescent="0.35">
      <c r="A197" s="11" t="s">
        <v>93</v>
      </c>
      <c r="B197" s="163" t="s">
        <v>246</v>
      </c>
      <c r="C197" s="284"/>
      <c r="D197" s="284"/>
      <c r="E197" s="284"/>
      <c r="F197" s="11"/>
      <c r="G197" s="11"/>
      <c r="H197" s="57" t="s">
        <v>102</v>
      </c>
      <c r="I197" s="44"/>
      <c r="J197" s="45"/>
      <c r="K197" s="47"/>
      <c r="L197" s="48"/>
      <c r="M197" s="46"/>
      <c r="N197" s="46"/>
      <c r="O197" s="407"/>
      <c r="P197" s="49">
        <f t="shared" si="4"/>
        <v>0</v>
      </c>
      <c r="Q197" s="49">
        <f t="shared" si="5"/>
        <v>0</v>
      </c>
    </row>
    <row r="198" spans="1:17" x14ac:dyDescent="0.35">
      <c r="A198" s="11" t="s">
        <v>93</v>
      </c>
      <c r="B198" s="163" t="s">
        <v>246</v>
      </c>
      <c r="C198" s="284"/>
      <c r="D198" s="284"/>
      <c r="E198" s="284"/>
      <c r="F198" s="11"/>
      <c r="G198" s="11"/>
      <c r="H198" s="62" t="s">
        <v>249</v>
      </c>
      <c r="I198" s="44"/>
      <c r="J198" s="45"/>
      <c r="K198" s="47"/>
      <c r="L198" s="48"/>
      <c r="M198" s="46"/>
      <c r="N198" s="46"/>
      <c r="O198" s="407"/>
      <c r="P198" s="49">
        <f t="shared" si="4"/>
        <v>0</v>
      </c>
      <c r="Q198" s="49">
        <f t="shared" si="5"/>
        <v>0</v>
      </c>
    </row>
    <row r="199" spans="1:17" ht="25" x14ac:dyDescent="0.35">
      <c r="A199" s="11" t="s">
        <v>93</v>
      </c>
      <c r="B199" s="163" t="s">
        <v>246</v>
      </c>
      <c r="C199" s="284"/>
      <c r="D199" s="284"/>
      <c r="E199" s="284"/>
      <c r="F199" s="11"/>
      <c r="G199" s="11"/>
      <c r="H199" s="60" t="s">
        <v>250</v>
      </c>
      <c r="I199" s="44"/>
      <c r="J199" s="45"/>
      <c r="K199" s="47"/>
      <c r="L199" s="48"/>
      <c r="M199" s="46"/>
      <c r="N199" s="46"/>
      <c r="O199" s="407"/>
      <c r="P199" s="49">
        <f t="shared" si="4"/>
        <v>0</v>
      </c>
      <c r="Q199" s="49">
        <f t="shared" si="5"/>
        <v>0</v>
      </c>
    </row>
    <row r="200" spans="1:17" ht="37.5" x14ac:dyDescent="0.35">
      <c r="A200" s="11" t="s">
        <v>93</v>
      </c>
      <c r="B200" s="163" t="s">
        <v>246</v>
      </c>
      <c r="C200" s="284"/>
      <c r="D200" s="284"/>
      <c r="E200" s="284"/>
      <c r="F200" s="11"/>
      <c r="G200" s="11"/>
      <c r="H200" s="60" t="s">
        <v>251</v>
      </c>
      <c r="I200" s="44"/>
      <c r="J200" s="45"/>
      <c r="K200" s="47"/>
      <c r="L200" s="48"/>
      <c r="M200" s="46"/>
      <c r="N200" s="46"/>
      <c r="O200" s="407"/>
      <c r="P200" s="49">
        <f t="shared" si="4"/>
        <v>0</v>
      </c>
      <c r="Q200" s="49">
        <f t="shared" si="5"/>
        <v>0</v>
      </c>
    </row>
    <row r="201" spans="1:17" x14ac:dyDescent="0.35">
      <c r="A201" s="11" t="s">
        <v>93</v>
      </c>
      <c r="B201" s="163" t="s">
        <v>246</v>
      </c>
      <c r="C201" s="284"/>
      <c r="D201" s="284"/>
      <c r="E201" s="284"/>
      <c r="F201" s="11"/>
      <c r="G201" s="11"/>
      <c r="H201" s="62" t="s">
        <v>252</v>
      </c>
      <c r="I201" s="44"/>
      <c r="J201" s="45"/>
      <c r="K201" s="47"/>
      <c r="L201" s="48"/>
      <c r="M201" s="46"/>
      <c r="N201" s="46"/>
      <c r="O201" s="407"/>
      <c r="P201" s="49">
        <f t="shared" si="4"/>
        <v>0</v>
      </c>
      <c r="Q201" s="49">
        <f t="shared" si="5"/>
        <v>0</v>
      </c>
    </row>
    <row r="202" spans="1:17" ht="25" x14ac:dyDescent="0.35">
      <c r="A202" s="11" t="s">
        <v>93</v>
      </c>
      <c r="B202" s="163" t="s">
        <v>246</v>
      </c>
      <c r="C202" s="284"/>
      <c r="D202" s="284"/>
      <c r="E202" s="284"/>
      <c r="F202" s="11"/>
      <c r="G202" s="11"/>
      <c r="H202" s="60" t="s">
        <v>253</v>
      </c>
      <c r="I202" s="44"/>
      <c r="J202" s="45"/>
      <c r="K202" s="47"/>
      <c r="L202" s="48"/>
      <c r="M202" s="46"/>
      <c r="N202" s="46"/>
      <c r="O202" s="407"/>
      <c r="P202" s="49">
        <f t="shared" ref="P202:P265" si="6">O202*M202</f>
        <v>0</v>
      </c>
      <c r="Q202" s="49">
        <f t="shared" ref="Q202:Q265" si="7">O202*N202</f>
        <v>0</v>
      </c>
    </row>
    <row r="203" spans="1:17" ht="25" x14ac:dyDescent="0.35">
      <c r="A203" s="11" t="s">
        <v>93</v>
      </c>
      <c r="B203" s="163" t="s">
        <v>246</v>
      </c>
      <c r="C203" s="284"/>
      <c r="D203" s="284"/>
      <c r="E203" s="284"/>
      <c r="F203" s="11"/>
      <c r="G203" s="11"/>
      <c r="H203" s="60" t="s">
        <v>254</v>
      </c>
      <c r="I203" s="44"/>
      <c r="J203" s="45"/>
      <c r="K203" s="47"/>
      <c r="L203" s="48"/>
      <c r="M203" s="46"/>
      <c r="N203" s="46"/>
      <c r="O203" s="407"/>
      <c r="P203" s="49">
        <f t="shared" si="6"/>
        <v>0</v>
      </c>
      <c r="Q203" s="49">
        <f t="shared" si="7"/>
        <v>0</v>
      </c>
    </row>
    <row r="204" spans="1:17" x14ac:dyDescent="0.35">
      <c r="A204" s="11" t="s">
        <v>93</v>
      </c>
      <c r="B204" s="163" t="s">
        <v>246</v>
      </c>
      <c r="C204" s="284"/>
      <c r="D204" s="284"/>
      <c r="E204" s="284"/>
      <c r="F204" s="11"/>
      <c r="G204" s="11"/>
      <c r="H204" s="62" t="s">
        <v>255</v>
      </c>
      <c r="I204" s="44"/>
      <c r="J204" s="45"/>
      <c r="K204" s="47"/>
      <c r="L204" s="48"/>
      <c r="M204" s="46"/>
      <c r="N204" s="46"/>
      <c r="O204" s="407"/>
      <c r="P204" s="49">
        <f t="shared" si="6"/>
        <v>0</v>
      </c>
      <c r="Q204" s="49">
        <f t="shared" si="7"/>
        <v>0</v>
      </c>
    </row>
    <row r="205" spans="1:17" ht="25" x14ac:dyDescent="0.35">
      <c r="A205" s="11" t="s">
        <v>93</v>
      </c>
      <c r="B205" s="163" t="s">
        <v>246</v>
      </c>
      <c r="C205" s="284"/>
      <c r="D205" s="284"/>
      <c r="E205" s="284"/>
      <c r="F205" s="11"/>
      <c r="G205" s="11"/>
      <c r="H205" s="60" t="s">
        <v>256</v>
      </c>
      <c r="I205" s="44"/>
      <c r="J205" s="45"/>
      <c r="K205" s="47"/>
      <c r="L205" s="48"/>
      <c r="M205" s="46"/>
      <c r="N205" s="46"/>
      <c r="O205" s="407"/>
      <c r="P205" s="49">
        <f t="shared" si="6"/>
        <v>0</v>
      </c>
      <c r="Q205" s="49">
        <f t="shared" si="7"/>
        <v>0</v>
      </c>
    </row>
    <row r="206" spans="1:17" ht="37.5" x14ac:dyDescent="0.35">
      <c r="A206" s="11" t="s">
        <v>93</v>
      </c>
      <c r="B206" s="163" t="s">
        <v>246</v>
      </c>
      <c r="C206" s="284"/>
      <c r="D206" s="284"/>
      <c r="E206" s="284"/>
      <c r="F206" s="11"/>
      <c r="G206" s="11"/>
      <c r="H206" s="60" t="s">
        <v>257</v>
      </c>
      <c r="I206" s="44"/>
      <c r="J206" s="45"/>
      <c r="K206" s="47"/>
      <c r="L206" s="48"/>
      <c r="M206" s="46"/>
      <c r="N206" s="46"/>
      <c r="O206" s="407"/>
      <c r="P206" s="49">
        <f t="shared" si="6"/>
        <v>0</v>
      </c>
      <c r="Q206" s="49">
        <f t="shared" si="7"/>
        <v>0</v>
      </c>
    </row>
    <row r="207" spans="1:17" ht="13" x14ac:dyDescent="0.35">
      <c r="A207" s="11" t="s">
        <v>93</v>
      </c>
      <c r="B207" s="163" t="s">
        <v>246</v>
      </c>
      <c r="C207" s="284"/>
      <c r="D207" s="284"/>
      <c r="E207" s="284"/>
      <c r="F207" s="11"/>
      <c r="G207" s="11"/>
      <c r="H207" s="57" t="s">
        <v>258</v>
      </c>
      <c r="I207" s="44"/>
      <c r="J207" s="45"/>
      <c r="K207" s="47"/>
      <c r="L207" s="48"/>
      <c r="M207" s="46"/>
      <c r="N207" s="46"/>
      <c r="O207" s="407"/>
      <c r="P207" s="49">
        <f t="shared" si="6"/>
        <v>0</v>
      </c>
      <c r="Q207" s="49">
        <f t="shared" si="7"/>
        <v>0</v>
      </c>
    </row>
    <row r="208" spans="1:17" ht="26" x14ac:dyDescent="0.35">
      <c r="A208" s="11" t="s">
        <v>93</v>
      </c>
      <c r="B208" s="163" t="s">
        <v>246</v>
      </c>
      <c r="C208" s="284"/>
      <c r="D208" s="284"/>
      <c r="E208" s="284"/>
      <c r="F208" s="11"/>
      <c r="G208" s="11"/>
      <c r="H208" s="57" t="s">
        <v>259</v>
      </c>
      <c r="I208" s="44"/>
      <c r="J208" s="63"/>
      <c r="K208" s="47"/>
      <c r="L208" s="48"/>
      <c r="M208" s="64"/>
      <c r="N208" s="64"/>
      <c r="O208" s="407"/>
      <c r="P208" s="49">
        <f t="shared" si="6"/>
        <v>0</v>
      </c>
      <c r="Q208" s="49">
        <f t="shared" si="7"/>
        <v>0</v>
      </c>
    </row>
    <row r="209" spans="1:17" x14ac:dyDescent="0.35">
      <c r="A209" s="11" t="s">
        <v>93</v>
      </c>
      <c r="B209" s="163" t="s">
        <v>246</v>
      </c>
      <c r="C209" s="284"/>
      <c r="D209" s="284"/>
      <c r="E209" s="284"/>
      <c r="F209" s="11" t="s">
        <v>20</v>
      </c>
      <c r="G209" s="11"/>
      <c r="H209" s="60" t="s">
        <v>260</v>
      </c>
      <c r="I209" s="44" t="s">
        <v>186</v>
      </c>
      <c r="J209" s="63">
        <v>60</v>
      </c>
      <c r="K209" s="47">
        <v>95</v>
      </c>
      <c r="L209" s="48">
        <f>J209*K209</f>
        <v>5700</v>
      </c>
      <c r="M209" s="64">
        <v>60</v>
      </c>
      <c r="N209" s="64">
        <v>60</v>
      </c>
      <c r="O209" s="407">
        <v>95</v>
      </c>
      <c r="P209" s="49">
        <f t="shared" si="6"/>
        <v>5700</v>
      </c>
      <c r="Q209" s="49">
        <f t="shared" si="7"/>
        <v>5700</v>
      </c>
    </row>
    <row r="210" spans="1:17" ht="13" x14ac:dyDescent="0.35">
      <c r="A210" s="11" t="s">
        <v>93</v>
      </c>
      <c r="B210" s="163" t="s">
        <v>246</v>
      </c>
      <c r="C210" s="284"/>
      <c r="D210" s="284"/>
      <c r="E210" s="284"/>
      <c r="F210" s="11"/>
      <c r="G210" s="11"/>
      <c r="H210" s="57" t="s">
        <v>261</v>
      </c>
      <c r="I210" s="44"/>
      <c r="J210" s="45"/>
      <c r="K210" s="47"/>
      <c r="L210" s="48"/>
      <c r="M210" s="46"/>
      <c r="N210" s="46"/>
      <c r="O210" s="407"/>
      <c r="P210" s="49">
        <f t="shared" si="6"/>
        <v>0</v>
      </c>
      <c r="Q210" s="49">
        <f t="shared" si="7"/>
        <v>0</v>
      </c>
    </row>
    <row r="211" spans="1:17" ht="13" x14ac:dyDescent="0.35">
      <c r="A211" s="11" t="s">
        <v>93</v>
      </c>
      <c r="B211" s="163" t="s">
        <v>246</v>
      </c>
      <c r="C211" s="284"/>
      <c r="D211" s="284"/>
      <c r="E211" s="284"/>
      <c r="F211" s="11"/>
      <c r="G211" s="11"/>
      <c r="H211" s="57" t="s">
        <v>262</v>
      </c>
      <c r="I211" s="44"/>
      <c r="J211" s="58"/>
      <c r="K211" s="47"/>
      <c r="L211" s="48"/>
      <c r="M211" s="59"/>
      <c r="N211" s="59"/>
      <c r="O211" s="407"/>
      <c r="P211" s="49">
        <f t="shared" si="6"/>
        <v>0</v>
      </c>
      <c r="Q211" s="49">
        <f t="shared" si="7"/>
        <v>0</v>
      </c>
    </row>
    <row r="212" spans="1:17" ht="25" x14ac:dyDescent="0.35">
      <c r="A212" s="11" t="s">
        <v>93</v>
      </c>
      <c r="B212" s="163" t="s">
        <v>246</v>
      </c>
      <c r="C212" s="284"/>
      <c r="D212" s="284"/>
      <c r="E212" s="284"/>
      <c r="F212" s="11" t="s">
        <v>26</v>
      </c>
      <c r="G212" s="11"/>
      <c r="H212" s="60" t="s">
        <v>263</v>
      </c>
      <c r="I212" s="44" t="s">
        <v>175</v>
      </c>
      <c r="J212" s="58">
        <v>1</v>
      </c>
      <c r="K212" s="47">
        <v>2500</v>
      </c>
      <c r="L212" s="48">
        <f>J212*K212</f>
        <v>2500</v>
      </c>
      <c r="M212" s="59">
        <v>1</v>
      </c>
      <c r="N212" s="59">
        <v>1</v>
      </c>
      <c r="O212" s="407">
        <v>2500</v>
      </c>
      <c r="P212" s="49">
        <f t="shared" si="6"/>
        <v>2500</v>
      </c>
      <c r="Q212" s="49">
        <f t="shared" si="7"/>
        <v>2500</v>
      </c>
    </row>
    <row r="213" spans="1:17" ht="25" x14ac:dyDescent="0.35">
      <c r="A213" s="11" t="s">
        <v>93</v>
      </c>
      <c r="B213" s="163" t="s">
        <v>246</v>
      </c>
      <c r="C213" s="284"/>
      <c r="D213" s="284"/>
      <c r="E213" s="284"/>
      <c r="F213" s="11" t="s">
        <v>29</v>
      </c>
      <c r="G213" s="11"/>
      <c r="H213" s="60" t="s">
        <v>264</v>
      </c>
      <c r="I213" s="44" t="s">
        <v>175</v>
      </c>
      <c r="J213" s="58">
        <v>2</v>
      </c>
      <c r="K213" s="47">
        <v>2500</v>
      </c>
      <c r="L213" s="48">
        <f>J213*K213</f>
        <v>5000</v>
      </c>
      <c r="M213" s="59">
        <v>2</v>
      </c>
      <c r="N213" s="59">
        <v>2</v>
      </c>
      <c r="O213" s="407">
        <v>2500</v>
      </c>
      <c r="P213" s="49">
        <f t="shared" si="6"/>
        <v>5000</v>
      </c>
      <c r="Q213" s="49">
        <f t="shared" si="7"/>
        <v>5000</v>
      </c>
    </row>
    <row r="214" spans="1:17" ht="13" x14ac:dyDescent="0.35">
      <c r="A214" s="11" t="s">
        <v>93</v>
      </c>
      <c r="B214" s="163" t="s">
        <v>246</v>
      </c>
      <c r="C214" s="284"/>
      <c r="D214" s="284"/>
      <c r="E214" s="284"/>
      <c r="F214" s="11"/>
      <c r="G214" s="11"/>
      <c r="H214" s="57" t="s">
        <v>265</v>
      </c>
      <c r="I214" s="44"/>
      <c r="J214" s="58"/>
      <c r="K214" s="47"/>
      <c r="L214" s="48"/>
      <c r="M214" s="59"/>
      <c r="N214" s="59"/>
      <c r="O214" s="407"/>
      <c r="P214" s="49">
        <f t="shared" si="6"/>
        <v>0</v>
      </c>
      <c r="Q214" s="49">
        <f t="shared" si="7"/>
        <v>0</v>
      </c>
    </row>
    <row r="215" spans="1:17" ht="13" x14ac:dyDescent="0.35">
      <c r="A215" s="11" t="s">
        <v>93</v>
      </c>
      <c r="B215" s="163" t="s">
        <v>246</v>
      </c>
      <c r="C215" s="284"/>
      <c r="D215" s="284"/>
      <c r="E215" s="284"/>
      <c r="F215" s="11"/>
      <c r="G215" s="11"/>
      <c r="H215" s="57" t="s">
        <v>266</v>
      </c>
      <c r="I215" s="44"/>
      <c r="J215" s="58"/>
      <c r="K215" s="47"/>
      <c r="L215" s="48"/>
      <c r="M215" s="59"/>
      <c r="N215" s="59"/>
      <c r="O215" s="407"/>
      <c r="P215" s="49">
        <f t="shared" si="6"/>
        <v>0</v>
      </c>
      <c r="Q215" s="49">
        <f t="shared" si="7"/>
        <v>0</v>
      </c>
    </row>
    <row r="216" spans="1:17" ht="75" x14ac:dyDescent="0.35">
      <c r="A216" s="11" t="s">
        <v>93</v>
      </c>
      <c r="B216" s="163" t="s">
        <v>246</v>
      </c>
      <c r="C216" s="284"/>
      <c r="D216" s="284"/>
      <c r="E216" s="284"/>
      <c r="F216" s="11" t="s">
        <v>32</v>
      </c>
      <c r="G216" s="11"/>
      <c r="H216" s="60" t="s">
        <v>267</v>
      </c>
      <c r="I216" s="44" t="s">
        <v>186</v>
      </c>
      <c r="J216" s="58">
        <v>73</v>
      </c>
      <c r="K216" s="47">
        <v>85</v>
      </c>
      <c r="L216" s="48">
        <f>J216*K216</f>
        <v>6205</v>
      </c>
      <c r="M216" s="59">
        <v>73</v>
      </c>
      <c r="N216" s="59">
        <v>73</v>
      </c>
      <c r="O216" s="407">
        <v>85</v>
      </c>
      <c r="P216" s="49">
        <f t="shared" si="6"/>
        <v>6205</v>
      </c>
      <c r="Q216" s="49">
        <f t="shared" si="7"/>
        <v>6205</v>
      </c>
    </row>
    <row r="217" spans="1:17" ht="13" x14ac:dyDescent="0.35">
      <c r="A217" s="11" t="s">
        <v>93</v>
      </c>
      <c r="B217" s="163" t="s">
        <v>246</v>
      </c>
      <c r="C217" s="284"/>
      <c r="D217" s="284"/>
      <c r="E217" s="284"/>
      <c r="F217" s="89"/>
      <c r="G217" s="89"/>
      <c r="H217" s="90" t="s">
        <v>268</v>
      </c>
      <c r="I217" s="91"/>
      <c r="J217" s="92"/>
      <c r="K217" s="94"/>
      <c r="L217" s="95"/>
      <c r="M217" s="93"/>
      <c r="N217" s="93"/>
      <c r="O217" s="411"/>
      <c r="P217" s="96">
        <f t="shared" si="6"/>
        <v>0</v>
      </c>
      <c r="Q217" s="96">
        <f t="shared" si="7"/>
        <v>0</v>
      </c>
    </row>
    <row r="218" spans="1:17" ht="13" x14ac:dyDescent="0.3">
      <c r="A218" s="11" t="s">
        <v>93</v>
      </c>
      <c r="B218" s="163" t="s">
        <v>246</v>
      </c>
      <c r="C218" s="284"/>
      <c r="D218" s="284"/>
      <c r="E218" s="284"/>
      <c r="F218" s="89"/>
      <c r="G218" s="89"/>
      <c r="H218" s="97" t="s">
        <v>269</v>
      </c>
      <c r="I218" s="91"/>
      <c r="J218" s="92"/>
      <c r="K218" s="94"/>
      <c r="L218" s="95"/>
      <c r="M218" s="93"/>
      <c r="N218" s="93"/>
      <c r="O218" s="411"/>
      <c r="P218" s="96">
        <f t="shared" si="6"/>
        <v>0</v>
      </c>
      <c r="Q218" s="96">
        <f t="shared" si="7"/>
        <v>0</v>
      </c>
    </row>
    <row r="219" spans="1:17" ht="37.5" x14ac:dyDescent="0.35">
      <c r="A219" s="11" t="s">
        <v>93</v>
      </c>
      <c r="B219" s="163" t="s">
        <v>246</v>
      </c>
      <c r="C219" s="284"/>
      <c r="D219" s="284"/>
      <c r="E219" s="284"/>
      <c r="F219" s="89" t="s">
        <v>36</v>
      </c>
      <c r="G219" s="89"/>
      <c r="H219" s="98" t="s">
        <v>270</v>
      </c>
      <c r="I219" s="91" t="s">
        <v>175</v>
      </c>
      <c r="J219" s="92">
        <v>9</v>
      </c>
      <c r="K219" s="94">
        <v>7500</v>
      </c>
      <c r="L219" s="95">
        <f>J219*K219</f>
        <v>67500</v>
      </c>
      <c r="M219" s="93">
        <v>9</v>
      </c>
      <c r="N219" s="93">
        <v>9</v>
      </c>
      <c r="O219" s="411">
        <v>7500</v>
      </c>
      <c r="P219" s="96">
        <f t="shared" si="6"/>
        <v>67500</v>
      </c>
      <c r="Q219" s="96">
        <f t="shared" si="7"/>
        <v>67500</v>
      </c>
    </row>
    <row r="220" spans="1:17" ht="37.5" x14ac:dyDescent="0.35">
      <c r="A220" s="11" t="s">
        <v>93</v>
      </c>
      <c r="B220" s="163" t="s">
        <v>246</v>
      </c>
      <c r="C220" s="284"/>
      <c r="D220" s="284"/>
      <c r="E220" s="284"/>
      <c r="F220" s="89" t="s">
        <v>39</v>
      </c>
      <c r="G220" s="89"/>
      <c r="H220" s="98" t="s">
        <v>271</v>
      </c>
      <c r="I220" s="91" t="s">
        <v>175</v>
      </c>
      <c r="J220" s="92">
        <v>6</v>
      </c>
      <c r="K220" s="94">
        <v>7500</v>
      </c>
      <c r="L220" s="95">
        <f>J220*K220</f>
        <v>45000</v>
      </c>
      <c r="M220" s="93">
        <v>6</v>
      </c>
      <c r="N220" s="93">
        <v>6</v>
      </c>
      <c r="O220" s="411">
        <v>7500</v>
      </c>
      <c r="P220" s="96">
        <f t="shared" si="6"/>
        <v>45000</v>
      </c>
      <c r="Q220" s="96">
        <f t="shared" si="7"/>
        <v>45000</v>
      </c>
    </row>
    <row r="221" spans="1:17" ht="37.5" x14ac:dyDescent="0.35">
      <c r="A221" s="11" t="s">
        <v>93</v>
      </c>
      <c r="B221" s="163" t="s">
        <v>246</v>
      </c>
      <c r="C221" s="284"/>
      <c r="D221" s="284"/>
      <c r="E221" s="284"/>
      <c r="F221" s="89" t="s">
        <v>42</v>
      </c>
      <c r="G221" s="89"/>
      <c r="H221" s="98" t="s">
        <v>272</v>
      </c>
      <c r="I221" s="91" t="s">
        <v>175</v>
      </c>
      <c r="J221" s="92">
        <v>6</v>
      </c>
      <c r="K221" s="94">
        <v>7500</v>
      </c>
      <c r="L221" s="95">
        <f>J221*K221</f>
        <v>45000</v>
      </c>
      <c r="M221" s="93">
        <v>6</v>
      </c>
      <c r="N221" s="93">
        <v>6</v>
      </c>
      <c r="O221" s="411">
        <v>7500</v>
      </c>
      <c r="P221" s="96">
        <f t="shared" si="6"/>
        <v>45000</v>
      </c>
      <c r="Q221" s="96">
        <f t="shared" si="7"/>
        <v>45000</v>
      </c>
    </row>
    <row r="222" spans="1:17" x14ac:dyDescent="0.35">
      <c r="A222" s="11" t="s">
        <v>93</v>
      </c>
      <c r="B222" s="163" t="s">
        <v>246</v>
      </c>
      <c r="C222" s="284"/>
      <c r="D222" s="284"/>
      <c r="E222" s="284"/>
      <c r="F222" s="89" t="s">
        <v>45</v>
      </c>
      <c r="G222" s="89"/>
      <c r="H222" s="98" t="s">
        <v>273</v>
      </c>
      <c r="I222" s="91" t="s">
        <v>175</v>
      </c>
      <c r="J222" s="92">
        <v>4</v>
      </c>
      <c r="K222" s="94">
        <v>5000</v>
      </c>
      <c r="L222" s="95">
        <f>J222*K222</f>
        <v>20000</v>
      </c>
      <c r="M222" s="93">
        <v>4</v>
      </c>
      <c r="N222" s="93">
        <v>4</v>
      </c>
      <c r="O222" s="411">
        <v>5000</v>
      </c>
      <c r="P222" s="96">
        <f t="shared" si="6"/>
        <v>20000</v>
      </c>
      <c r="Q222" s="96">
        <f t="shared" si="7"/>
        <v>20000</v>
      </c>
    </row>
    <row r="223" spans="1:17" ht="13" x14ac:dyDescent="0.3">
      <c r="A223" s="11" t="s">
        <v>93</v>
      </c>
      <c r="B223" s="163" t="s">
        <v>246</v>
      </c>
      <c r="C223" s="284"/>
      <c r="D223" s="284"/>
      <c r="E223" s="284"/>
      <c r="F223" s="89"/>
      <c r="G223" s="89"/>
      <c r="H223" s="97" t="s">
        <v>274</v>
      </c>
      <c r="I223" s="91"/>
      <c r="J223" s="92"/>
      <c r="K223" s="94"/>
      <c r="L223" s="95"/>
      <c r="M223" s="93"/>
      <c r="N223" s="93"/>
      <c r="O223" s="411"/>
      <c r="P223" s="96">
        <f t="shared" si="6"/>
        <v>0</v>
      </c>
      <c r="Q223" s="96">
        <f t="shared" si="7"/>
        <v>0</v>
      </c>
    </row>
    <row r="224" spans="1:17" x14ac:dyDescent="0.35">
      <c r="A224" s="11" t="s">
        <v>93</v>
      </c>
      <c r="B224" s="163" t="s">
        <v>246</v>
      </c>
      <c r="C224" s="284"/>
      <c r="D224" s="284"/>
      <c r="E224" s="284"/>
      <c r="F224" s="89" t="s">
        <v>48</v>
      </c>
      <c r="G224" s="89"/>
      <c r="H224" s="98" t="s">
        <v>275</v>
      </c>
      <c r="I224" s="91" t="s">
        <v>175</v>
      </c>
      <c r="J224" s="92">
        <v>6</v>
      </c>
      <c r="K224" s="94">
        <v>3000</v>
      </c>
      <c r="L224" s="95">
        <f>J224*K224</f>
        <v>18000</v>
      </c>
      <c r="M224" s="93">
        <v>6</v>
      </c>
      <c r="N224" s="93">
        <v>6</v>
      </c>
      <c r="O224" s="411">
        <v>3000</v>
      </c>
      <c r="P224" s="96">
        <f t="shared" si="6"/>
        <v>18000</v>
      </c>
      <c r="Q224" s="96">
        <f t="shared" si="7"/>
        <v>18000</v>
      </c>
    </row>
    <row r="225" spans="1:17" x14ac:dyDescent="0.35">
      <c r="A225" s="11" t="s">
        <v>93</v>
      </c>
      <c r="B225" s="163" t="s">
        <v>246</v>
      </c>
      <c r="C225" s="284"/>
      <c r="D225" s="284"/>
      <c r="E225" s="284"/>
      <c r="F225" s="89" t="s">
        <v>51</v>
      </c>
      <c r="G225" s="89"/>
      <c r="H225" s="98" t="s">
        <v>276</v>
      </c>
      <c r="I225" s="91" t="s">
        <v>175</v>
      </c>
      <c r="J225" s="92">
        <v>36</v>
      </c>
      <c r="K225" s="94">
        <v>2000</v>
      </c>
      <c r="L225" s="95">
        <f>J225*K225</f>
        <v>72000</v>
      </c>
      <c r="M225" s="93">
        <v>36</v>
      </c>
      <c r="N225" s="93">
        <v>36</v>
      </c>
      <c r="O225" s="411">
        <v>2000</v>
      </c>
      <c r="P225" s="96">
        <f t="shared" si="6"/>
        <v>72000</v>
      </c>
      <c r="Q225" s="96">
        <f t="shared" si="7"/>
        <v>72000</v>
      </c>
    </row>
    <row r="226" spans="1:17" ht="13" x14ac:dyDescent="0.35">
      <c r="A226" s="11" t="s">
        <v>93</v>
      </c>
      <c r="B226" s="163" t="s">
        <v>277</v>
      </c>
      <c r="C226" s="284"/>
      <c r="D226" s="284"/>
      <c r="E226" s="284"/>
      <c r="F226" s="11"/>
      <c r="G226" s="11"/>
      <c r="H226" s="43" t="s">
        <v>95</v>
      </c>
      <c r="I226" s="44"/>
      <c r="J226" s="45"/>
      <c r="K226" s="47"/>
      <c r="L226" s="48"/>
      <c r="M226" s="46"/>
      <c r="N226" s="46"/>
      <c r="O226" s="407"/>
      <c r="P226" s="49">
        <f t="shared" si="6"/>
        <v>0</v>
      </c>
      <c r="Q226" s="49">
        <f t="shared" si="7"/>
        <v>0</v>
      </c>
    </row>
    <row r="227" spans="1:17" ht="13" x14ac:dyDescent="0.35">
      <c r="A227" s="11" t="s">
        <v>93</v>
      </c>
      <c r="B227" s="163" t="s">
        <v>277</v>
      </c>
      <c r="C227" s="284"/>
      <c r="D227" s="284"/>
      <c r="E227" s="284"/>
      <c r="F227" s="11"/>
      <c r="G227" s="11"/>
      <c r="H227" s="43" t="s">
        <v>96</v>
      </c>
      <c r="I227" s="44"/>
      <c r="J227" s="45"/>
      <c r="K227" s="47"/>
      <c r="L227" s="48"/>
      <c r="M227" s="46"/>
      <c r="N227" s="46"/>
      <c r="O227" s="407"/>
      <c r="P227" s="49">
        <f t="shared" si="6"/>
        <v>0</v>
      </c>
      <c r="Q227" s="49">
        <f t="shared" si="7"/>
        <v>0</v>
      </c>
    </row>
    <row r="228" spans="1:17" ht="13" x14ac:dyDescent="0.35">
      <c r="A228" s="11" t="s">
        <v>93</v>
      </c>
      <c r="B228" s="163" t="s">
        <v>277</v>
      </c>
      <c r="C228" s="284"/>
      <c r="D228" s="284"/>
      <c r="E228" s="284"/>
      <c r="F228" s="11"/>
      <c r="G228" s="11"/>
      <c r="H228" s="43" t="s">
        <v>278</v>
      </c>
      <c r="I228" s="44"/>
      <c r="J228" s="45"/>
      <c r="K228" s="47"/>
      <c r="L228" s="48"/>
      <c r="M228" s="46"/>
      <c r="N228" s="46"/>
      <c r="O228" s="407"/>
      <c r="P228" s="49">
        <f t="shared" si="6"/>
        <v>0</v>
      </c>
      <c r="Q228" s="49">
        <f t="shared" si="7"/>
        <v>0</v>
      </c>
    </row>
    <row r="229" spans="1:17" ht="13" x14ac:dyDescent="0.35">
      <c r="A229" s="11" t="s">
        <v>93</v>
      </c>
      <c r="B229" s="163" t="s">
        <v>277</v>
      </c>
      <c r="C229" s="284"/>
      <c r="D229" s="284"/>
      <c r="E229" s="284"/>
      <c r="F229" s="11"/>
      <c r="G229" s="11"/>
      <c r="H229" s="43" t="s">
        <v>279</v>
      </c>
      <c r="I229" s="44"/>
      <c r="J229" s="45"/>
      <c r="K229" s="47"/>
      <c r="L229" s="48"/>
      <c r="M229" s="46"/>
      <c r="N229" s="46"/>
      <c r="O229" s="407"/>
      <c r="P229" s="49">
        <f t="shared" si="6"/>
        <v>0</v>
      </c>
      <c r="Q229" s="49">
        <f t="shared" si="7"/>
        <v>0</v>
      </c>
    </row>
    <row r="230" spans="1:17" ht="13" x14ac:dyDescent="0.35">
      <c r="A230" s="11" t="s">
        <v>93</v>
      </c>
      <c r="B230" s="163" t="s">
        <v>277</v>
      </c>
      <c r="C230" s="284"/>
      <c r="D230" s="284"/>
      <c r="E230" s="284"/>
      <c r="F230" s="11"/>
      <c r="G230" s="11"/>
      <c r="H230" s="57" t="s">
        <v>100</v>
      </c>
      <c r="I230" s="44"/>
      <c r="J230" s="45"/>
      <c r="K230" s="47"/>
      <c r="L230" s="48"/>
      <c r="M230" s="46"/>
      <c r="N230" s="46"/>
      <c r="O230" s="407"/>
      <c r="P230" s="49">
        <f t="shared" si="6"/>
        <v>0</v>
      </c>
      <c r="Q230" s="49">
        <f t="shared" si="7"/>
        <v>0</v>
      </c>
    </row>
    <row r="231" spans="1:17" x14ac:dyDescent="0.35">
      <c r="A231" s="11" t="s">
        <v>93</v>
      </c>
      <c r="B231" s="163" t="s">
        <v>277</v>
      </c>
      <c r="C231" s="284"/>
      <c r="D231" s="284"/>
      <c r="E231" s="284"/>
      <c r="F231" s="11"/>
      <c r="G231" s="11"/>
      <c r="H231" s="60" t="s">
        <v>101</v>
      </c>
      <c r="I231" s="44"/>
      <c r="J231" s="45"/>
      <c r="K231" s="47"/>
      <c r="L231" s="48"/>
      <c r="M231" s="46"/>
      <c r="N231" s="46"/>
      <c r="O231" s="407"/>
      <c r="P231" s="49">
        <f t="shared" si="6"/>
        <v>0</v>
      </c>
      <c r="Q231" s="49">
        <f t="shared" si="7"/>
        <v>0</v>
      </c>
    </row>
    <row r="232" spans="1:17" ht="13" x14ac:dyDescent="0.35">
      <c r="A232" s="11" t="s">
        <v>93</v>
      </c>
      <c r="B232" s="163" t="s">
        <v>277</v>
      </c>
      <c r="C232" s="284"/>
      <c r="D232" s="284"/>
      <c r="E232" s="284"/>
      <c r="F232" s="11"/>
      <c r="G232" s="11"/>
      <c r="H232" s="57" t="s">
        <v>102</v>
      </c>
      <c r="I232" s="44"/>
      <c r="J232" s="45"/>
      <c r="K232" s="47"/>
      <c r="L232" s="48"/>
      <c r="M232" s="46"/>
      <c r="N232" s="46"/>
      <c r="O232" s="407"/>
      <c r="P232" s="49">
        <f t="shared" si="6"/>
        <v>0</v>
      </c>
      <c r="Q232" s="49">
        <f t="shared" si="7"/>
        <v>0</v>
      </c>
    </row>
    <row r="233" spans="1:17" x14ac:dyDescent="0.35">
      <c r="A233" s="11" t="s">
        <v>93</v>
      </c>
      <c r="B233" s="163" t="s">
        <v>277</v>
      </c>
      <c r="C233" s="284"/>
      <c r="D233" s="284"/>
      <c r="E233" s="284"/>
      <c r="F233" s="11"/>
      <c r="G233" s="11"/>
      <c r="H233" s="62" t="s">
        <v>280</v>
      </c>
      <c r="I233" s="44"/>
      <c r="J233" s="45"/>
      <c r="K233" s="47"/>
      <c r="L233" s="48"/>
      <c r="M233" s="46"/>
      <c r="N233" s="46"/>
      <c r="O233" s="407"/>
      <c r="P233" s="49">
        <f t="shared" si="6"/>
        <v>0</v>
      </c>
      <c r="Q233" s="49">
        <f t="shared" si="7"/>
        <v>0</v>
      </c>
    </row>
    <row r="234" spans="1:17" ht="25" x14ac:dyDescent="0.35">
      <c r="A234" s="11" t="s">
        <v>93</v>
      </c>
      <c r="B234" s="163" t="s">
        <v>277</v>
      </c>
      <c r="C234" s="284"/>
      <c r="D234" s="284"/>
      <c r="E234" s="284"/>
      <c r="F234" s="11"/>
      <c r="G234" s="11"/>
      <c r="H234" s="60" t="s">
        <v>281</v>
      </c>
      <c r="I234" s="44"/>
      <c r="J234" s="45"/>
      <c r="K234" s="47"/>
      <c r="L234" s="48"/>
      <c r="M234" s="46"/>
      <c r="N234" s="46"/>
      <c r="O234" s="407"/>
      <c r="P234" s="49">
        <f t="shared" si="6"/>
        <v>0</v>
      </c>
      <c r="Q234" s="49">
        <f t="shared" si="7"/>
        <v>0</v>
      </c>
    </row>
    <row r="235" spans="1:17" ht="37.5" x14ac:dyDescent="0.35">
      <c r="A235" s="11" t="s">
        <v>93</v>
      </c>
      <c r="B235" s="163" t="s">
        <v>277</v>
      </c>
      <c r="C235" s="284"/>
      <c r="D235" s="284"/>
      <c r="E235" s="284"/>
      <c r="F235" s="11"/>
      <c r="G235" s="11"/>
      <c r="H235" s="60" t="s">
        <v>282</v>
      </c>
      <c r="I235" s="44"/>
      <c r="J235" s="45"/>
      <c r="K235" s="47"/>
      <c r="L235" s="48"/>
      <c r="M235" s="46"/>
      <c r="N235" s="46"/>
      <c r="O235" s="407"/>
      <c r="P235" s="49">
        <f t="shared" si="6"/>
        <v>0</v>
      </c>
      <c r="Q235" s="49">
        <f t="shared" si="7"/>
        <v>0</v>
      </c>
    </row>
    <row r="236" spans="1:17" x14ac:dyDescent="0.35">
      <c r="A236" s="11" t="s">
        <v>93</v>
      </c>
      <c r="B236" s="163" t="s">
        <v>277</v>
      </c>
      <c r="C236" s="284"/>
      <c r="D236" s="284"/>
      <c r="E236" s="284"/>
      <c r="F236" s="11"/>
      <c r="G236" s="11"/>
      <c r="H236" s="62" t="s">
        <v>283</v>
      </c>
      <c r="I236" s="44"/>
      <c r="J236" s="45"/>
      <c r="K236" s="47"/>
      <c r="L236" s="48"/>
      <c r="M236" s="46"/>
      <c r="N236" s="46"/>
      <c r="O236" s="407"/>
      <c r="P236" s="49">
        <f t="shared" si="6"/>
        <v>0</v>
      </c>
      <c r="Q236" s="49">
        <f t="shared" si="7"/>
        <v>0</v>
      </c>
    </row>
    <row r="237" spans="1:17" x14ac:dyDescent="0.35">
      <c r="A237" s="11" t="s">
        <v>93</v>
      </c>
      <c r="B237" s="163" t="s">
        <v>277</v>
      </c>
      <c r="C237" s="284"/>
      <c r="D237" s="284"/>
      <c r="E237" s="284"/>
      <c r="F237" s="11"/>
      <c r="G237" s="11"/>
      <c r="H237" s="60" t="s">
        <v>284</v>
      </c>
      <c r="I237" s="44"/>
      <c r="J237" s="45"/>
      <c r="K237" s="47"/>
      <c r="L237" s="48"/>
      <c r="M237" s="46"/>
      <c r="N237" s="46"/>
      <c r="O237" s="407"/>
      <c r="P237" s="49">
        <f t="shared" si="6"/>
        <v>0</v>
      </c>
      <c r="Q237" s="49">
        <f t="shared" si="7"/>
        <v>0</v>
      </c>
    </row>
    <row r="238" spans="1:17" ht="62.5" x14ac:dyDescent="0.35">
      <c r="A238" s="11" t="s">
        <v>93</v>
      </c>
      <c r="B238" s="163" t="s">
        <v>277</v>
      </c>
      <c r="C238" s="284"/>
      <c r="D238" s="284"/>
      <c r="E238" s="284"/>
      <c r="F238" s="11"/>
      <c r="G238" s="11"/>
      <c r="H238" s="60" t="s">
        <v>285</v>
      </c>
      <c r="I238" s="44"/>
      <c r="J238" s="45"/>
      <c r="K238" s="47"/>
      <c r="L238" s="48"/>
      <c r="M238" s="46"/>
      <c r="N238" s="46"/>
      <c r="O238" s="407"/>
      <c r="P238" s="49">
        <f t="shared" si="6"/>
        <v>0</v>
      </c>
      <c r="Q238" s="49">
        <f t="shared" si="7"/>
        <v>0</v>
      </c>
    </row>
    <row r="239" spans="1:17" x14ac:dyDescent="0.35">
      <c r="A239" s="11" t="s">
        <v>93</v>
      </c>
      <c r="B239" s="163" t="s">
        <v>277</v>
      </c>
      <c r="C239" s="284"/>
      <c r="D239" s="284"/>
      <c r="E239" s="284"/>
      <c r="F239" s="11"/>
      <c r="G239" s="11"/>
      <c r="H239" s="62" t="s">
        <v>286</v>
      </c>
      <c r="I239" s="44"/>
      <c r="J239" s="45"/>
      <c r="K239" s="47"/>
      <c r="L239" s="48"/>
      <c r="M239" s="46"/>
      <c r="N239" s="46"/>
      <c r="O239" s="407"/>
      <c r="P239" s="49">
        <f t="shared" si="6"/>
        <v>0</v>
      </c>
      <c r="Q239" s="49">
        <f t="shared" si="7"/>
        <v>0</v>
      </c>
    </row>
    <row r="240" spans="1:17" ht="25" x14ac:dyDescent="0.35">
      <c r="A240" s="11" t="s">
        <v>93</v>
      </c>
      <c r="B240" s="163" t="s">
        <v>277</v>
      </c>
      <c r="C240" s="284"/>
      <c r="D240" s="284"/>
      <c r="E240" s="284"/>
      <c r="F240" s="11"/>
      <c r="G240" s="11"/>
      <c r="H240" s="60" t="s">
        <v>287</v>
      </c>
      <c r="I240" s="44"/>
      <c r="J240" s="45"/>
      <c r="K240" s="47"/>
      <c r="L240" s="48"/>
      <c r="M240" s="46"/>
      <c r="N240" s="46"/>
      <c r="O240" s="407"/>
      <c r="P240" s="49">
        <f t="shared" si="6"/>
        <v>0</v>
      </c>
      <c r="Q240" s="49">
        <f t="shared" si="7"/>
        <v>0</v>
      </c>
    </row>
    <row r="241" spans="1:17" ht="13" x14ac:dyDescent="0.35">
      <c r="A241" s="11" t="s">
        <v>93</v>
      </c>
      <c r="B241" s="163" t="s">
        <v>277</v>
      </c>
      <c r="C241" s="284"/>
      <c r="D241" s="284"/>
      <c r="E241" s="284"/>
      <c r="F241" s="11"/>
      <c r="G241" s="11"/>
      <c r="H241" s="57" t="s">
        <v>288</v>
      </c>
      <c r="I241" s="44"/>
      <c r="J241" s="45"/>
      <c r="K241" s="47"/>
      <c r="L241" s="48"/>
      <c r="M241" s="46"/>
      <c r="N241" s="46"/>
      <c r="O241" s="407"/>
      <c r="P241" s="49">
        <f t="shared" si="6"/>
        <v>0</v>
      </c>
      <c r="Q241" s="49">
        <f t="shared" si="7"/>
        <v>0</v>
      </c>
    </row>
    <row r="242" spans="1:17" ht="13" x14ac:dyDescent="0.35">
      <c r="A242" s="11" t="s">
        <v>93</v>
      </c>
      <c r="B242" s="163" t="s">
        <v>277</v>
      </c>
      <c r="C242" s="284"/>
      <c r="D242" s="284"/>
      <c r="E242" s="284"/>
      <c r="F242" s="11"/>
      <c r="G242" s="11"/>
      <c r="H242" s="57" t="s">
        <v>289</v>
      </c>
      <c r="I242" s="44"/>
      <c r="J242" s="45"/>
      <c r="K242" s="47"/>
      <c r="L242" s="48"/>
      <c r="M242" s="46"/>
      <c r="N242" s="46"/>
      <c r="O242" s="407"/>
      <c r="P242" s="49">
        <f t="shared" si="6"/>
        <v>0</v>
      </c>
      <c r="Q242" s="49">
        <f t="shared" si="7"/>
        <v>0</v>
      </c>
    </row>
    <row r="243" spans="1:17" ht="14.5" x14ac:dyDescent="0.35">
      <c r="A243" s="11" t="s">
        <v>93</v>
      </c>
      <c r="B243" s="163" t="s">
        <v>277</v>
      </c>
      <c r="C243" s="284"/>
      <c r="D243" s="284"/>
      <c r="E243" s="284"/>
      <c r="F243" s="11" t="s">
        <v>20</v>
      </c>
      <c r="G243" s="11"/>
      <c r="H243" s="60" t="s">
        <v>290</v>
      </c>
      <c r="I243" s="44" t="s">
        <v>110</v>
      </c>
      <c r="J243" s="45">
        <v>121</v>
      </c>
      <c r="K243" s="47">
        <v>185</v>
      </c>
      <c r="L243" s="48">
        <f>J243*K243</f>
        <v>22385</v>
      </c>
      <c r="M243" s="46">
        <v>121</v>
      </c>
      <c r="N243" s="46">
        <v>121</v>
      </c>
      <c r="O243" s="407">
        <v>185</v>
      </c>
      <c r="P243" s="49">
        <f t="shared" si="6"/>
        <v>22385</v>
      </c>
      <c r="Q243" s="49">
        <f t="shared" si="7"/>
        <v>22385</v>
      </c>
    </row>
    <row r="244" spans="1:17" x14ac:dyDescent="0.35">
      <c r="A244" s="11" t="s">
        <v>93</v>
      </c>
      <c r="B244" s="163" t="s">
        <v>277</v>
      </c>
      <c r="C244" s="284"/>
      <c r="D244" s="284"/>
      <c r="E244" s="284"/>
      <c r="F244" s="11" t="s">
        <v>26</v>
      </c>
      <c r="G244" s="11"/>
      <c r="H244" s="60" t="s">
        <v>291</v>
      </c>
      <c r="I244" s="44" t="s">
        <v>175</v>
      </c>
      <c r="J244" s="45">
        <v>2</v>
      </c>
      <c r="K244" s="47">
        <v>850</v>
      </c>
      <c r="L244" s="48">
        <f>J244*K244</f>
        <v>1700</v>
      </c>
      <c r="M244" s="46">
        <v>2</v>
      </c>
      <c r="N244" s="46">
        <v>2</v>
      </c>
      <c r="O244" s="407">
        <v>850</v>
      </c>
      <c r="P244" s="49">
        <f t="shared" si="6"/>
        <v>1700</v>
      </c>
      <c r="Q244" s="49">
        <f t="shared" si="7"/>
        <v>1700</v>
      </c>
    </row>
    <row r="245" spans="1:17" s="107" customFormat="1" ht="13" x14ac:dyDescent="0.35">
      <c r="A245" s="11" t="s">
        <v>93</v>
      </c>
      <c r="B245" s="163" t="s">
        <v>277</v>
      </c>
      <c r="C245" s="284"/>
      <c r="D245" s="284"/>
      <c r="E245" s="284"/>
      <c r="F245" s="99"/>
      <c r="G245" s="99"/>
      <c r="H245" s="100" t="s">
        <v>292</v>
      </c>
      <c r="I245" s="101"/>
      <c r="J245" s="102"/>
      <c r="K245" s="104"/>
      <c r="L245" s="105"/>
      <c r="M245" s="103"/>
      <c r="N245" s="103"/>
      <c r="O245" s="412"/>
      <c r="P245" s="106">
        <f t="shared" si="6"/>
        <v>0</v>
      </c>
      <c r="Q245" s="106">
        <f t="shared" si="7"/>
        <v>0</v>
      </c>
    </row>
    <row r="246" spans="1:17" x14ac:dyDescent="0.35">
      <c r="A246" s="11" t="s">
        <v>93</v>
      </c>
      <c r="B246" s="163" t="s">
        <v>277</v>
      </c>
      <c r="C246" s="284"/>
      <c r="D246" s="284"/>
      <c r="E246" s="284"/>
      <c r="F246" s="89" t="s">
        <v>29</v>
      </c>
      <c r="G246" s="89"/>
      <c r="H246" s="108" t="s">
        <v>293</v>
      </c>
      <c r="I246" s="91" t="s">
        <v>186</v>
      </c>
      <c r="J246" s="92">
        <v>72</v>
      </c>
      <c r="K246" s="94">
        <v>85</v>
      </c>
      <c r="L246" s="95">
        <f>J246*K246</f>
        <v>6120</v>
      </c>
      <c r="M246" s="93">
        <v>72</v>
      </c>
      <c r="N246" s="93">
        <v>72</v>
      </c>
      <c r="O246" s="411">
        <v>85</v>
      </c>
      <c r="P246" s="96">
        <f t="shared" si="6"/>
        <v>6120</v>
      </c>
      <c r="Q246" s="96">
        <f t="shared" si="7"/>
        <v>6120</v>
      </c>
    </row>
    <row r="247" spans="1:17" ht="13" x14ac:dyDescent="0.35">
      <c r="A247" s="11" t="s">
        <v>93</v>
      </c>
      <c r="B247" s="163" t="s">
        <v>277</v>
      </c>
      <c r="C247" s="284"/>
      <c r="D247" s="284"/>
      <c r="E247" s="284"/>
      <c r="F247" s="11"/>
      <c r="G247" s="11"/>
      <c r="H247" s="57" t="s">
        <v>294</v>
      </c>
      <c r="I247" s="44"/>
      <c r="J247" s="45"/>
      <c r="K247" s="47"/>
      <c r="L247" s="48"/>
      <c r="M247" s="46"/>
      <c r="N247" s="46"/>
      <c r="O247" s="407"/>
      <c r="P247" s="49">
        <f t="shared" si="6"/>
        <v>0</v>
      </c>
      <c r="Q247" s="49">
        <f t="shared" si="7"/>
        <v>0</v>
      </c>
    </row>
    <row r="248" spans="1:17" ht="26" x14ac:dyDescent="0.35">
      <c r="A248" s="11" t="s">
        <v>93</v>
      </c>
      <c r="B248" s="163" t="s">
        <v>277</v>
      </c>
      <c r="C248" s="284"/>
      <c r="D248" s="284"/>
      <c r="E248" s="284"/>
      <c r="F248" s="11"/>
      <c r="G248" s="11"/>
      <c r="H248" s="57" t="s">
        <v>295</v>
      </c>
      <c r="I248" s="44"/>
      <c r="J248" s="45"/>
      <c r="K248" s="47"/>
      <c r="L248" s="48"/>
      <c r="M248" s="46"/>
      <c r="N248" s="46"/>
      <c r="O248" s="407"/>
      <c r="P248" s="49">
        <f t="shared" si="6"/>
        <v>0</v>
      </c>
      <c r="Q248" s="49">
        <f t="shared" si="7"/>
        <v>0</v>
      </c>
    </row>
    <row r="249" spans="1:17" ht="14.5" x14ac:dyDescent="0.35">
      <c r="A249" s="11" t="s">
        <v>93</v>
      </c>
      <c r="B249" s="163" t="s">
        <v>277</v>
      </c>
      <c r="C249" s="284"/>
      <c r="D249" s="284"/>
      <c r="E249" s="284"/>
      <c r="F249" s="11" t="s">
        <v>32</v>
      </c>
      <c r="G249" s="11"/>
      <c r="H249" s="60" t="s">
        <v>296</v>
      </c>
      <c r="I249" s="44" t="s">
        <v>110</v>
      </c>
      <c r="J249" s="45">
        <f>J243</f>
        <v>121</v>
      </c>
      <c r="K249" s="47">
        <v>185</v>
      </c>
      <c r="L249" s="48">
        <f>J249*K249</f>
        <v>22385</v>
      </c>
      <c r="M249" s="46">
        <f>M243</f>
        <v>121</v>
      </c>
      <c r="N249" s="46">
        <f>N243</f>
        <v>121</v>
      </c>
      <c r="O249" s="407">
        <v>185</v>
      </c>
      <c r="P249" s="49">
        <f t="shared" si="6"/>
        <v>22385</v>
      </c>
      <c r="Q249" s="49">
        <f t="shared" si="7"/>
        <v>22385</v>
      </c>
    </row>
    <row r="250" spans="1:17" ht="13" x14ac:dyDescent="0.35">
      <c r="A250" s="11" t="s">
        <v>93</v>
      </c>
      <c r="B250" s="163" t="s">
        <v>297</v>
      </c>
      <c r="C250" s="284"/>
      <c r="D250" s="284"/>
      <c r="E250" s="284"/>
      <c r="F250" s="11"/>
      <c r="G250" s="11"/>
      <c r="H250" s="43" t="s">
        <v>95</v>
      </c>
      <c r="I250" s="44"/>
      <c r="J250" s="45"/>
      <c r="K250" s="47"/>
      <c r="L250" s="48"/>
      <c r="M250" s="46"/>
      <c r="N250" s="46"/>
      <c r="O250" s="407"/>
      <c r="P250" s="49">
        <f t="shared" si="6"/>
        <v>0</v>
      </c>
      <c r="Q250" s="49">
        <f t="shared" si="7"/>
        <v>0</v>
      </c>
    </row>
    <row r="251" spans="1:17" ht="13" x14ac:dyDescent="0.35">
      <c r="A251" s="11" t="s">
        <v>93</v>
      </c>
      <c r="B251" s="163" t="s">
        <v>297</v>
      </c>
      <c r="C251" s="284"/>
      <c r="D251" s="284"/>
      <c r="E251" s="284"/>
      <c r="F251" s="11"/>
      <c r="G251" s="11"/>
      <c r="H251" s="43" t="s">
        <v>96</v>
      </c>
      <c r="I251" s="44"/>
      <c r="J251" s="45"/>
      <c r="K251" s="47"/>
      <c r="L251" s="48"/>
      <c r="M251" s="46"/>
      <c r="N251" s="46"/>
      <c r="O251" s="407"/>
      <c r="P251" s="49">
        <f t="shared" si="6"/>
        <v>0</v>
      </c>
      <c r="Q251" s="49">
        <f t="shared" si="7"/>
        <v>0</v>
      </c>
    </row>
    <row r="252" spans="1:17" ht="13" x14ac:dyDescent="0.35">
      <c r="A252" s="11" t="s">
        <v>93</v>
      </c>
      <c r="B252" s="163" t="s">
        <v>297</v>
      </c>
      <c r="C252" s="284"/>
      <c r="D252" s="284"/>
      <c r="E252" s="284"/>
      <c r="F252" s="11"/>
      <c r="G252" s="11"/>
      <c r="H252" s="43" t="s">
        <v>298</v>
      </c>
      <c r="I252" s="44"/>
      <c r="J252" s="45"/>
      <c r="K252" s="47"/>
      <c r="L252" s="48"/>
      <c r="M252" s="46"/>
      <c r="N252" s="46"/>
      <c r="O252" s="407"/>
      <c r="P252" s="49">
        <f t="shared" si="6"/>
        <v>0</v>
      </c>
      <c r="Q252" s="49">
        <f t="shared" si="7"/>
        <v>0</v>
      </c>
    </row>
    <row r="253" spans="1:17" ht="13" x14ac:dyDescent="0.35">
      <c r="A253" s="11" t="s">
        <v>93</v>
      </c>
      <c r="B253" s="163" t="s">
        <v>297</v>
      </c>
      <c r="C253" s="284"/>
      <c r="D253" s="284"/>
      <c r="E253" s="284"/>
      <c r="F253" s="11"/>
      <c r="G253" s="11"/>
      <c r="H253" s="43" t="s">
        <v>299</v>
      </c>
      <c r="I253" s="44"/>
      <c r="J253" s="45"/>
      <c r="K253" s="47"/>
      <c r="L253" s="48"/>
      <c r="M253" s="46"/>
      <c r="N253" s="46"/>
      <c r="O253" s="407"/>
      <c r="P253" s="49">
        <f t="shared" si="6"/>
        <v>0</v>
      </c>
      <c r="Q253" s="49">
        <f t="shared" si="7"/>
        <v>0</v>
      </c>
    </row>
    <row r="254" spans="1:17" ht="13" x14ac:dyDescent="0.35">
      <c r="A254" s="11" t="s">
        <v>93</v>
      </c>
      <c r="B254" s="163" t="s">
        <v>297</v>
      </c>
      <c r="C254" s="284"/>
      <c r="D254" s="284"/>
      <c r="E254" s="284"/>
      <c r="F254" s="11"/>
      <c r="G254" s="11"/>
      <c r="H254" s="57" t="s">
        <v>100</v>
      </c>
      <c r="I254" s="44"/>
      <c r="J254" s="45"/>
      <c r="K254" s="47"/>
      <c r="L254" s="48"/>
      <c r="M254" s="46"/>
      <c r="N254" s="46"/>
      <c r="O254" s="407"/>
      <c r="P254" s="49">
        <f t="shared" si="6"/>
        <v>0</v>
      </c>
      <c r="Q254" s="49">
        <f t="shared" si="7"/>
        <v>0</v>
      </c>
    </row>
    <row r="255" spans="1:17" x14ac:dyDescent="0.35">
      <c r="A255" s="11" t="s">
        <v>93</v>
      </c>
      <c r="B255" s="163" t="s">
        <v>297</v>
      </c>
      <c r="C255" s="284"/>
      <c r="D255" s="284"/>
      <c r="E255" s="284"/>
      <c r="F255" s="11"/>
      <c r="G255" s="11"/>
      <c r="H255" s="60" t="s">
        <v>101</v>
      </c>
      <c r="I255" s="44"/>
      <c r="J255" s="45"/>
      <c r="K255" s="47"/>
      <c r="L255" s="48"/>
      <c r="M255" s="46"/>
      <c r="N255" s="46"/>
      <c r="O255" s="407"/>
      <c r="P255" s="49">
        <f t="shared" si="6"/>
        <v>0</v>
      </c>
      <c r="Q255" s="49">
        <f t="shared" si="7"/>
        <v>0</v>
      </c>
    </row>
    <row r="256" spans="1:17" ht="13" x14ac:dyDescent="0.35">
      <c r="A256" s="11" t="s">
        <v>93</v>
      </c>
      <c r="B256" s="163" t="s">
        <v>297</v>
      </c>
      <c r="C256" s="284"/>
      <c r="D256" s="284"/>
      <c r="E256" s="284"/>
      <c r="F256" s="11"/>
      <c r="G256" s="11"/>
      <c r="H256" s="57" t="s">
        <v>102</v>
      </c>
      <c r="I256" s="44"/>
      <c r="J256" s="45"/>
      <c r="K256" s="47"/>
      <c r="L256" s="48"/>
      <c r="M256" s="46"/>
      <c r="N256" s="46"/>
      <c r="O256" s="407"/>
      <c r="P256" s="49">
        <f t="shared" si="6"/>
        <v>0</v>
      </c>
      <c r="Q256" s="49">
        <f t="shared" si="7"/>
        <v>0</v>
      </c>
    </row>
    <row r="257" spans="1:17" ht="50" x14ac:dyDescent="0.35">
      <c r="A257" s="11" t="s">
        <v>93</v>
      </c>
      <c r="B257" s="163" t="s">
        <v>297</v>
      </c>
      <c r="C257" s="284"/>
      <c r="D257" s="284"/>
      <c r="E257" s="284"/>
      <c r="F257" s="11"/>
      <c r="G257" s="11"/>
      <c r="H257" s="60" t="s">
        <v>300</v>
      </c>
      <c r="I257" s="44"/>
      <c r="J257" s="45"/>
      <c r="K257" s="47"/>
      <c r="L257" s="48"/>
      <c r="M257" s="46"/>
      <c r="N257" s="46"/>
      <c r="O257" s="407"/>
      <c r="P257" s="49">
        <f t="shared" si="6"/>
        <v>0</v>
      </c>
      <c r="Q257" s="49">
        <f t="shared" si="7"/>
        <v>0</v>
      </c>
    </row>
    <row r="258" spans="1:17" ht="13" x14ac:dyDescent="0.35">
      <c r="A258" s="11" t="s">
        <v>93</v>
      </c>
      <c r="B258" s="163" t="s">
        <v>297</v>
      </c>
      <c r="C258" s="284"/>
      <c r="D258" s="284"/>
      <c r="E258" s="284"/>
      <c r="F258" s="11"/>
      <c r="G258" s="11"/>
      <c r="H258" s="57" t="s">
        <v>301</v>
      </c>
      <c r="I258" s="44"/>
      <c r="J258" s="45"/>
      <c r="K258" s="47"/>
      <c r="L258" s="48"/>
      <c r="M258" s="46"/>
      <c r="N258" s="46"/>
      <c r="O258" s="407"/>
      <c r="P258" s="49">
        <f t="shared" si="6"/>
        <v>0</v>
      </c>
      <c r="Q258" s="49">
        <f t="shared" si="7"/>
        <v>0</v>
      </c>
    </row>
    <row r="259" spans="1:17" ht="26" x14ac:dyDescent="0.35">
      <c r="A259" s="11" t="s">
        <v>93</v>
      </c>
      <c r="B259" s="163" t="s">
        <v>297</v>
      </c>
      <c r="C259" s="284"/>
      <c r="D259" s="284"/>
      <c r="E259" s="284"/>
      <c r="F259" s="11"/>
      <c r="G259" s="11"/>
      <c r="H259" s="109" t="s">
        <v>302</v>
      </c>
      <c r="I259" s="44"/>
      <c r="J259" s="45"/>
      <c r="K259" s="47"/>
      <c r="L259" s="48"/>
      <c r="M259" s="46"/>
      <c r="N259" s="46"/>
      <c r="O259" s="407"/>
      <c r="P259" s="49">
        <f t="shared" si="6"/>
        <v>0</v>
      </c>
      <c r="Q259" s="49">
        <f t="shared" si="7"/>
        <v>0</v>
      </c>
    </row>
    <row r="260" spans="1:17" ht="14.5" x14ac:dyDescent="0.35">
      <c r="A260" s="11" t="s">
        <v>93</v>
      </c>
      <c r="B260" s="163" t="s">
        <v>297</v>
      </c>
      <c r="C260" s="284"/>
      <c r="D260" s="284"/>
      <c r="E260" s="284"/>
      <c r="F260" s="11" t="s">
        <v>20</v>
      </c>
      <c r="G260" s="11"/>
      <c r="H260" s="67" t="s">
        <v>303</v>
      </c>
      <c r="I260" s="110" t="s">
        <v>110</v>
      </c>
      <c r="J260" s="45">
        <v>121</v>
      </c>
      <c r="K260" s="47">
        <v>400</v>
      </c>
      <c r="L260" s="48">
        <f>J260*K260</f>
        <v>48400</v>
      </c>
      <c r="M260" s="46">
        <v>121</v>
      </c>
      <c r="N260" s="46">
        <v>121</v>
      </c>
      <c r="O260" s="407">
        <v>400</v>
      </c>
      <c r="P260" s="49">
        <f t="shared" si="6"/>
        <v>48400</v>
      </c>
      <c r="Q260" s="49">
        <f t="shared" si="7"/>
        <v>48400</v>
      </c>
    </row>
    <row r="261" spans="1:17" ht="13" x14ac:dyDescent="0.35">
      <c r="A261" s="11" t="s">
        <v>93</v>
      </c>
      <c r="B261" s="163" t="s">
        <v>297</v>
      </c>
      <c r="C261" s="284"/>
      <c r="D261" s="284"/>
      <c r="E261" s="284"/>
      <c r="F261" s="11"/>
      <c r="G261" s="11"/>
      <c r="H261" s="57" t="s">
        <v>304</v>
      </c>
      <c r="I261" s="110"/>
      <c r="J261" s="45"/>
      <c r="K261" s="47"/>
      <c r="L261" s="48"/>
      <c r="M261" s="46"/>
      <c r="N261" s="46"/>
      <c r="O261" s="407"/>
      <c r="P261" s="49">
        <f t="shared" si="6"/>
        <v>0</v>
      </c>
      <c r="Q261" s="49">
        <f t="shared" si="7"/>
        <v>0</v>
      </c>
    </row>
    <row r="262" spans="1:17" ht="14.5" x14ac:dyDescent="0.25">
      <c r="A262" s="11" t="s">
        <v>93</v>
      </c>
      <c r="B262" s="163" t="s">
        <v>297</v>
      </c>
      <c r="C262" s="284"/>
      <c r="D262" s="284"/>
      <c r="E262" s="284"/>
      <c r="F262" s="11" t="s">
        <v>26</v>
      </c>
      <c r="G262" s="11"/>
      <c r="H262" s="111" t="s">
        <v>305</v>
      </c>
      <c r="I262" s="110" t="s">
        <v>110</v>
      </c>
      <c r="J262" s="45">
        <f>J260</f>
        <v>121</v>
      </c>
      <c r="K262" s="47">
        <v>35</v>
      </c>
      <c r="L262" s="48">
        <f>J262*K262</f>
        <v>4235</v>
      </c>
      <c r="M262" s="46">
        <f>M260</f>
        <v>121</v>
      </c>
      <c r="N262" s="46">
        <f>N260</f>
        <v>121</v>
      </c>
      <c r="O262" s="407">
        <v>35</v>
      </c>
      <c r="P262" s="49">
        <f t="shared" si="6"/>
        <v>4235</v>
      </c>
      <c r="Q262" s="49">
        <f t="shared" si="7"/>
        <v>4235</v>
      </c>
    </row>
    <row r="263" spans="1:17" ht="13" x14ac:dyDescent="0.35">
      <c r="A263" s="11" t="s">
        <v>93</v>
      </c>
      <c r="B263" s="163" t="s">
        <v>306</v>
      </c>
      <c r="C263" s="284"/>
      <c r="D263" s="284"/>
      <c r="E263" s="284"/>
      <c r="F263" s="11"/>
      <c r="G263" s="11"/>
      <c r="H263" s="43" t="s">
        <v>95</v>
      </c>
      <c r="I263" s="44"/>
      <c r="J263" s="45"/>
      <c r="K263" s="47"/>
      <c r="L263" s="48"/>
      <c r="M263" s="46"/>
      <c r="N263" s="46"/>
      <c r="O263" s="407"/>
      <c r="P263" s="49">
        <f t="shared" si="6"/>
        <v>0</v>
      </c>
      <c r="Q263" s="49">
        <f t="shared" si="7"/>
        <v>0</v>
      </c>
    </row>
    <row r="264" spans="1:17" ht="13" x14ac:dyDescent="0.35">
      <c r="A264" s="11" t="s">
        <v>93</v>
      </c>
      <c r="B264" s="163" t="s">
        <v>306</v>
      </c>
      <c r="C264" s="284"/>
      <c r="D264" s="284"/>
      <c r="E264" s="284"/>
      <c r="F264" s="11"/>
      <c r="G264" s="11"/>
      <c r="H264" s="43" t="s">
        <v>96</v>
      </c>
      <c r="I264" s="44"/>
      <c r="J264" s="45"/>
      <c r="K264" s="47"/>
      <c r="L264" s="48"/>
      <c r="M264" s="46"/>
      <c r="N264" s="46"/>
      <c r="O264" s="407"/>
      <c r="P264" s="49">
        <f t="shared" si="6"/>
        <v>0</v>
      </c>
      <c r="Q264" s="49">
        <f t="shared" si="7"/>
        <v>0</v>
      </c>
    </row>
    <row r="265" spans="1:17" ht="13" x14ac:dyDescent="0.35">
      <c r="A265" s="11" t="s">
        <v>93</v>
      </c>
      <c r="B265" s="163" t="s">
        <v>306</v>
      </c>
      <c r="C265" s="284"/>
      <c r="D265" s="284"/>
      <c r="E265" s="284"/>
      <c r="F265" s="11"/>
      <c r="G265" s="11"/>
      <c r="H265" s="43" t="s">
        <v>307</v>
      </c>
      <c r="I265" s="44"/>
      <c r="J265" s="45"/>
      <c r="K265" s="47"/>
      <c r="L265" s="48"/>
      <c r="M265" s="46"/>
      <c r="N265" s="46"/>
      <c r="O265" s="407"/>
      <c r="P265" s="49">
        <f t="shared" si="6"/>
        <v>0</v>
      </c>
      <c r="Q265" s="49">
        <f t="shared" si="7"/>
        <v>0</v>
      </c>
    </row>
    <row r="266" spans="1:17" ht="13" x14ac:dyDescent="0.35">
      <c r="A266" s="11" t="s">
        <v>93</v>
      </c>
      <c r="B266" s="163" t="s">
        <v>306</v>
      </c>
      <c r="C266" s="284"/>
      <c r="D266" s="284"/>
      <c r="E266" s="284"/>
      <c r="F266" s="89"/>
      <c r="G266" s="89"/>
      <c r="H266" s="100" t="s">
        <v>308</v>
      </c>
      <c r="I266" s="91"/>
      <c r="J266" s="92"/>
      <c r="K266" s="94"/>
      <c r="L266" s="95"/>
      <c r="M266" s="93"/>
      <c r="N266" s="93"/>
      <c r="O266" s="411"/>
      <c r="P266" s="96">
        <f t="shared" ref="P266:P329" si="8">O266*M266</f>
        <v>0</v>
      </c>
      <c r="Q266" s="96">
        <f t="shared" ref="Q266:Q329" si="9">O266*N266</f>
        <v>0</v>
      </c>
    </row>
    <row r="267" spans="1:17" ht="13" x14ac:dyDescent="0.35">
      <c r="A267" s="11" t="s">
        <v>93</v>
      </c>
      <c r="B267" s="163" t="s">
        <v>306</v>
      </c>
      <c r="C267" s="284"/>
      <c r="D267" s="284"/>
      <c r="E267" s="284"/>
      <c r="F267" s="89"/>
      <c r="G267" s="89"/>
      <c r="H267" s="90" t="s">
        <v>100</v>
      </c>
      <c r="I267" s="91"/>
      <c r="J267" s="92"/>
      <c r="K267" s="94"/>
      <c r="L267" s="95"/>
      <c r="M267" s="93"/>
      <c r="N267" s="93"/>
      <c r="O267" s="411"/>
      <c r="P267" s="96">
        <f t="shared" si="8"/>
        <v>0</v>
      </c>
      <c r="Q267" s="96">
        <f t="shared" si="9"/>
        <v>0</v>
      </c>
    </row>
    <row r="268" spans="1:17" x14ac:dyDescent="0.35">
      <c r="A268" s="11" t="s">
        <v>93</v>
      </c>
      <c r="B268" s="163" t="s">
        <v>306</v>
      </c>
      <c r="C268" s="284"/>
      <c r="D268" s="284"/>
      <c r="E268" s="284"/>
      <c r="F268" s="89"/>
      <c r="G268" s="89"/>
      <c r="H268" s="108" t="s">
        <v>101</v>
      </c>
      <c r="I268" s="91"/>
      <c r="J268" s="92"/>
      <c r="K268" s="94"/>
      <c r="L268" s="95"/>
      <c r="M268" s="93"/>
      <c r="N268" s="93"/>
      <c r="O268" s="411"/>
      <c r="P268" s="96">
        <f t="shared" si="8"/>
        <v>0</v>
      </c>
      <c r="Q268" s="96">
        <f t="shared" si="9"/>
        <v>0</v>
      </c>
    </row>
    <row r="269" spans="1:17" ht="13" x14ac:dyDescent="0.35">
      <c r="A269" s="11" t="s">
        <v>93</v>
      </c>
      <c r="B269" s="163" t="s">
        <v>306</v>
      </c>
      <c r="C269" s="284"/>
      <c r="D269" s="284"/>
      <c r="E269" s="284"/>
      <c r="F269" s="89"/>
      <c r="G269" s="89"/>
      <c r="H269" s="100" t="s">
        <v>309</v>
      </c>
      <c r="I269" s="91"/>
      <c r="J269" s="92"/>
      <c r="K269" s="94"/>
      <c r="L269" s="95"/>
      <c r="M269" s="93"/>
      <c r="N269" s="93"/>
      <c r="O269" s="411"/>
      <c r="P269" s="96">
        <f t="shared" si="8"/>
        <v>0</v>
      </c>
      <c r="Q269" s="96">
        <f t="shared" si="9"/>
        <v>0</v>
      </c>
    </row>
    <row r="270" spans="1:17" x14ac:dyDescent="0.35">
      <c r="A270" s="11" t="s">
        <v>93</v>
      </c>
      <c r="B270" s="163" t="s">
        <v>306</v>
      </c>
      <c r="C270" s="284"/>
      <c r="D270" s="284"/>
      <c r="E270" s="284"/>
      <c r="F270" s="89" t="s">
        <v>20</v>
      </c>
      <c r="G270" s="89"/>
      <c r="H270" s="108" t="s">
        <v>310</v>
      </c>
      <c r="I270" s="91" t="s">
        <v>175</v>
      </c>
      <c r="J270" s="92">
        <v>6</v>
      </c>
      <c r="K270" s="94">
        <v>200</v>
      </c>
      <c r="L270" s="95">
        <f>J270*K270</f>
        <v>1200</v>
      </c>
      <c r="M270" s="93">
        <v>6</v>
      </c>
      <c r="N270" s="93">
        <v>6</v>
      </c>
      <c r="O270" s="411">
        <v>200</v>
      </c>
      <c r="P270" s="96">
        <f t="shared" si="8"/>
        <v>1200</v>
      </c>
      <c r="Q270" s="96">
        <f t="shared" si="9"/>
        <v>1200</v>
      </c>
    </row>
    <row r="271" spans="1:17" x14ac:dyDescent="0.35">
      <c r="A271" s="11" t="s">
        <v>93</v>
      </c>
      <c r="B271" s="163" t="s">
        <v>306</v>
      </c>
      <c r="C271" s="284"/>
      <c r="D271" s="284"/>
      <c r="E271" s="284"/>
      <c r="F271" s="89" t="s">
        <v>26</v>
      </c>
      <c r="G271" s="89"/>
      <c r="H271" s="108" t="s">
        <v>311</v>
      </c>
      <c r="I271" s="91" t="s">
        <v>175</v>
      </c>
      <c r="J271" s="92">
        <v>6</v>
      </c>
      <c r="K271" s="94">
        <v>200</v>
      </c>
      <c r="L271" s="95">
        <f>J271*K271</f>
        <v>1200</v>
      </c>
      <c r="M271" s="93">
        <v>6</v>
      </c>
      <c r="N271" s="93">
        <v>6</v>
      </c>
      <c r="O271" s="411">
        <v>200</v>
      </c>
      <c r="P271" s="96">
        <f t="shared" si="8"/>
        <v>1200</v>
      </c>
      <c r="Q271" s="96">
        <f t="shared" si="9"/>
        <v>1200</v>
      </c>
    </row>
    <row r="272" spans="1:17" ht="13" x14ac:dyDescent="0.35">
      <c r="A272" s="11" t="s">
        <v>93</v>
      </c>
      <c r="B272" s="163" t="s">
        <v>306</v>
      </c>
      <c r="C272" s="284"/>
      <c r="D272" s="284"/>
      <c r="E272" s="284"/>
      <c r="F272" s="89"/>
      <c r="G272" s="89"/>
      <c r="H272" s="90" t="s">
        <v>312</v>
      </c>
      <c r="I272" s="91"/>
      <c r="J272" s="92"/>
      <c r="K272" s="94"/>
      <c r="L272" s="95"/>
      <c r="M272" s="93"/>
      <c r="N272" s="93"/>
      <c r="O272" s="411"/>
      <c r="P272" s="96">
        <f t="shared" si="8"/>
        <v>0</v>
      </c>
      <c r="Q272" s="96">
        <f t="shared" si="9"/>
        <v>0</v>
      </c>
    </row>
    <row r="273" spans="1:17" x14ac:dyDescent="0.35">
      <c r="A273" s="11" t="s">
        <v>93</v>
      </c>
      <c r="B273" s="163" t="s">
        <v>306</v>
      </c>
      <c r="C273" s="284"/>
      <c r="D273" s="284"/>
      <c r="E273" s="284"/>
      <c r="F273" s="89" t="s">
        <v>29</v>
      </c>
      <c r="G273" s="89"/>
      <c r="H273" s="98" t="s">
        <v>313</v>
      </c>
      <c r="I273" s="112" t="s">
        <v>175</v>
      </c>
      <c r="J273" s="45">
        <v>3</v>
      </c>
      <c r="K273" s="94">
        <v>400</v>
      </c>
      <c r="L273" s="95">
        <f>J273*K273</f>
        <v>1200</v>
      </c>
      <c r="M273" s="46">
        <v>3</v>
      </c>
      <c r="N273" s="46">
        <v>3</v>
      </c>
      <c r="O273" s="411">
        <v>400</v>
      </c>
      <c r="P273" s="96">
        <f t="shared" si="8"/>
        <v>1200</v>
      </c>
      <c r="Q273" s="96">
        <f t="shared" si="9"/>
        <v>1200</v>
      </c>
    </row>
    <row r="274" spans="1:17" x14ac:dyDescent="0.35">
      <c r="A274" s="11" t="s">
        <v>93</v>
      </c>
      <c r="B274" s="163" t="s">
        <v>306</v>
      </c>
      <c r="C274" s="284"/>
      <c r="D274" s="284"/>
      <c r="E274" s="284"/>
      <c r="F274" s="89" t="s">
        <v>32</v>
      </c>
      <c r="G274" s="89"/>
      <c r="H274" s="108" t="s">
        <v>314</v>
      </c>
      <c r="I274" s="112" t="s">
        <v>175</v>
      </c>
      <c r="J274" s="45">
        <v>3</v>
      </c>
      <c r="K274" s="94">
        <v>550</v>
      </c>
      <c r="L274" s="95">
        <f>J274*K274</f>
        <v>1650</v>
      </c>
      <c r="M274" s="46">
        <v>3</v>
      </c>
      <c r="N274" s="46">
        <v>3</v>
      </c>
      <c r="O274" s="411">
        <v>550</v>
      </c>
      <c r="P274" s="96">
        <f t="shared" si="8"/>
        <v>1650</v>
      </c>
      <c r="Q274" s="96">
        <f t="shared" si="9"/>
        <v>1650</v>
      </c>
    </row>
    <row r="275" spans="1:17" x14ac:dyDescent="0.35">
      <c r="A275" s="11" t="s">
        <v>93</v>
      </c>
      <c r="B275" s="163" t="s">
        <v>306</v>
      </c>
      <c r="C275" s="284"/>
      <c r="D275" s="284"/>
      <c r="E275" s="284"/>
      <c r="F275" s="89" t="s">
        <v>36</v>
      </c>
      <c r="G275" s="89"/>
      <c r="H275" s="108" t="s">
        <v>315</v>
      </c>
      <c r="I275" s="112" t="s">
        <v>175</v>
      </c>
      <c r="J275" s="45">
        <v>3</v>
      </c>
      <c r="K275" s="94">
        <v>650</v>
      </c>
      <c r="L275" s="95">
        <f>J275*K275</f>
        <v>1950</v>
      </c>
      <c r="M275" s="46">
        <v>3</v>
      </c>
      <c r="N275" s="46">
        <v>3</v>
      </c>
      <c r="O275" s="411">
        <v>650</v>
      </c>
      <c r="P275" s="96">
        <f t="shared" si="8"/>
        <v>1950</v>
      </c>
      <c r="Q275" s="96">
        <f t="shared" si="9"/>
        <v>1950</v>
      </c>
    </row>
    <row r="276" spans="1:17" ht="13" x14ac:dyDescent="0.35">
      <c r="A276" s="11" t="s">
        <v>93</v>
      </c>
      <c r="B276" s="163" t="s">
        <v>306</v>
      </c>
      <c r="C276" s="284"/>
      <c r="D276" s="284"/>
      <c r="E276" s="284"/>
      <c r="F276" s="89"/>
      <c r="G276" s="89"/>
      <c r="H276" s="90" t="s">
        <v>316</v>
      </c>
      <c r="I276" s="112"/>
      <c r="J276" s="45"/>
      <c r="K276" s="94"/>
      <c r="L276" s="95"/>
      <c r="M276" s="46"/>
      <c r="N276" s="46"/>
      <c r="O276" s="411"/>
      <c r="P276" s="96">
        <f t="shared" si="8"/>
        <v>0</v>
      </c>
      <c r="Q276" s="96">
        <f t="shared" si="9"/>
        <v>0</v>
      </c>
    </row>
    <row r="277" spans="1:17" x14ac:dyDescent="0.35">
      <c r="A277" s="11" t="s">
        <v>93</v>
      </c>
      <c r="B277" s="163" t="s">
        <v>306</v>
      </c>
      <c r="C277" s="284"/>
      <c r="D277" s="284"/>
      <c r="E277" s="284"/>
      <c r="F277" s="89" t="s">
        <v>39</v>
      </c>
      <c r="G277" s="89"/>
      <c r="H277" s="108" t="s">
        <v>317</v>
      </c>
      <c r="I277" s="112" t="s">
        <v>175</v>
      </c>
      <c r="J277" s="45">
        <v>3</v>
      </c>
      <c r="K277" s="94">
        <v>650</v>
      </c>
      <c r="L277" s="95">
        <f>J277*K277</f>
        <v>1950</v>
      </c>
      <c r="M277" s="46">
        <v>3</v>
      </c>
      <c r="N277" s="46">
        <v>3</v>
      </c>
      <c r="O277" s="411">
        <v>650</v>
      </c>
      <c r="P277" s="96">
        <f t="shared" si="8"/>
        <v>1950</v>
      </c>
      <c r="Q277" s="96">
        <f t="shared" si="9"/>
        <v>1950</v>
      </c>
    </row>
    <row r="278" spans="1:17" x14ac:dyDescent="0.35">
      <c r="A278" s="11" t="s">
        <v>93</v>
      </c>
      <c r="B278" s="163" t="s">
        <v>306</v>
      </c>
      <c r="C278" s="284"/>
      <c r="D278" s="284"/>
      <c r="E278" s="284"/>
      <c r="F278" s="89" t="s">
        <v>42</v>
      </c>
      <c r="G278" s="89"/>
      <c r="H278" s="108" t="s">
        <v>318</v>
      </c>
      <c r="I278" s="112" t="s">
        <v>175</v>
      </c>
      <c r="J278" s="45">
        <v>3</v>
      </c>
      <c r="K278" s="94">
        <v>650</v>
      </c>
      <c r="L278" s="95">
        <f>J278*K278</f>
        <v>1950</v>
      </c>
      <c r="M278" s="46">
        <v>3</v>
      </c>
      <c r="N278" s="46">
        <v>3</v>
      </c>
      <c r="O278" s="411">
        <v>650</v>
      </c>
      <c r="P278" s="96">
        <f t="shared" si="8"/>
        <v>1950</v>
      </c>
      <c r="Q278" s="96">
        <f t="shared" si="9"/>
        <v>1950</v>
      </c>
    </row>
    <row r="279" spans="1:17" ht="13" x14ac:dyDescent="0.35">
      <c r="A279" s="11" t="s">
        <v>93</v>
      </c>
      <c r="B279" s="163" t="s">
        <v>306</v>
      </c>
      <c r="C279" s="284"/>
      <c r="D279" s="284"/>
      <c r="E279" s="284"/>
      <c r="F279" s="89"/>
      <c r="G279" s="89"/>
      <c r="H279" s="90" t="s">
        <v>319</v>
      </c>
      <c r="I279" s="112"/>
      <c r="J279" s="45"/>
      <c r="K279" s="94"/>
      <c r="L279" s="95"/>
      <c r="M279" s="46"/>
      <c r="N279" s="46"/>
      <c r="O279" s="411"/>
      <c r="P279" s="96">
        <f t="shared" si="8"/>
        <v>0</v>
      </c>
      <c r="Q279" s="96">
        <f t="shared" si="9"/>
        <v>0</v>
      </c>
    </row>
    <row r="280" spans="1:17" x14ac:dyDescent="0.35">
      <c r="A280" s="11" t="s">
        <v>93</v>
      </c>
      <c r="B280" s="163" t="s">
        <v>306</v>
      </c>
      <c r="C280" s="284"/>
      <c r="D280" s="284"/>
      <c r="E280" s="284"/>
      <c r="F280" s="89" t="s">
        <v>45</v>
      </c>
      <c r="G280" s="89"/>
      <c r="H280" s="108" t="s">
        <v>320</v>
      </c>
      <c r="I280" s="112" t="s">
        <v>175</v>
      </c>
      <c r="J280" s="45">
        <v>3</v>
      </c>
      <c r="K280" s="94">
        <v>80</v>
      </c>
      <c r="L280" s="95">
        <f>J280*K280</f>
        <v>240</v>
      </c>
      <c r="M280" s="46">
        <v>3</v>
      </c>
      <c r="N280" s="46">
        <v>3</v>
      </c>
      <c r="O280" s="411">
        <v>80</v>
      </c>
      <c r="P280" s="96">
        <f t="shared" si="8"/>
        <v>240</v>
      </c>
      <c r="Q280" s="96">
        <f t="shared" si="9"/>
        <v>240</v>
      </c>
    </row>
    <row r="281" spans="1:17" ht="13" x14ac:dyDescent="0.35">
      <c r="A281" s="11" t="s">
        <v>93</v>
      </c>
      <c r="B281" s="163" t="s">
        <v>306</v>
      </c>
      <c r="C281" s="284"/>
      <c r="D281" s="284"/>
      <c r="E281" s="284"/>
      <c r="F281" s="89"/>
      <c r="G281" s="89"/>
      <c r="H281" s="90" t="s">
        <v>321</v>
      </c>
      <c r="I281" s="112"/>
      <c r="J281" s="45"/>
      <c r="K281" s="94"/>
      <c r="L281" s="95"/>
      <c r="M281" s="46"/>
      <c r="N281" s="46"/>
      <c r="O281" s="411"/>
      <c r="P281" s="96">
        <f t="shared" si="8"/>
        <v>0</v>
      </c>
      <c r="Q281" s="96">
        <f t="shared" si="9"/>
        <v>0</v>
      </c>
    </row>
    <row r="282" spans="1:17" ht="50" x14ac:dyDescent="0.35">
      <c r="A282" s="11" t="s">
        <v>93</v>
      </c>
      <c r="B282" s="163" t="s">
        <v>306</v>
      </c>
      <c r="C282" s="284"/>
      <c r="D282" s="284"/>
      <c r="E282" s="284"/>
      <c r="F282" s="89"/>
      <c r="G282" s="89"/>
      <c r="H282" s="108" t="s">
        <v>322</v>
      </c>
      <c r="I282" s="112"/>
      <c r="J282" s="45"/>
      <c r="K282" s="94"/>
      <c r="L282" s="95"/>
      <c r="M282" s="46"/>
      <c r="N282" s="46"/>
      <c r="O282" s="411"/>
      <c r="P282" s="96">
        <f t="shared" si="8"/>
        <v>0</v>
      </c>
      <c r="Q282" s="96">
        <f t="shared" si="9"/>
        <v>0</v>
      </c>
    </row>
    <row r="283" spans="1:17" ht="37.5" x14ac:dyDescent="0.35">
      <c r="A283" s="11" t="s">
        <v>93</v>
      </c>
      <c r="B283" s="163" t="s">
        <v>306</v>
      </c>
      <c r="C283" s="284"/>
      <c r="D283" s="284"/>
      <c r="E283" s="284"/>
      <c r="F283" s="89" t="s">
        <v>48</v>
      </c>
      <c r="G283" s="89"/>
      <c r="H283" s="108" t="s">
        <v>323</v>
      </c>
      <c r="I283" s="112" t="s">
        <v>175</v>
      </c>
      <c r="J283" s="45">
        <v>10</v>
      </c>
      <c r="K283" s="94">
        <v>8500</v>
      </c>
      <c r="L283" s="95">
        <f>J283*K283</f>
        <v>85000</v>
      </c>
      <c r="M283" s="46">
        <v>10</v>
      </c>
      <c r="N283" s="46">
        <v>10</v>
      </c>
      <c r="O283" s="411">
        <v>8500</v>
      </c>
      <c r="P283" s="96">
        <f t="shared" si="8"/>
        <v>85000</v>
      </c>
      <c r="Q283" s="96">
        <f t="shared" si="9"/>
        <v>85000</v>
      </c>
    </row>
    <row r="284" spans="1:17" x14ac:dyDescent="0.35">
      <c r="A284" s="11" t="s">
        <v>93</v>
      </c>
      <c r="B284" s="163" t="s">
        <v>306</v>
      </c>
      <c r="C284" s="284"/>
      <c r="D284" s="284"/>
      <c r="E284" s="284"/>
      <c r="F284" s="89" t="s">
        <v>51</v>
      </c>
      <c r="G284" s="89"/>
      <c r="H284" s="108" t="s">
        <v>324</v>
      </c>
      <c r="I284" s="112" t="s">
        <v>175</v>
      </c>
      <c r="J284" s="45">
        <v>7</v>
      </c>
      <c r="K284" s="94">
        <v>5500</v>
      </c>
      <c r="L284" s="95">
        <f>J284*K284</f>
        <v>38500</v>
      </c>
      <c r="M284" s="46">
        <v>7</v>
      </c>
      <c r="N284" s="46">
        <v>7</v>
      </c>
      <c r="O284" s="411">
        <v>5500</v>
      </c>
      <c r="P284" s="96">
        <f t="shared" si="8"/>
        <v>38500</v>
      </c>
      <c r="Q284" s="96">
        <f t="shared" si="9"/>
        <v>38500</v>
      </c>
    </row>
    <row r="285" spans="1:17" ht="13" x14ac:dyDescent="0.35">
      <c r="A285" s="11" t="s">
        <v>93</v>
      </c>
      <c r="B285" s="163" t="s">
        <v>306</v>
      </c>
      <c r="C285" s="284"/>
      <c r="D285" s="284"/>
      <c r="E285" s="284"/>
      <c r="F285" s="89"/>
      <c r="G285" s="89"/>
      <c r="H285" s="90" t="s">
        <v>325</v>
      </c>
      <c r="I285" s="112"/>
      <c r="J285" s="45"/>
      <c r="K285" s="94"/>
      <c r="L285" s="95"/>
      <c r="M285" s="46"/>
      <c r="N285" s="46"/>
      <c r="O285" s="411"/>
      <c r="P285" s="96">
        <f t="shared" si="8"/>
        <v>0</v>
      </c>
      <c r="Q285" s="96">
        <f t="shared" si="9"/>
        <v>0</v>
      </c>
    </row>
    <row r="286" spans="1:17" ht="37.5" x14ac:dyDescent="0.35">
      <c r="A286" s="11" t="s">
        <v>93</v>
      </c>
      <c r="B286" s="163" t="s">
        <v>306</v>
      </c>
      <c r="C286" s="284"/>
      <c r="D286" s="284"/>
      <c r="E286" s="284"/>
      <c r="F286" s="89" t="s">
        <v>53</v>
      </c>
      <c r="G286" s="89"/>
      <c r="H286" s="108" t="s">
        <v>326</v>
      </c>
      <c r="I286" s="112" t="s">
        <v>175</v>
      </c>
      <c r="J286" s="45">
        <v>1</v>
      </c>
      <c r="K286" s="94">
        <v>8000</v>
      </c>
      <c r="L286" s="95">
        <f>J286*K286</f>
        <v>8000</v>
      </c>
      <c r="M286" s="46">
        <v>1</v>
      </c>
      <c r="N286" s="46">
        <v>1</v>
      </c>
      <c r="O286" s="411">
        <v>8000</v>
      </c>
      <c r="P286" s="96">
        <f t="shared" si="8"/>
        <v>8000</v>
      </c>
      <c r="Q286" s="96">
        <f t="shared" si="9"/>
        <v>8000</v>
      </c>
    </row>
    <row r="287" spans="1:17" ht="13" x14ac:dyDescent="0.3">
      <c r="A287" s="11" t="s">
        <v>93</v>
      </c>
      <c r="B287" s="163" t="s">
        <v>306</v>
      </c>
      <c r="C287" s="284"/>
      <c r="D287" s="284"/>
      <c r="E287" s="284"/>
      <c r="F287" s="89"/>
      <c r="G287" s="89"/>
      <c r="H287" s="97" t="s">
        <v>327</v>
      </c>
      <c r="I287" s="112"/>
      <c r="J287" s="45"/>
      <c r="K287" s="94"/>
      <c r="L287" s="95"/>
      <c r="M287" s="46"/>
      <c r="N287" s="46"/>
      <c r="O287" s="411"/>
      <c r="P287" s="96">
        <f t="shared" si="8"/>
        <v>0</v>
      </c>
      <c r="Q287" s="96">
        <f t="shared" si="9"/>
        <v>0</v>
      </c>
    </row>
    <row r="288" spans="1:17" ht="25" x14ac:dyDescent="0.25">
      <c r="A288" s="11" t="s">
        <v>93</v>
      </c>
      <c r="B288" s="163" t="s">
        <v>306</v>
      </c>
      <c r="C288" s="284"/>
      <c r="D288" s="284"/>
      <c r="E288" s="284"/>
      <c r="F288" s="89"/>
      <c r="G288" s="89"/>
      <c r="H288" s="113" t="s">
        <v>328</v>
      </c>
      <c r="I288" s="112"/>
      <c r="J288" s="45"/>
      <c r="K288" s="94"/>
      <c r="L288" s="95"/>
      <c r="M288" s="46"/>
      <c r="N288" s="46"/>
      <c r="O288" s="411"/>
      <c r="P288" s="96">
        <f t="shared" si="8"/>
        <v>0</v>
      </c>
      <c r="Q288" s="96">
        <f t="shared" si="9"/>
        <v>0</v>
      </c>
    </row>
    <row r="289" spans="1:17" x14ac:dyDescent="0.25">
      <c r="A289" s="11" t="s">
        <v>93</v>
      </c>
      <c r="B289" s="163" t="s">
        <v>306</v>
      </c>
      <c r="C289" s="284"/>
      <c r="D289" s="284"/>
      <c r="E289" s="284"/>
      <c r="F289" s="89" t="s">
        <v>55</v>
      </c>
      <c r="G289" s="89"/>
      <c r="H289" s="113" t="s">
        <v>329</v>
      </c>
      <c r="I289" s="112" t="s">
        <v>175</v>
      </c>
      <c r="J289" s="45">
        <v>0</v>
      </c>
      <c r="K289" s="94">
        <v>10000</v>
      </c>
      <c r="L289" s="95">
        <f>J289*K289</f>
        <v>0</v>
      </c>
      <c r="M289" s="46">
        <v>0</v>
      </c>
      <c r="N289" s="46">
        <v>0</v>
      </c>
      <c r="O289" s="411">
        <v>10000</v>
      </c>
      <c r="P289" s="96">
        <f t="shared" si="8"/>
        <v>0</v>
      </c>
      <c r="Q289" s="96">
        <f t="shared" si="9"/>
        <v>0</v>
      </c>
    </row>
    <row r="290" spans="1:17" ht="13" x14ac:dyDescent="0.35">
      <c r="A290" s="11" t="s">
        <v>93</v>
      </c>
      <c r="B290" s="163" t="s">
        <v>330</v>
      </c>
      <c r="C290" s="284"/>
      <c r="D290" s="284"/>
      <c r="E290" s="284"/>
      <c r="F290" s="99"/>
      <c r="G290" s="114"/>
      <c r="H290" s="115" t="s">
        <v>95</v>
      </c>
      <c r="I290" s="44"/>
      <c r="J290" s="116"/>
      <c r="K290" s="47"/>
      <c r="L290" s="48"/>
      <c r="M290" s="46"/>
      <c r="N290" s="46"/>
      <c r="O290" s="407"/>
      <c r="P290" s="49">
        <f t="shared" si="8"/>
        <v>0</v>
      </c>
      <c r="Q290" s="49">
        <f t="shared" si="9"/>
        <v>0</v>
      </c>
    </row>
    <row r="291" spans="1:17" ht="13" x14ac:dyDescent="0.35">
      <c r="A291" s="11" t="s">
        <v>93</v>
      </c>
      <c r="B291" s="163" t="s">
        <v>330</v>
      </c>
      <c r="C291" s="284"/>
      <c r="D291" s="284"/>
      <c r="E291" s="284"/>
      <c r="F291" s="99"/>
      <c r="G291" s="114"/>
      <c r="H291" s="43" t="s">
        <v>96</v>
      </c>
      <c r="I291" s="44"/>
      <c r="J291" s="116"/>
      <c r="K291" s="47"/>
      <c r="L291" s="48"/>
      <c r="M291" s="46"/>
      <c r="N291" s="46"/>
      <c r="O291" s="407"/>
      <c r="P291" s="49">
        <f t="shared" si="8"/>
        <v>0</v>
      </c>
      <c r="Q291" s="49">
        <f t="shared" si="9"/>
        <v>0</v>
      </c>
    </row>
    <row r="292" spans="1:17" ht="13" x14ac:dyDescent="0.35">
      <c r="A292" s="11" t="s">
        <v>93</v>
      </c>
      <c r="B292" s="163" t="s">
        <v>330</v>
      </c>
      <c r="C292" s="284"/>
      <c r="D292" s="284"/>
      <c r="E292" s="284"/>
      <c r="F292" s="99"/>
      <c r="G292" s="114"/>
      <c r="H292" s="100" t="s">
        <v>331</v>
      </c>
      <c r="I292" s="44"/>
      <c r="J292" s="116"/>
      <c r="K292" s="47"/>
      <c r="L292" s="48"/>
      <c r="M292" s="46"/>
      <c r="N292" s="46"/>
      <c r="O292" s="407"/>
      <c r="P292" s="49">
        <f t="shared" si="8"/>
        <v>0</v>
      </c>
      <c r="Q292" s="49">
        <f t="shared" si="9"/>
        <v>0</v>
      </c>
    </row>
    <row r="293" spans="1:17" ht="13" x14ac:dyDescent="0.35">
      <c r="A293" s="11" t="s">
        <v>93</v>
      </c>
      <c r="B293" s="163" t="s">
        <v>330</v>
      </c>
      <c r="C293" s="284"/>
      <c r="D293" s="284"/>
      <c r="E293" s="284"/>
      <c r="F293" s="99"/>
      <c r="G293" s="114"/>
      <c r="H293" s="43" t="s">
        <v>332</v>
      </c>
      <c r="I293" s="44"/>
      <c r="J293" s="116"/>
      <c r="K293" s="47"/>
      <c r="L293" s="48"/>
      <c r="M293" s="46"/>
      <c r="N293" s="46"/>
      <c r="O293" s="407"/>
      <c r="P293" s="49">
        <f t="shared" si="8"/>
        <v>0</v>
      </c>
      <c r="Q293" s="49">
        <f t="shared" si="9"/>
        <v>0</v>
      </c>
    </row>
    <row r="294" spans="1:17" ht="13" x14ac:dyDescent="0.35">
      <c r="A294" s="11" t="s">
        <v>93</v>
      </c>
      <c r="B294" s="163" t="s">
        <v>330</v>
      </c>
      <c r="C294" s="284"/>
      <c r="D294" s="284"/>
      <c r="E294" s="284"/>
      <c r="F294" s="99"/>
      <c r="G294" s="114"/>
      <c r="H294" s="57" t="s">
        <v>100</v>
      </c>
      <c r="I294" s="44"/>
      <c r="J294" s="116"/>
      <c r="K294" s="47"/>
      <c r="L294" s="48"/>
      <c r="M294" s="46"/>
      <c r="N294" s="46"/>
      <c r="O294" s="407"/>
      <c r="P294" s="49">
        <f t="shared" si="8"/>
        <v>0</v>
      </c>
      <c r="Q294" s="49">
        <f t="shared" si="9"/>
        <v>0</v>
      </c>
    </row>
    <row r="295" spans="1:17" ht="13" x14ac:dyDescent="0.35">
      <c r="A295" s="11" t="s">
        <v>93</v>
      </c>
      <c r="B295" s="163" t="s">
        <v>330</v>
      </c>
      <c r="C295" s="284"/>
      <c r="D295" s="284"/>
      <c r="E295" s="284"/>
      <c r="F295" s="99"/>
      <c r="G295" s="114"/>
      <c r="H295" s="60" t="s">
        <v>101</v>
      </c>
      <c r="I295" s="44"/>
      <c r="J295" s="116"/>
      <c r="K295" s="47"/>
      <c r="L295" s="48"/>
      <c r="M295" s="46"/>
      <c r="N295" s="46"/>
      <c r="O295" s="407"/>
      <c r="P295" s="49">
        <f t="shared" si="8"/>
        <v>0</v>
      </c>
      <c r="Q295" s="49">
        <f t="shared" si="9"/>
        <v>0</v>
      </c>
    </row>
    <row r="296" spans="1:17" ht="13" x14ac:dyDescent="0.35">
      <c r="A296" s="11" t="s">
        <v>93</v>
      </c>
      <c r="B296" s="163" t="s">
        <v>330</v>
      </c>
      <c r="C296" s="284"/>
      <c r="D296" s="284"/>
      <c r="E296" s="284"/>
      <c r="F296" s="99"/>
      <c r="G296" s="114"/>
      <c r="H296" s="57" t="s">
        <v>333</v>
      </c>
      <c r="I296" s="44"/>
      <c r="J296" s="116"/>
      <c r="K296" s="47"/>
      <c r="L296" s="48"/>
      <c r="M296" s="46"/>
      <c r="N296" s="46"/>
      <c r="O296" s="407"/>
      <c r="P296" s="49">
        <f t="shared" si="8"/>
        <v>0</v>
      </c>
      <c r="Q296" s="49">
        <f t="shared" si="9"/>
        <v>0</v>
      </c>
    </row>
    <row r="297" spans="1:17" ht="25" x14ac:dyDescent="0.35">
      <c r="A297" s="11" t="s">
        <v>93</v>
      </c>
      <c r="B297" s="163" t="s">
        <v>330</v>
      </c>
      <c r="C297" s="284"/>
      <c r="D297" s="284"/>
      <c r="E297" s="284"/>
      <c r="F297" s="99"/>
      <c r="G297" s="114"/>
      <c r="H297" s="60" t="s">
        <v>334</v>
      </c>
      <c r="I297" s="44"/>
      <c r="J297" s="117"/>
      <c r="K297" s="47"/>
      <c r="L297" s="48"/>
      <c r="M297" s="118"/>
      <c r="N297" s="118"/>
      <c r="O297" s="407"/>
      <c r="P297" s="49">
        <f t="shared" si="8"/>
        <v>0</v>
      </c>
      <c r="Q297" s="49">
        <f t="shared" si="9"/>
        <v>0</v>
      </c>
    </row>
    <row r="298" spans="1:17" ht="13" x14ac:dyDescent="0.35">
      <c r="A298" s="11" t="s">
        <v>93</v>
      </c>
      <c r="B298" s="163" t="s">
        <v>330</v>
      </c>
      <c r="C298" s="284"/>
      <c r="D298" s="284"/>
      <c r="E298" s="284"/>
      <c r="F298" s="99"/>
      <c r="G298" s="114"/>
      <c r="H298" s="62" t="s">
        <v>335</v>
      </c>
      <c r="I298" s="44"/>
      <c r="J298" s="116"/>
      <c r="K298" s="47"/>
      <c r="L298" s="48"/>
      <c r="M298" s="46"/>
      <c r="N298" s="46"/>
      <c r="O298" s="407"/>
      <c r="P298" s="49">
        <f t="shared" si="8"/>
        <v>0</v>
      </c>
      <c r="Q298" s="49">
        <f t="shared" si="9"/>
        <v>0</v>
      </c>
    </row>
    <row r="299" spans="1:17" ht="37.5" x14ac:dyDescent="0.35">
      <c r="A299" s="11" t="s">
        <v>93</v>
      </c>
      <c r="B299" s="163" t="s">
        <v>330</v>
      </c>
      <c r="C299" s="284"/>
      <c r="D299" s="284"/>
      <c r="E299" s="284"/>
      <c r="F299" s="99"/>
      <c r="G299" s="114"/>
      <c r="H299" s="62" t="s">
        <v>336</v>
      </c>
      <c r="I299" s="44"/>
      <c r="J299" s="116"/>
      <c r="K299" s="47"/>
      <c r="L299" s="48"/>
      <c r="M299" s="46"/>
      <c r="N299" s="46"/>
      <c r="O299" s="407"/>
      <c r="P299" s="49">
        <f t="shared" si="8"/>
        <v>0</v>
      </c>
      <c r="Q299" s="49">
        <f t="shared" si="9"/>
        <v>0</v>
      </c>
    </row>
    <row r="300" spans="1:17" ht="13" x14ac:dyDescent="0.35">
      <c r="A300" s="11" t="s">
        <v>93</v>
      </c>
      <c r="B300" s="163" t="s">
        <v>330</v>
      </c>
      <c r="C300" s="284"/>
      <c r="D300" s="284"/>
      <c r="E300" s="284"/>
      <c r="F300" s="99"/>
      <c r="G300" s="114"/>
      <c r="H300" s="57" t="s">
        <v>337</v>
      </c>
      <c r="I300" s="44"/>
      <c r="J300" s="119"/>
      <c r="K300" s="121"/>
      <c r="L300" s="48"/>
      <c r="M300" s="120"/>
      <c r="N300" s="120"/>
      <c r="O300" s="413"/>
      <c r="P300" s="49">
        <f t="shared" si="8"/>
        <v>0</v>
      </c>
      <c r="Q300" s="49">
        <f t="shared" si="9"/>
        <v>0</v>
      </c>
    </row>
    <row r="301" spans="1:17" ht="37.5" x14ac:dyDescent="0.35">
      <c r="A301" s="11" t="s">
        <v>93</v>
      </c>
      <c r="B301" s="163" t="s">
        <v>330</v>
      </c>
      <c r="C301" s="284"/>
      <c r="D301" s="284"/>
      <c r="E301" s="284"/>
      <c r="F301" s="89" t="s">
        <v>20</v>
      </c>
      <c r="G301" s="114"/>
      <c r="H301" s="60" t="s">
        <v>338</v>
      </c>
      <c r="I301" s="44" t="s">
        <v>110</v>
      </c>
      <c r="J301" s="122">
        <v>171</v>
      </c>
      <c r="K301" s="121">
        <v>665</v>
      </c>
      <c r="L301" s="48">
        <f>J301*K301</f>
        <v>113715</v>
      </c>
      <c r="M301" s="120">
        <v>171</v>
      </c>
      <c r="N301" s="120">
        <v>171</v>
      </c>
      <c r="O301" s="413">
        <v>665</v>
      </c>
      <c r="P301" s="49">
        <f t="shared" si="8"/>
        <v>113715</v>
      </c>
      <c r="Q301" s="49">
        <f t="shared" si="9"/>
        <v>113715</v>
      </c>
    </row>
    <row r="302" spans="1:17" s="123" customFormat="1" ht="13" x14ac:dyDescent="0.35">
      <c r="A302" s="11" t="s">
        <v>93</v>
      </c>
      <c r="B302" s="163" t="s">
        <v>339</v>
      </c>
      <c r="C302" s="284"/>
      <c r="D302" s="284"/>
      <c r="E302" s="284"/>
      <c r="F302" s="89"/>
      <c r="G302" s="89"/>
      <c r="H302" s="115" t="s">
        <v>95</v>
      </c>
      <c r="I302" s="91"/>
      <c r="J302" s="92"/>
      <c r="K302" s="94"/>
      <c r="L302" s="105"/>
      <c r="M302" s="93"/>
      <c r="N302" s="93"/>
      <c r="O302" s="411"/>
      <c r="P302" s="106">
        <f t="shared" si="8"/>
        <v>0</v>
      </c>
      <c r="Q302" s="106">
        <f t="shared" si="9"/>
        <v>0</v>
      </c>
    </row>
    <row r="303" spans="1:17" ht="13" x14ac:dyDescent="0.35">
      <c r="A303" s="11" t="s">
        <v>93</v>
      </c>
      <c r="B303" s="163" t="s">
        <v>339</v>
      </c>
      <c r="C303" s="284"/>
      <c r="D303" s="284"/>
      <c r="E303" s="284"/>
      <c r="F303" s="89"/>
      <c r="G303" s="89"/>
      <c r="H303" s="43" t="s">
        <v>96</v>
      </c>
      <c r="I303" s="91"/>
      <c r="J303" s="92"/>
      <c r="K303" s="94"/>
      <c r="L303" s="95"/>
      <c r="M303" s="93"/>
      <c r="N303" s="93"/>
      <c r="O303" s="411"/>
      <c r="P303" s="96">
        <f t="shared" si="8"/>
        <v>0</v>
      </c>
      <c r="Q303" s="96">
        <f t="shared" si="9"/>
        <v>0</v>
      </c>
    </row>
    <row r="304" spans="1:17" ht="13" x14ac:dyDescent="0.35">
      <c r="A304" s="11" t="s">
        <v>93</v>
      </c>
      <c r="B304" s="163" t="s">
        <v>339</v>
      </c>
      <c r="C304" s="284"/>
      <c r="D304" s="284"/>
      <c r="E304" s="284"/>
      <c r="F304" s="89"/>
      <c r="G304" s="89"/>
      <c r="H304" s="100" t="s">
        <v>340</v>
      </c>
      <c r="I304" s="91"/>
      <c r="J304" s="92"/>
      <c r="K304" s="94"/>
      <c r="L304" s="95"/>
      <c r="M304" s="93"/>
      <c r="N304" s="93"/>
      <c r="O304" s="411"/>
      <c r="P304" s="96">
        <f t="shared" si="8"/>
        <v>0</v>
      </c>
      <c r="Q304" s="96">
        <f t="shared" si="9"/>
        <v>0</v>
      </c>
    </row>
    <row r="305" spans="1:17" ht="13" x14ac:dyDescent="0.35">
      <c r="A305" s="11" t="s">
        <v>93</v>
      </c>
      <c r="B305" s="163" t="s">
        <v>339</v>
      </c>
      <c r="C305" s="284"/>
      <c r="D305" s="284"/>
      <c r="E305" s="284"/>
      <c r="F305" s="89"/>
      <c r="G305" s="89"/>
      <c r="H305" s="100" t="s">
        <v>341</v>
      </c>
      <c r="I305" s="91"/>
      <c r="J305" s="92"/>
      <c r="K305" s="94"/>
      <c r="L305" s="95"/>
      <c r="M305" s="93"/>
      <c r="N305" s="93"/>
      <c r="O305" s="411"/>
      <c r="P305" s="96">
        <f t="shared" si="8"/>
        <v>0</v>
      </c>
      <c r="Q305" s="96">
        <f t="shared" si="9"/>
        <v>0</v>
      </c>
    </row>
    <row r="306" spans="1:17" ht="13" x14ac:dyDescent="0.35">
      <c r="A306" s="11" t="s">
        <v>93</v>
      </c>
      <c r="B306" s="163" t="s">
        <v>339</v>
      </c>
      <c r="C306" s="284"/>
      <c r="D306" s="284"/>
      <c r="E306" s="284"/>
      <c r="F306" s="89"/>
      <c r="G306" s="89"/>
      <c r="H306" s="90" t="s">
        <v>100</v>
      </c>
      <c r="I306" s="91"/>
      <c r="J306" s="92"/>
      <c r="K306" s="94"/>
      <c r="L306" s="95"/>
      <c r="M306" s="93"/>
      <c r="N306" s="93"/>
      <c r="O306" s="411"/>
      <c r="P306" s="96">
        <f t="shared" si="8"/>
        <v>0</v>
      </c>
      <c r="Q306" s="96">
        <f t="shared" si="9"/>
        <v>0</v>
      </c>
    </row>
    <row r="307" spans="1:17" x14ac:dyDescent="0.35">
      <c r="A307" s="11" t="s">
        <v>93</v>
      </c>
      <c r="B307" s="163" t="s">
        <v>339</v>
      </c>
      <c r="C307" s="284"/>
      <c r="D307" s="284"/>
      <c r="E307" s="284"/>
      <c r="F307" s="89"/>
      <c r="G307" s="89"/>
      <c r="H307" s="108" t="s">
        <v>101</v>
      </c>
      <c r="I307" s="91"/>
      <c r="J307" s="92"/>
      <c r="K307" s="94"/>
      <c r="L307" s="95"/>
      <c r="M307" s="93"/>
      <c r="N307" s="93"/>
      <c r="O307" s="411"/>
      <c r="P307" s="96">
        <f t="shared" si="8"/>
        <v>0</v>
      </c>
      <c r="Q307" s="96">
        <f t="shared" si="9"/>
        <v>0</v>
      </c>
    </row>
    <row r="308" spans="1:17" ht="13" x14ac:dyDescent="0.35">
      <c r="A308" s="11" t="s">
        <v>93</v>
      </c>
      <c r="B308" s="163" t="s">
        <v>339</v>
      </c>
      <c r="C308" s="284"/>
      <c r="D308" s="284"/>
      <c r="E308" s="284"/>
      <c r="F308" s="89"/>
      <c r="G308" s="89"/>
      <c r="H308" s="90" t="s">
        <v>102</v>
      </c>
      <c r="I308" s="91"/>
      <c r="J308" s="92"/>
      <c r="K308" s="94"/>
      <c r="L308" s="95"/>
      <c r="M308" s="93"/>
      <c r="N308" s="93"/>
      <c r="O308" s="411"/>
      <c r="P308" s="96">
        <f t="shared" si="8"/>
        <v>0</v>
      </c>
      <c r="Q308" s="96">
        <f t="shared" si="9"/>
        <v>0</v>
      </c>
    </row>
    <row r="309" spans="1:17" x14ac:dyDescent="0.35">
      <c r="A309" s="11" t="s">
        <v>93</v>
      </c>
      <c r="B309" s="163" t="s">
        <v>339</v>
      </c>
      <c r="C309" s="284"/>
      <c r="D309" s="284"/>
      <c r="E309" s="284"/>
      <c r="F309" s="89"/>
      <c r="G309" s="124"/>
      <c r="H309" s="108" t="s">
        <v>342</v>
      </c>
      <c r="I309" s="91"/>
      <c r="J309" s="45"/>
      <c r="K309" s="125"/>
      <c r="L309" s="48"/>
      <c r="M309" s="46"/>
      <c r="N309" s="46"/>
      <c r="O309" s="414"/>
      <c r="P309" s="49">
        <f t="shared" si="8"/>
        <v>0</v>
      </c>
      <c r="Q309" s="49">
        <f t="shared" si="9"/>
        <v>0</v>
      </c>
    </row>
    <row r="310" spans="1:17" ht="37.5" x14ac:dyDescent="0.35">
      <c r="A310" s="11" t="s">
        <v>93</v>
      </c>
      <c r="B310" s="163" t="s">
        <v>339</v>
      </c>
      <c r="C310" s="284"/>
      <c r="D310" s="284"/>
      <c r="E310" s="284"/>
      <c r="F310" s="89"/>
      <c r="G310" s="124"/>
      <c r="H310" s="108" t="s">
        <v>343</v>
      </c>
      <c r="I310" s="91"/>
      <c r="J310" s="45"/>
      <c r="K310" s="125"/>
      <c r="L310" s="48"/>
      <c r="M310" s="46"/>
      <c r="N310" s="46"/>
      <c r="O310" s="414"/>
      <c r="P310" s="49">
        <f t="shared" si="8"/>
        <v>0</v>
      </c>
      <c r="Q310" s="49">
        <f t="shared" si="9"/>
        <v>0</v>
      </c>
    </row>
    <row r="311" spans="1:17" ht="25" x14ac:dyDescent="0.35">
      <c r="A311" s="11" t="s">
        <v>93</v>
      </c>
      <c r="B311" s="163" t="s">
        <v>339</v>
      </c>
      <c r="C311" s="284"/>
      <c r="D311" s="284"/>
      <c r="E311" s="284"/>
      <c r="F311" s="89"/>
      <c r="G311" s="124"/>
      <c r="H311" s="108" t="s">
        <v>344</v>
      </c>
      <c r="I311" s="91"/>
      <c r="J311" s="45"/>
      <c r="K311" s="125"/>
      <c r="L311" s="48"/>
      <c r="M311" s="46"/>
      <c r="N311" s="46"/>
      <c r="O311" s="414"/>
      <c r="P311" s="49">
        <f t="shared" si="8"/>
        <v>0</v>
      </c>
      <c r="Q311" s="49">
        <f t="shared" si="9"/>
        <v>0</v>
      </c>
    </row>
    <row r="312" spans="1:17" ht="13" x14ac:dyDescent="0.35">
      <c r="A312" s="11" t="s">
        <v>93</v>
      </c>
      <c r="B312" s="163" t="s">
        <v>339</v>
      </c>
      <c r="C312" s="284"/>
      <c r="D312" s="284"/>
      <c r="E312" s="284"/>
      <c r="F312" s="89"/>
      <c r="G312" s="89"/>
      <c r="H312" s="126" t="s">
        <v>345</v>
      </c>
      <c r="I312" s="91"/>
      <c r="J312" s="92"/>
      <c r="K312" s="94"/>
      <c r="L312" s="95"/>
      <c r="M312" s="93"/>
      <c r="N312" s="93"/>
      <c r="O312" s="411"/>
      <c r="P312" s="96">
        <f t="shared" si="8"/>
        <v>0</v>
      </c>
      <c r="Q312" s="96">
        <f t="shared" si="9"/>
        <v>0</v>
      </c>
    </row>
    <row r="313" spans="1:17" ht="13" x14ac:dyDescent="0.35">
      <c r="A313" s="11" t="s">
        <v>93</v>
      </c>
      <c r="B313" s="163" t="s">
        <v>339</v>
      </c>
      <c r="C313" s="284"/>
      <c r="D313" s="284"/>
      <c r="E313" s="284"/>
      <c r="F313" s="89"/>
      <c r="G313" s="89"/>
      <c r="H313" s="90" t="s">
        <v>346</v>
      </c>
      <c r="I313" s="91"/>
      <c r="J313" s="58"/>
      <c r="K313" s="94"/>
      <c r="L313" s="95"/>
      <c r="M313" s="59"/>
      <c r="N313" s="59"/>
      <c r="O313" s="411"/>
      <c r="P313" s="96">
        <f t="shared" si="8"/>
        <v>0</v>
      </c>
      <c r="Q313" s="96">
        <f t="shared" si="9"/>
        <v>0</v>
      </c>
    </row>
    <row r="314" spans="1:17" ht="13" x14ac:dyDescent="0.35">
      <c r="A314" s="11" t="s">
        <v>93</v>
      </c>
      <c r="B314" s="163" t="s">
        <v>339</v>
      </c>
      <c r="C314" s="284"/>
      <c r="D314" s="284"/>
      <c r="E314" s="284"/>
      <c r="F314" s="89"/>
      <c r="G314" s="89"/>
      <c r="H314" s="90" t="s">
        <v>347</v>
      </c>
      <c r="I314" s="91"/>
      <c r="J314" s="117"/>
      <c r="K314" s="94"/>
      <c r="L314" s="95"/>
      <c r="M314" s="118"/>
      <c r="N314" s="118"/>
      <c r="O314" s="411"/>
      <c r="P314" s="96">
        <f t="shared" si="8"/>
        <v>0</v>
      </c>
      <c r="Q314" s="96">
        <f t="shared" si="9"/>
        <v>0</v>
      </c>
    </row>
    <row r="315" spans="1:17" x14ac:dyDescent="0.35">
      <c r="A315" s="11" t="s">
        <v>93</v>
      </c>
      <c r="B315" s="163" t="s">
        <v>339</v>
      </c>
      <c r="C315" s="284"/>
      <c r="D315" s="284"/>
      <c r="E315" s="284"/>
      <c r="F315" s="89" t="s">
        <v>20</v>
      </c>
      <c r="G315" s="89"/>
      <c r="H315" s="108" t="s">
        <v>348</v>
      </c>
      <c r="I315" s="91" t="s">
        <v>175</v>
      </c>
      <c r="J315" s="117">
        <v>3</v>
      </c>
      <c r="K315" s="127">
        <v>1550</v>
      </c>
      <c r="L315" s="95">
        <f>K315*J315</f>
        <v>4650</v>
      </c>
      <c r="M315" s="118">
        <v>3</v>
      </c>
      <c r="N315" s="118">
        <v>3</v>
      </c>
      <c r="O315" s="415">
        <v>1550</v>
      </c>
      <c r="P315" s="96">
        <f t="shared" si="8"/>
        <v>4650</v>
      </c>
      <c r="Q315" s="96">
        <f t="shared" si="9"/>
        <v>4650</v>
      </c>
    </row>
    <row r="316" spans="1:17" ht="13" x14ac:dyDescent="0.35">
      <c r="A316" s="11" t="s">
        <v>93</v>
      </c>
      <c r="B316" s="163" t="s">
        <v>339</v>
      </c>
      <c r="C316" s="284"/>
      <c r="D316" s="284"/>
      <c r="E316" s="284"/>
      <c r="F316" s="89"/>
      <c r="G316" s="89"/>
      <c r="H316" s="126" t="s">
        <v>349</v>
      </c>
      <c r="I316" s="91"/>
      <c r="J316" s="128"/>
      <c r="K316" s="127"/>
      <c r="L316" s="95"/>
      <c r="M316" s="129"/>
      <c r="N316" s="129"/>
      <c r="O316" s="415"/>
      <c r="P316" s="96">
        <f t="shared" si="8"/>
        <v>0</v>
      </c>
      <c r="Q316" s="96">
        <f t="shared" si="9"/>
        <v>0</v>
      </c>
    </row>
    <row r="317" spans="1:17" ht="13" x14ac:dyDescent="0.35">
      <c r="A317" s="11" t="s">
        <v>93</v>
      </c>
      <c r="B317" s="163" t="s">
        <v>339</v>
      </c>
      <c r="C317" s="284"/>
      <c r="D317" s="284"/>
      <c r="E317" s="284"/>
      <c r="F317" s="89"/>
      <c r="G317" s="89"/>
      <c r="H317" s="126" t="s">
        <v>350</v>
      </c>
      <c r="I317" s="91"/>
      <c r="J317" s="128"/>
      <c r="K317" s="127"/>
      <c r="L317" s="95"/>
      <c r="M317" s="129"/>
      <c r="N317" s="129"/>
      <c r="O317" s="415"/>
      <c r="P317" s="96">
        <f t="shared" si="8"/>
        <v>0</v>
      </c>
      <c r="Q317" s="96">
        <f t="shared" si="9"/>
        <v>0</v>
      </c>
    </row>
    <row r="318" spans="1:17" ht="25" x14ac:dyDescent="0.35">
      <c r="A318" s="11" t="s">
        <v>93</v>
      </c>
      <c r="B318" s="163" t="s">
        <v>339</v>
      </c>
      <c r="C318" s="284"/>
      <c r="D318" s="284"/>
      <c r="E318" s="284"/>
      <c r="F318" s="89" t="s">
        <v>26</v>
      </c>
      <c r="G318" s="89"/>
      <c r="H318" s="108" t="s">
        <v>351</v>
      </c>
      <c r="I318" s="91" t="s">
        <v>175</v>
      </c>
      <c r="J318" s="128">
        <v>15</v>
      </c>
      <c r="K318" s="125">
        <v>3000</v>
      </c>
      <c r="L318" s="48">
        <f>K318*J318</f>
        <v>45000</v>
      </c>
      <c r="M318" s="129">
        <v>15</v>
      </c>
      <c r="N318" s="129">
        <v>15</v>
      </c>
      <c r="O318" s="414">
        <v>3000</v>
      </c>
      <c r="P318" s="49">
        <f t="shared" si="8"/>
        <v>45000</v>
      </c>
      <c r="Q318" s="49">
        <f t="shared" si="9"/>
        <v>45000</v>
      </c>
    </row>
    <row r="319" spans="1:17" ht="25" x14ac:dyDescent="0.35">
      <c r="A319" s="11" t="s">
        <v>93</v>
      </c>
      <c r="B319" s="163" t="s">
        <v>339</v>
      </c>
      <c r="C319" s="284"/>
      <c r="D319" s="284"/>
      <c r="E319" s="284"/>
      <c r="F319" s="89" t="s">
        <v>29</v>
      </c>
      <c r="G319" s="89"/>
      <c r="H319" s="108" t="s">
        <v>352</v>
      </c>
      <c r="I319" s="91" t="s">
        <v>175</v>
      </c>
      <c r="J319" s="128">
        <v>4</v>
      </c>
      <c r="K319" s="125">
        <v>2000</v>
      </c>
      <c r="L319" s="48">
        <f>K319*J319</f>
        <v>8000</v>
      </c>
      <c r="M319" s="129">
        <v>4</v>
      </c>
      <c r="N319" s="129">
        <v>4</v>
      </c>
      <c r="O319" s="414">
        <v>2000</v>
      </c>
      <c r="P319" s="49">
        <f t="shared" si="8"/>
        <v>8000</v>
      </c>
      <c r="Q319" s="49">
        <f t="shared" si="9"/>
        <v>8000</v>
      </c>
    </row>
    <row r="320" spans="1:17" ht="13" x14ac:dyDescent="0.3">
      <c r="A320" s="11" t="s">
        <v>93</v>
      </c>
      <c r="B320" s="163" t="s">
        <v>339</v>
      </c>
      <c r="C320" s="284"/>
      <c r="D320" s="284"/>
      <c r="E320" s="284"/>
      <c r="F320" s="89"/>
      <c r="G320" s="89"/>
      <c r="H320" s="97" t="s">
        <v>353</v>
      </c>
      <c r="I320" s="112"/>
      <c r="J320" s="45"/>
      <c r="K320" s="94"/>
      <c r="L320" s="95"/>
      <c r="M320" s="46"/>
      <c r="N320" s="46"/>
      <c r="O320" s="411"/>
      <c r="P320" s="96">
        <f t="shared" si="8"/>
        <v>0</v>
      </c>
      <c r="Q320" s="96">
        <f t="shared" si="9"/>
        <v>0</v>
      </c>
    </row>
    <row r="321" spans="1:17" ht="50" x14ac:dyDescent="0.35">
      <c r="A321" s="11" t="s">
        <v>93</v>
      </c>
      <c r="B321" s="163" t="s">
        <v>339</v>
      </c>
      <c r="C321" s="284"/>
      <c r="D321" s="284"/>
      <c r="E321" s="284"/>
      <c r="F321" s="89" t="s">
        <v>32</v>
      </c>
      <c r="G321" s="89"/>
      <c r="H321" s="132" t="s">
        <v>354</v>
      </c>
      <c r="I321" s="112" t="s">
        <v>175</v>
      </c>
      <c r="J321" s="45">
        <v>0</v>
      </c>
      <c r="K321" s="94">
        <v>12500</v>
      </c>
      <c r="L321" s="95">
        <f>J321*K321</f>
        <v>0</v>
      </c>
      <c r="M321" s="46">
        <v>0</v>
      </c>
      <c r="N321" s="46">
        <v>0</v>
      </c>
      <c r="O321" s="411">
        <v>12500</v>
      </c>
      <c r="P321" s="96">
        <f t="shared" si="8"/>
        <v>0</v>
      </c>
      <c r="Q321" s="96">
        <f t="shared" si="9"/>
        <v>0</v>
      </c>
    </row>
    <row r="322" spans="1:17" ht="13" x14ac:dyDescent="0.35">
      <c r="A322" s="11" t="s">
        <v>93</v>
      </c>
      <c r="B322" s="163" t="s">
        <v>339</v>
      </c>
      <c r="C322" s="284"/>
      <c r="D322" s="284"/>
      <c r="E322" s="284"/>
      <c r="F322" s="89"/>
      <c r="G322" s="89"/>
      <c r="H322" s="126" t="s">
        <v>355</v>
      </c>
      <c r="I322" s="91"/>
      <c r="J322" s="128"/>
      <c r="K322" s="127"/>
      <c r="L322" s="95"/>
      <c r="M322" s="129"/>
      <c r="N322" s="129"/>
      <c r="O322" s="415"/>
      <c r="P322" s="96">
        <f t="shared" si="8"/>
        <v>0</v>
      </c>
      <c r="Q322" s="96">
        <f t="shared" si="9"/>
        <v>0</v>
      </c>
    </row>
    <row r="323" spans="1:17" ht="26" x14ac:dyDescent="0.35">
      <c r="A323" s="11" t="s">
        <v>93</v>
      </c>
      <c r="B323" s="163" t="s">
        <v>339</v>
      </c>
      <c r="C323" s="284"/>
      <c r="D323" s="284"/>
      <c r="E323" s="284"/>
      <c r="F323" s="89"/>
      <c r="G323" s="89"/>
      <c r="H323" s="126" t="s">
        <v>356</v>
      </c>
      <c r="I323" s="91"/>
      <c r="J323" s="128"/>
      <c r="K323" s="127"/>
      <c r="L323" s="95"/>
      <c r="M323" s="129"/>
      <c r="N323" s="129"/>
      <c r="O323" s="415"/>
      <c r="P323" s="96">
        <f t="shared" si="8"/>
        <v>0</v>
      </c>
      <c r="Q323" s="96">
        <f t="shared" si="9"/>
        <v>0</v>
      </c>
    </row>
    <row r="324" spans="1:17" ht="25" x14ac:dyDescent="0.35">
      <c r="A324" s="11" t="s">
        <v>93</v>
      </c>
      <c r="B324" s="163" t="s">
        <v>339</v>
      </c>
      <c r="C324" s="284"/>
      <c r="D324" s="284"/>
      <c r="E324" s="284"/>
      <c r="F324" s="89" t="s">
        <v>36</v>
      </c>
      <c r="G324" s="89"/>
      <c r="H324" s="108" t="s">
        <v>357</v>
      </c>
      <c r="I324" s="91" t="s">
        <v>175</v>
      </c>
      <c r="J324" s="128">
        <v>1</v>
      </c>
      <c r="K324" s="125">
        <v>7500</v>
      </c>
      <c r="L324" s="48">
        <f>J324*K324</f>
        <v>7500</v>
      </c>
      <c r="M324" s="129">
        <v>1</v>
      </c>
      <c r="N324" s="129">
        <v>1</v>
      </c>
      <c r="O324" s="414">
        <v>7500</v>
      </c>
      <c r="P324" s="49">
        <f t="shared" si="8"/>
        <v>7500</v>
      </c>
      <c r="Q324" s="49">
        <f t="shared" si="9"/>
        <v>7500</v>
      </c>
    </row>
    <row r="325" spans="1:17" ht="13" x14ac:dyDescent="0.35">
      <c r="A325" s="11" t="s">
        <v>93</v>
      </c>
      <c r="B325" s="163" t="s">
        <v>358</v>
      </c>
      <c r="C325" s="284"/>
      <c r="D325" s="284"/>
      <c r="E325" s="284"/>
      <c r="F325" s="11"/>
      <c r="G325" s="11"/>
      <c r="H325" s="43" t="s">
        <v>95</v>
      </c>
      <c r="I325" s="44"/>
      <c r="J325" s="117"/>
      <c r="K325" s="70"/>
      <c r="L325" s="48"/>
      <c r="M325" s="118"/>
      <c r="N325" s="118"/>
      <c r="O325" s="409"/>
      <c r="P325" s="49">
        <f t="shared" si="8"/>
        <v>0</v>
      </c>
      <c r="Q325" s="49">
        <f t="shared" si="9"/>
        <v>0</v>
      </c>
    </row>
    <row r="326" spans="1:17" ht="13" x14ac:dyDescent="0.35">
      <c r="A326" s="11" t="s">
        <v>93</v>
      </c>
      <c r="B326" s="163" t="s">
        <v>358</v>
      </c>
      <c r="C326" s="284"/>
      <c r="D326" s="284"/>
      <c r="E326" s="284"/>
      <c r="F326" s="11"/>
      <c r="G326" s="11"/>
      <c r="H326" s="43" t="s">
        <v>96</v>
      </c>
      <c r="I326" s="44"/>
      <c r="J326" s="117"/>
      <c r="K326" s="70"/>
      <c r="L326" s="48"/>
      <c r="M326" s="118"/>
      <c r="N326" s="118"/>
      <c r="O326" s="409"/>
      <c r="P326" s="49">
        <f t="shared" si="8"/>
        <v>0</v>
      </c>
      <c r="Q326" s="49">
        <f t="shared" si="9"/>
        <v>0</v>
      </c>
    </row>
    <row r="327" spans="1:17" ht="13" x14ac:dyDescent="0.35">
      <c r="A327" s="11" t="s">
        <v>93</v>
      </c>
      <c r="B327" s="163" t="s">
        <v>358</v>
      </c>
      <c r="C327" s="284"/>
      <c r="D327" s="284"/>
      <c r="E327" s="284"/>
      <c r="F327" s="11"/>
      <c r="G327" s="11"/>
      <c r="H327" s="43" t="s">
        <v>359</v>
      </c>
      <c r="I327" s="44"/>
      <c r="J327" s="117"/>
      <c r="K327" s="70"/>
      <c r="L327" s="48"/>
      <c r="M327" s="118"/>
      <c r="N327" s="118"/>
      <c r="O327" s="409"/>
      <c r="P327" s="49">
        <f t="shared" si="8"/>
        <v>0</v>
      </c>
      <c r="Q327" s="49">
        <f t="shared" si="9"/>
        <v>0</v>
      </c>
    </row>
    <row r="328" spans="1:17" ht="13" x14ac:dyDescent="0.35">
      <c r="A328" s="11" t="s">
        <v>93</v>
      </c>
      <c r="B328" s="163" t="s">
        <v>358</v>
      </c>
      <c r="C328" s="284"/>
      <c r="D328" s="284"/>
      <c r="E328" s="284"/>
      <c r="F328" s="11"/>
      <c r="G328" s="11"/>
      <c r="H328" s="43" t="s">
        <v>360</v>
      </c>
      <c r="I328" s="44"/>
      <c r="J328" s="117"/>
      <c r="K328" s="70"/>
      <c r="L328" s="48"/>
      <c r="M328" s="118"/>
      <c r="N328" s="118"/>
      <c r="O328" s="409"/>
      <c r="P328" s="49">
        <f t="shared" si="8"/>
        <v>0</v>
      </c>
      <c r="Q328" s="49">
        <f t="shared" si="9"/>
        <v>0</v>
      </c>
    </row>
    <row r="329" spans="1:17" ht="13" x14ac:dyDescent="0.35">
      <c r="A329" s="11" t="s">
        <v>93</v>
      </c>
      <c r="B329" s="163" t="s">
        <v>358</v>
      </c>
      <c r="C329" s="284"/>
      <c r="D329" s="284"/>
      <c r="E329" s="284"/>
      <c r="F329" s="50"/>
      <c r="G329" s="50"/>
      <c r="H329" s="57" t="s">
        <v>100</v>
      </c>
      <c r="I329" s="51"/>
      <c r="J329" s="72"/>
      <c r="K329" s="133"/>
      <c r="L329" s="55"/>
      <c r="M329" s="73"/>
      <c r="N329" s="73"/>
      <c r="O329" s="416"/>
      <c r="P329" s="56">
        <f t="shared" si="8"/>
        <v>0</v>
      </c>
      <c r="Q329" s="56">
        <f t="shared" si="9"/>
        <v>0</v>
      </c>
    </row>
    <row r="330" spans="1:17" ht="13" x14ac:dyDescent="0.35">
      <c r="A330" s="11" t="s">
        <v>93</v>
      </c>
      <c r="B330" s="163" t="s">
        <v>358</v>
      </c>
      <c r="C330" s="284"/>
      <c r="D330" s="284"/>
      <c r="E330" s="284"/>
      <c r="F330" s="50"/>
      <c r="G330" s="50"/>
      <c r="H330" s="60" t="s">
        <v>101</v>
      </c>
      <c r="I330" s="51"/>
      <c r="J330" s="72"/>
      <c r="K330" s="133"/>
      <c r="L330" s="55"/>
      <c r="M330" s="73"/>
      <c r="N330" s="73"/>
      <c r="O330" s="416"/>
      <c r="P330" s="56">
        <f t="shared" ref="P330:P393" si="10">O330*M330</f>
        <v>0</v>
      </c>
      <c r="Q330" s="56">
        <f t="shared" ref="Q330:Q393" si="11">O330*N330</f>
        <v>0</v>
      </c>
    </row>
    <row r="331" spans="1:17" ht="13" x14ac:dyDescent="0.35">
      <c r="A331" s="11" t="s">
        <v>93</v>
      </c>
      <c r="B331" s="163" t="s">
        <v>358</v>
      </c>
      <c r="C331" s="284"/>
      <c r="D331" s="284"/>
      <c r="E331" s="284"/>
      <c r="F331" s="11"/>
      <c r="G331" s="134"/>
      <c r="H331" s="57" t="s">
        <v>361</v>
      </c>
      <c r="I331" s="44"/>
      <c r="J331" s="117"/>
      <c r="K331" s="70"/>
      <c r="L331" s="48"/>
      <c r="M331" s="118"/>
      <c r="N331" s="118"/>
      <c r="O331" s="409"/>
      <c r="P331" s="49">
        <f t="shared" si="10"/>
        <v>0</v>
      </c>
      <c r="Q331" s="49">
        <f t="shared" si="11"/>
        <v>0</v>
      </c>
    </row>
    <row r="332" spans="1:17" ht="13" x14ac:dyDescent="0.35">
      <c r="A332" s="11" t="s">
        <v>93</v>
      </c>
      <c r="B332" s="163" t="s">
        <v>358</v>
      </c>
      <c r="C332" s="284"/>
      <c r="D332" s="284"/>
      <c r="E332" s="284"/>
      <c r="F332" s="11"/>
      <c r="G332" s="134"/>
      <c r="H332" s="57" t="s">
        <v>362</v>
      </c>
      <c r="I332" s="44"/>
      <c r="J332" s="117"/>
      <c r="K332" s="70"/>
      <c r="L332" s="48"/>
      <c r="M332" s="118"/>
      <c r="N332" s="118"/>
      <c r="O332" s="409"/>
      <c r="P332" s="49">
        <f t="shared" si="10"/>
        <v>0</v>
      </c>
      <c r="Q332" s="49">
        <f t="shared" si="11"/>
        <v>0</v>
      </c>
    </row>
    <row r="333" spans="1:17" ht="14.5" x14ac:dyDescent="0.35">
      <c r="A333" s="11" t="s">
        <v>93</v>
      </c>
      <c r="B333" s="163" t="s">
        <v>358</v>
      </c>
      <c r="C333" s="284"/>
      <c r="D333" s="284"/>
      <c r="E333" s="284"/>
      <c r="F333" s="11" t="s">
        <v>20</v>
      </c>
      <c r="G333" s="134"/>
      <c r="H333" s="60" t="s">
        <v>363</v>
      </c>
      <c r="I333" s="44" t="s">
        <v>110</v>
      </c>
      <c r="J333" s="135">
        <v>171</v>
      </c>
      <c r="K333" s="70">
        <v>135</v>
      </c>
      <c r="L333" s="48">
        <f>J333*K333</f>
        <v>23085</v>
      </c>
      <c r="M333" s="136">
        <v>171</v>
      </c>
      <c r="N333" s="136">
        <v>171</v>
      </c>
      <c r="O333" s="409">
        <v>135</v>
      </c>
      <c r="P333" s="49">
        <f t="shared" si="10"/>
        <v>23085</v>
      </c>
      <c r="Q333" s="49">
        <f t="shared" si="11"/>
        <v>23085</v>
      </c>
    </row>
    <row r="334" spans="1:17" ht="13" x14ac:dyDescent="0.35">
      <c r="A334" s="11" t="s">
        <v>93</v>
      </c>
      <c r="B334" s="163" t="s">
        <v>358</v>
      </c>
      <c r="C334" s="284"/>
      <c r="D334" s="284"/>
      <c r="E334" s="284"/>
      <c r="F334" s="11"/>
      <c r="G334" s="11"/>
      <c r="H334" s="57" t="s">
        <v>364</v>
      </c>
      <c r="I334" s="44"/>
      <c r="J334" s="117"/>
      <c r="K334" s="70"/>
      <c r="L334" s="48"/>
      <c r="M334" s="118"/>
      <c r="N334" s="118"/>
      <c r="O334" s="409"/>
      <c r="P334" s="49">
        <f t="shared" si="10"/>
        <v>0</v>
      </c>
      <c r="Q334" s="49">
        <f t="shared" si="11"/>
        <v>0</v>
      </c>
    </row>
    <row r="335" spans="1:17" ht="26" x14ac:dyDescent="0.35">
      <c r="A335" s="11" t="s">
        <v>93</v>
      </c>
      <c r="B335" s="163" t="s">
        <v>358</v>
      </c>
      <c r="C335" s="284"/>
      <c r="D335" s="284"/>
      <c r="E335" s="284"/>
      <c r="F335" s="11"/>
      <c r="G335" s="11"/>
      <c r="H335" s="57" t="s">
        <v>365</v>
      </c>
      <c r="I335" s="44"/>
      <c r="J335" s="117"/>
      <c r="K335" s="70"/>
      <c r="L335" s="48"/>
      <c r="M335" s="118"/>
      <c r="N335" s="118"/>
      <c r="O335" s="409"/>
      <c r="P335" s="49">
        <f t="shared" si="10"/>
        <v>0</v>
      </c>
      <c r="Q335" s="49">
        <f t="shared" si="11"/>
        <v>0</v>
      </c>
    </row>
    <row r="336" spans="1:17" ht="14.5" x14ac:dyDescent="0.35">
      <c r="A336" s="11" t="s">
        <v>93</v>
      </c>
      <c r="B336" s="163" t="s">
        <v>358</v>
      </c>
      <c r="C336" s="284"/>
      <c r="D336" s="284"/>
      <c r="E336" s="284"/>
      <c r="F336" s="11" t="s">
        <v>26</v>
      </c>
      <c r="G336" s="11"/>
      <c r="H336" s="60" t="s">
        <v>366</v>
      </c>
      <c r="I336" s="44" t="s">
        <v>110</v>
      </c>
      <c r="J336" s="135">
        <f>235-16</f>
        <v>219</v>
      </c>
      <c r="K336" s="70">
        <v>75</v>
      </c>
      <c r="L336" s="48">
        <f>J336*K336</f>
        <v>16425</v>
      </c>
      <c r="M336" s="136">
        <f>235-16</f>
        <v>219</v>
      </c>
      <c r="N336" s="136">
        <f>235-16</f>
        <v>219</v>
      </c>
      <c r="O336" s="409">
        <v>75</v>
      </c>
      <c r="P336" s="49">
        <f t="shared" si="10"/>
        <v>16425</v>
      </c>
      <c r="Q336" s="49">
        <f t="shared" si="11"/>
        <v>16425</v>
      </c>
    </row>
    <row r="337" spans="1:17" ht="14.5" x14ac:dyDescent="0.35">
      <c r="A337" s="11" t="s">
        <v>93</v>
      </c>
      <c r="B337" s="163" t="s">
        <v>358</v>
      </c>
      <c r="C337" s="284"/>
      <c r="D337" s="284"/>
      <c r="E337" s="284"/>
      <c r="F337" s="11" t="s">
        <v>29</v>
      </c>
      <c r="G337" s="134"/>
      <c r="H337" s="139" t="s">
        <v>367</v>
      </c>
      <c r="I337" s="44" t="s">
        <v>110</v>
      </c>
      <c r="J337" s="58">
        <f>J336*0.15</f>
        <v>32.85</v>
      </c>
      <c r="K337" s="70">
        <v>75</v>
      </c>
      <c r="L337" s="48">
        <f>J337*K337</f>
        <v>2463.75</v>
      </c>
      <c r="M337" s="59">
        <f>M336*0.15</f>
        <v>32.85</v>
      </c>
      <c r="N337" s="59">
        <f>N336*0.15</f>
        <v>32.85</v>
      </c>
      <c r="O337" s="409">
        <v>75</v>
      </c>
      <c r="P337" s="49">
        <f t="shared" si="10"/>
        <v>2463.75</v>
      </c>
      <c r="Q337" s="49">
        <f t="shared" si="11"/>
        <v>2463.75</v>
      </c>
    </row>
    <row r="338" spans="1:17" ht="13" x14ac:dyDescent="0.35">
      <c r="A338" s="11" t="s">
        <v>93</v>
      </c>
      <c r="B338" s="163" t="s">
        <v>358</v>
      </c>
      <c r="C338" s="284"/>
      <c r="D338" s="284"/>
      <c r="E338" s="284"/>
      <c r="F338" s="11"/>
      <c r="G338" s="11"/>
      <c r="H338" s="57" t="s">
        <v>368</v>
      </c>
      <c r="I338" s="44"/>
      <c r="J338" s="135"/>
      <c r="K338" s="70"/>
      <c r="L338" s="48"/>
      <c r="M338" s="136"/>
      <c r="N338" s="136"/>
      <c r="O338" s="409"/>
      <c r="P338" s="49">
        <f t="shared" si="10"/>
        <v>0</v>
      </c>
      <c r="Q338" s="49">
        <f t="shared" si="11"/>
        <v>0</v>
      </c>
    </row>
    <row r="339" spans="1:17" ht="14.5" x14ac:dyDescent="0.35">
      <c r="A339" s="11" t="s">
        <v>93</v>
      </c>
      <c r="B339" s="163" t="s">
        <v>358</v>
      </c>
      <c r="C339" s="284"/>
      <c r="D339" s="284"/>
      <c r="E339" s="284"/>
      <c r="F339" s="11" t="s">
        <v>32</v>
      </c>
      <c r="G339" s="11"/>
      <c r="H339" s="60" t="s">
        <v>363</v>
      </c>
      <c r="I339" s="44" t="s">
        <v>110</v>
      </c>
      <c r="J339" s="135">
        <v>37</v>
      </c>
      <c r="K339" s="70">
        <v>145</v>
      </c>
      <c r="L339" s="48">
        <f>J339*K339</f>
        <v>5365</v>
      </c>
      <c r="M339" s="136">
        <v>37</v>
      </c>
      <c r="N339" s="136">
        <v>37</v>
      </c>
      <c r="O339" s="409">
        <v>145</v>
      </c>
      <c r="P339" s="49">
        <f t="shared" si="10"/>
        <v>5365</v>
      </c>
      <c r="Q339" s="49">
        <f t="shared" si="11"/>
        <v>5365</v>
      </c>
    </row>
    <row r="340" spans="1:17" ht="13" x14ac:dyDescent="0.35">
      <c r="A340" s="11" t="s">
        <v>93</v>
      </c>
      <c r="B340" s="163" t="s">
        <v>369</v>
      </c>
      <c r="C340" s="284"/>
      <c r="D340" s="284"/>
      <c r="E340" s="284"/>
      <c r="F340" s="11"/>
      <c r="G340" s="11"/>
      <c r="H340" s="43" t="s">
        <v>95</v>
      </c>
      <c r="I340" s="44"/>
      <c r="J340" s="58"/>
      <c r="K340" s="47"/>
      <c r="L340" s="48"/>
      <c r="M340" s="59"/>
      <c r="N340" s="59"/>
      <c r="O340" s="407"/>
      <c r="P340" s="49">
        <f t="shared" si="10"/>
        <v>0</v>
      </c>
      <c r="Q340" s="49">
        <f t="shared" si="11"/>
        <v>0</v>
      </c>
    </row>
    <row r="341" spans="1:17" ht="13" x14ac:dyDescent="0.35">
      <c r="A341" s="11" t="s">
        <v>93</v>
      </c>
      <c r="B341" s="163" t="s">
        <v>369</v>
      </c>
      <c r="C341" s="284"/>
      <c r="D341" s="284"/>
      <c r="E341" s="284"/>
      <c r="F341" s="11"/>
      <c r="G341" s="11"/>
      <c r="H341" s="43" t="s">
        <v>96</v>
      </c>
      <c r="I341" s="44"/>
      <c r="J341" s="58"/>
      <c r="K341" s="47"/>
      <c r="L341" s="48"/>
      <c r="M341" s="59"/>
      <c r="N341" s="59"/>
      <c r="O341" s="407"/>
      <c r="P341" s="49">
        <f t="shared" si="10"/>
        <v>0</v>
      </c>
      <c r="Q341" s="49">
        <f t="shared" si="11"/>
        <v>0</v>
      </c>
    </row>
    <row r="342" spans="1:17" ht="13" x14ac:dyDescent="0.35">
      <c r="A342" s="11" t="s">
        <v>93</v>
      </c>
      <c r="B342" s="163" t="s">
        <v>369</v>
      </c>
      <c r="C342" s="284"/>
      <c r="D342" s="284"/>
      <c r="E342" s="284"/>
      <c r="F342" s="11"/>
      <c r="G342" s="11"/>
      <c r="H342" s="43" t="s">
        <v>370</v>
      </c>
      <c r="I342" s="44"/>
      <c r="J342" s="58"/>
      <c r="K342" s="47"/>
      <c r="L342" s="48"/>
      <c r="M342" s="59"/>
      <c r="N342" s="59"/>
      <c r="O342" s="407"/>
      <c r="P342" s="49">
        <f t="shared" si="10"/>
        <v>0</v>
      </c>
      <c r="Q342" s="49">
        <f t="shared" si="11"/>
        <v>0</v>
      </c>
    </row>
    <row r="343" spans="1:17" ht="13" x14ac:dyDescent="0.35">
      <c r="A343" s="11" t="s">
        <v>93</v>
      </c>
      <c r="B343" s="163" t="s">
        <v>369</v>
      </c>
      <c r="C343" s="284"/>
      <c r="D343" s="284"/>
      <c r="E343" s="284"/>
      <c r="F343" s="11"/>
      <c r="G343" s="11"/>
      <c r="H343" s="43" t="s">
        <v>371</v>
      </c>
      <c r="I343" s="44"/>
      <c r="J343" s="45"/>
      <c r="K343" s="140"/>
      <c r="L343" s="48"/>
      <c r="M343" s="46"/>
      <c r="N343" s="46"/>
      <c r="O343" s="417"/>
      <c r="P343" s="49">
        <f t="shared" si="10"/>
        <v>0</v>
      </c>
      <c r="Q343" s="49">
        <f t="shared" si="11"/>
        <v>0</v>
      </c>
    </row>
    <row r="344" spans="1:17" ht="13" x14ac:dyDescent="0.35">
      <c r="A344" s="11" t="s">
        <v>93</v>
      </c>
      <c r="B344" s="163" t="s">
        <v>369</v>
      </c>
      <c r="C344" s="284"/>
      <c r="D344" s="284"/>
      <c r="E344" s="284"/>
      <c r="F344" s="11"/>
      <c r="G344" s="11"/>
      <c r="H344" s="57" t="s">
        <v>100</v>
      </c>
      <c r="I344" s="44"/>
      <c r="J344" s="45"/>
      <c r="K344" s="140"/>
      <c r="L344" s="48"/>
      <c r="M344" s="46"/>
      <c r="N344" s="46"/>
      <c r="O344" s="417"/>
      <c r="P344" s="49">
        <f t="shared" si="10"/>
        <v>0</v>
      </c>
      <c r="Q344" s="49">
        <f t="shared" si="11"/>
        <v>0</v>
      </c>
    </row>
    <row r="345" spans="1:17" x14ac:dyDescent="0.35">
      <c r="A345" s="11" t="s">
        <v>93</v>
      </c>
      <c r="B345" s="163" t="s">
        <v>369</v>
      </c>
      <c r="C345" s="284"/>
      <c r="D345" s="284"/>
      <c r="E345" s="284"/>
      <c r="F345" s="11"/>
      <c r="G345" s="11"/>
      <c r="H345" s="60" t="s">
        <v>101</v>
      </c>
      <c r="I345" s="44"/>
      <c r="J345" s="45"/>
      <c r="K345" s="140"/>
      <c r="L345" s="48"/>
      <c r="M345" s="46"/>
      <c r="N345" s="46"/>
      <c r="O345" s="417"/>
      <c r="P345" s="49">
        <f t="shared" si="10"/>
        <v>0</v>
      </c>
      <c r="Q345" s="49">
        <f t="shared" si="11"/>
        <v>0</v>
      </c>
    </row>
    <row r="346" spans="1:17" ht="13" x14ac:dyDescent="0.35">
      <c r="A346" s="11" t="s">
        <v>93</v>
      </c>
      <c r="B346" s="163" t="s">
        <v>369</v>
      </c>
      <c r="C346" s="284"/>
      <c r="D346" s="284"/>
      <c r="E346" s="284"/>
      <c r="F346" s="11"/>
      <c r="G346" s="11"/>
      <c r="H346" s="57" t="s">
        <v>333</v>
      </c>
      <c r="I346" s="44"/>
      <c r="J346" s="45"/>
      <c r="K346" s="140"/>
      <c r="L346" s="48"/>
      <c r="M346" s="46"/>
      <c r="N346" s="46"/>
      <c r="O346" s="417"/>
      <c r="P346" s="49">
        <f t="shared" si="10"/>
        <v>0</v>
      </c>
      <c r="Q346" s="49">
        <f t="shared" si="11"/>
        <v>0</v>
      </c>
    </row>
    <row r="347" spans="1:17" x14ac:dyDescent="0.35">
      <c r="A347" s="11" t="s">
        <v>93</v>
      </c>
      <c r="B347" s="163" t="s">
        <v>369</v>
      </c>
      <c r="C347" s="284"/>
      <c r="D347" s="284"/>
      <c r="E347" s="284"/>
      <c r="F347" s="11"/>
      <c r="G347" s="11"/>
      <c r="H347" s="62" t="s">
        <v>372</v>
      </c>
      <c r="I347" s="44"/>
      <c r="J347" s="45"/>
      <c r="K347" s="140"/>
      <c r="L347" s="48"/>
      <c r="M347" s="46"/>
      <c r="N347" s="46"/>
      <c r="O347" s="417"/>
      <c r="P347" s="49">
        <f t="shared" si="10"/>
        <v>0</v>
      </c>
      <c r="Q347" s="49">
        <f t="shared" si="11"/>
        <v>0</v>
      </c>
    </row>
    <row r="348" spans="1:17" ht="25" x14ac:dyDescent="0.35">
      <c r="A348" s="11" t="s">
        <v>93</v>
      </c>
      <c r="B348" s="163" t="s">
        <v>369</v>
      </c>
      <c r="C348" s="284"/>
      <c r="D348" s="284"/>
      <c r="E348" s="284"/>
      <c r="F348" s="11"/>
      <c r="G348" s="11"/>
      <c r="H348" s="60" t="s">
        <v>373</v>
      </c>
      <c r="I348" s="44"/>
      <c r="J348" s="45"/>
      <c r="K348" s="140"/>
      <c r="L348" s="48"/>
      <c r="M348" s="46"/>
      <c r="N348" s="46"/>
      <c r="O348" s="417"/>
      <c r="P348" s="49">
        <f t="shared" si="10"/>
        <v>0</v>
      </c>
      <c r="Q348" s="49">
        <f t="shared" si="11"/>
        <v>0</v>
      </c>
    </row>
    <row r="349" spans="1:17" x14ac:dyDescent="0.35">
      <c r="A349" s="11" t="s">
        <v>93</v>
      </c>
      <c r="B349" s="163" t="s">
        <v>369</v>
      </c>
      <c r="C349" s="284"/>
      <c r="D349" s="284"/>
      <c r="E349" s="284"/>
      <c r="F349" s="11"/>
      <c r="G349" s="11"/>
      <c r="H349" s="62" t="s">
        <v>374</v>
      </c>
      <c r="I349" s="44"/>
      <c r="J349" s="45"/>
      <c r="K349" s="140"/>
      <c r="L349" s="48"/>
      <c r="M349" s="46"/>
      <c r="N349" s="46"/>
      <c r="O349" s="417"/>
      <c r="P349" s="49">
        <f t="shared" si="10"/>
        <v>0</v>
      </c>
      <c r="Q349" s="49">
        <f t="shared" si="11"/>
        <v>0</v>
      </c>
    </row>
    <row r="350" spans="1:17" ht="75" x14ac:dyDescent="0.35">
      <c r="A350" s="11" t="s">
        <v>93</v>
      </c>
      <c r="B350" s="163" t="s">
        <v>369</v>
      </c>
      <c r="C350" s="284"/>
      <c r="D350" s="284"/>
      <c r="E350" s="284"/>
      <c r="F350" s="11"/>
      <c r="G350" s="11"/>
      <c r="H350" s="60" t="s">
        <v>375</v>
      </c>
      <c r="I350" s="44"/>
      <c r="J350" s="45"/>
      <c r="K350" s="140"/>
      <c r="L350" s="48"/>
      <c r="M350" s="46"/>
      <c r="N350" s="46"/>
      <c r="O350" s="417"/>
      <c r="P350" s="49">
        <f t="shared" si="10"/>
        <v>0</v>
      </c>
      <c r="Q350" s="49">
        <f t="shared" si="11"/>
        <v>0</v>
      </c>
    </row>
    <row r="351" spans="1:17" x14ac:dyDescent="0.35">
      <c r="A351" s="11" t="s">
        <v>93</v>
      </c>
      <c r="B351" s="163" t="s">
        <v>369</v>
      </c>
      <c r="C351" s="284"/>
      <c r="D351" s="284"/>
      <c r="E351" s="284"/>
      <c r="F351" s="11"/>
      <c r="G351" s="11"/>
      <c r="H351" s="62" t="s">
        <v>376</v>
      </c>
      <c r="I351" s="44"/>
      <c r="J351" s="45"/>
      <c r="K351" s="140"/>
      <c r="L351" s="48"/>
      <c r="M351" s="46"/>
      <c r="N351" s="46"/>
      <c r="O351" s="417"/>
      <c r="P351" s="49">
        <f t="shared" si="10"/>
        <v>0</v>
      </c>
      <c r="Q351" s="49">
        <f t="shared" si="11"/>
        <v>0</v>
      </c>
    </row>
    <row r="352" spans="1:17" ht="25" x14ac:dyDescent="0.35">
      <c r="A352" s="11" t="s">
        <v>93</v>
      </c>
      <c r="B352" s="163" t="s">
        <v>369</v>
      </c>
      <c r="C352" s="284"/>
      <c r="D352" s="284"/>
      <c r="E352" s="284"/>
      <c r="F352" s="11"/>
      <c r="G352" s="11"/>
      <c r="H352" s="60" t="s">
        <v>377</v>
      </c>
      <c r="I352" s="44"/>
      <c r="J352" s="45"/>
      <c r="K352" s="140"/>
      <c r="L352" s="48"/>
      <c r="M352" s="46"/>
      <c r="N352" s="46"/>
      <c r="O352" s="417"/>
      <c r="P352" s="49">
        <f t="shared" si="10"/>
        <v>0</v>
      </c>
      <c r="Q352" s="49">
        <f t="shared" si="11"/>
        <v>0</v>
      </c>
    </row>
    <row r="353" spans="1:17" x14ac:dyDescent="0.35">
      <c r="A353" s="11" t="s">
        <v>93</v>
      </c>
      <c r="B353" s="163" t="s">
        <v>369</v>
      </c>
      <c r="C353" s="284"/>
      <c r="D353" s="284"/>
      <c r="E353" s="284"/>
      <c r="F353" s="11"/>
      <c r="G353" s="11"/>
      <c r="H353" s="62" t="s">
        <v>378</v>
      </c>
      <c r="I353" s="44"/>
      <c r="J353" s="45"/>
      <c r="K353" s="140"/>
      <c r="L353" s="48"/>
      <c r="M353" s="46"/>
      <c r="N353" s="46"/>
      <c r="O353" s="417"/>
      <c r="P353" s="49">
        <f t="shared" si="10"/>
        <v>0</v>
      </c>
      <c r="Q353" s="49">
        <f t="shared" si="11"/>
        <v>0</v>
      </c>
    </row>
    <row r="354" spans="1:17" ht="37.5" x14ac:dyDescent="0.35">
      <c r="A354" s="11" t="s">
        <v>93</v>
      </c>
      <c r="B354" s="163" t="s">
        <v>369</v>
      </c>
      <c r="C354" s="284"/>
      <c r="D354" s="284"/>
      <c r="E354" s="284"/>
      <c r="F354" s="11"/>
      <c r="G354" s="11"/>
      <c r="H354" s="60" t="s">
        <v>379</v>
      </c>
      <c r="I354" s="44"/>
      <c r="J354" s="45"/>
      <c r="K354" s="140"/>
      <c r="L354" s="48"/>
      <c r="M354" s="46"/>
      <c r="N354" s="46"/>
      <c r="O354" s="417"/>
      <c r="P354" s="49">
        <f t="shared" si="10"/>
        <v>0</v>
      </c>
      <c r="Q354" s="49">
        <f t="shared" si="11"/>
        <v>0</v>
      </c>
    </row>
    <row r="355" spans="1:17" x14ac:dyDescent="0.35">
      <c r="A355" s="11" t="s">
        <v>93</v>
      </c>
      <c r="B355" s="163" t="s">
        <v>369</v>
      </c>
      <c r="C355" s="284"/>
      <c r="D355" s="284"/>
      <c r="E355" s="284"/>
      <c r="F355" s="11"/>
      <c r="G355" s="11"/>
      <c r="H355" s="62" t="s">
        <v>380</v>
      </c>
      <c r="I355" s="44"/>
      <c r="J355" s="45"/>
      <c r="K355" s="140"/>
      <c r="L355" s="48"/>
      <c r="M355" s="46"/>
      <c r="N355" s="46"/>
      <c r="O355" s="417"/>
      <c r="P355" s="49">
        <f t="shared" si="10"/>
        <v>0</v>
      </c>
      <c r="Q355" s="49">
        <f t="shared" si="11"/>
        <v>0</v>
      </c>
    </row>
    <row r="356" spans="1:17" ht="62.5" x14ac:dyDescent="0.35">
      <c r="A356" s="11" t="s">
        <v>93</v>
      </c>
      <c r="B356" s="163" t="s">
        <v>369</v>
      </c>
      <c r="C356" s="284"/>
      <c r="D356" s="284"/>
      <c r="E356" s="284"/>
      <c r="F356" s="11"/>
      <c r="G356" s="11"/>
      <c r="H356" s="60" t="s">
        <v>381</v>
      </c>
      <c r="I356" s="44"/>
      <c r="J356" s="45"/>
      <c r="K356" s="140"/>
      <c r="L356" s="48"/>
      <c r="M356" s="46"/>
      <c r="N356" s="46"/>
      <c r="O356" s="417"/>
      <c r="P356" s="49">
        <f t="shared" si="10"/>
        <v>0</v>
      </c>
      <c r="Q356" s="49">
        <f t="shared" si="11"/>
        <v>0</v>
      </c>
    </row>
    <row r="357" spans="1:17" x14ac:dyDescent="0.35">
      <c r="A357" s="11" t="s">
        <v>93</v>
      </c>
      <c r="B357" s="163" t="s">
        <v>369</v>
      </c>
      <c r="C357" s="284"/>
      <c r="D357" s="284"/>
      <c r="E357" s="284"/>
      <c r="F357" s="11"/>
      <c r="G357" s="11"/>
      <c r="H357" s="62" t="s">
        <v>382</v>
      </c>
      <c r="I357" s="44"/>
      <c r="J357" s="45"/>
      <c r="K357" s="140"/>
      <c r="L357" s="48"/>
      <c r="M357" s="46"/>
      <c r="N357" s="46"/>
      <c r="O357" s="417"/>
      <c r="P357" s="49">
        <f t="shared" si="10"/>
        <v>0</v>
      </c>
      <c r="Q357" s="49">
        <f t="shared" si="11"/>
        <v>0</v>
      </c>
    </row>
    <row r="358" spans="1:17" ht="75" x14ac:dyDescent="0.35">
      <c r="A358" s="11" t="s">
        <v>93</v>
      </c>
      <c r="B358" s="163" t="s">
        <v>369</v>
      </c>
      <c r="C358" s="284"/>
      <c r="D358" s="284"/>
      <c r="E358" s="284"/>
      <c r="F358" s="11"/>
      <c r="G358" s="11"/>
      <c r="H358" s="60" t="s">
        <v>383</v>
      </c>
      <c r="I358" s="44"/>
      <c r="J358" s="45"/>
      <c r="K358" s="140"/>
      <c r="L358" s="48"/>
      <c r="M358" s="46"/>
      <c r="N358" s="46"/>
      <c r="O358" s="417"/>
      <c r="P358" s="49">
        <f t="shared" si="10"/>
        <v>0</v>
      </c>
      <c r="Q358" s="49">
        <f t="shared" si="11"/>
        <v>0</v>
      </c>
    </row>
    <row r="359" spans="1:17" x14ac:dyDescent="0.35">
      <c r="A359" s="11" t="s">
        <v>93</v>
      </c>
      <c r="B359" s="163" t="s">
        <v>369</v>
      </c>
      <c r="C359" s="284"/>
      <c r="D359" s="284"/>
      <c r="E359" s="284"/>
      <c r="F359" s="11"/>
      <c r="G359" s="11"/>
      <c r="H359" s="62" t="s">
        <v>384</v>
      </c>
      <c r="I359" s="44"/>
      <c r="J359" s="45"/>
      <c r="K359" s="140"/>
      <c r="L359" s="48"/>
      <c r="M359" s="46"/>
      <c r="N359" s="46"/>
      <c r="O359" s="417"/>
      <c r="P359" s="49">
        <f t="shared" si="10"/>
        <v>0</v>
      </c>
      <c r="Q359" s="49">
        <f t="shared" si="11"/>
        <v>0</v>
      </c>
    </row>
    <row r="360" spans="1:17" ht="50" x14ac:dyDescent="0.35">
      <c r="A360" s="11" t="s">
        <v>93</v>
      </c>
      <c r="B360" s="163" t="s">
        <v>369</v>
      </c>
      <c r="C360" s="284"/>
      <c r="D360" s="284"/>
      <c r="E360" s="284"/>
      <c r="F360" s="11"/>
      <c r="G360" s="11"/>
      <c r="H360" s="60" t="s">
        <v>385</v>
      </c>
      <c r="I360" s="44"/>
      <c r="J360" s="45"/>
      <c r="K360" s="140"/>
      <c r="L360" s="48"/>
      <c r="M360" s="46"/>
      <c r="N360" s="46"/>
      <c r="O360" s="417"/>
      <c r="P360" s="49">
        <f t="shared" si="10"/>
        <v>0</v>
      </c>
      <c r="Q360" s="49">
        <f t="shared" si="11"/>
        <v>0</v>
      </c>
    </row>
    <row r="361" spans="1:17" x14ac:dyDescent="0.35">
      <c r="A361" s="11" t="s">
        <v>93</v>
      </c>
      <c r="B361" s="163" t="s">
        <v>369</v>
      </c>
      <c r="C361" s="284"/>
      <c r="D361" s="284"/>
      <c r="E361" s="284"/>
      <c r="F361" s="11"/>
      <c r="G361" s="11"/>
      <c r="H361" s="62" t="s">
        <v>386</v>
      </c>
      <c r="I361" s="44"/>
      <c r="J361" s="45"/>
      <c r="K361" s="140"/>
      <c r="L361" s="48"/>
      <c r="M361" s="46"/>
      <c r="N361" s="46"/>
      <c r="O361" s="417"/>
      <c r="P361" s="49">
        <f t="shared" si="10"/>
        <v>0</v>
      </c>
      <c r="Q361" s="49">
        <f t="shared" si="11"/>
        <v>0</v>
      </c>
    </row>
    <row r="362" spans="1:17" ht="37.5" x14ac:dyDescent="0.35">
      <c r="A362" s="11" t="s">
        <v>93</v>
      </c>
      <c r="B362" s="163" t="s">
        <v>369</v>
      </c>
      <c r="C362" s="284"/>
      <c r="D362" s="284"/>
      <c r="E362" s="284"/>
      <c r="F362" s="11"/>
      <c r="G362" s="11"/>
      <c r="H362" s="60" t="s">
        <v>387</v>
      </c>
      <c r="I362" s="44"/>
      <c r="J362" s="45"/>
      <c r="K362" s="140"/>
      <c r="L362" s="48"/>
      <c r="M362" s="46"/>
      <c r="N362" s="46"/>
      <c r="O362" s="417"/>
      <c r="P362" s="49">
        <f t="shared" si="10"/>
        <v>0</v>
      </c>
      <c r="Q362" s="49">
        <f t="shared" si="11"/>
        <v>0</v>
      </c>
    </row>
    <row r="363" spans="1:17" x14ac:dyDescent="0.35">
      <c r="A363" s="11" t="s">
        <v>93</v>
      </c>
      <c r="B363" s="163" t="s">
        <v>369</v>
      </c>
      <c r="C363" s="284"/>
      <c r="D363" s="284"/>
      <c r="E363" s="284"/>
      <c r="F363" s="11"/>
      <c r="G363" s="11"/>
      <c r="H363" s="62" t="s">
        <v>388</v>
      </c>
      <c r="I363" s="44"/>
      <c r="J363" s="45"/>
      <c r="K363" s="140"/>
      <c r="L363" s="48"/>
      <c r="M363" s="46"/>
      <c r="N363" s="46"/>
      <c r="O363" s="417"/>
      <c r="P363" s="49">
        <f t="shared" si="10"/>
        <v>0</v>
      </c>
      <c r="Q363" s="49">
        <f t="shared" si="11"/>
        <v>0</v>
      </c>
    </row>
    <row r="364" spans="1:17" ht="37.5" x14ac:dyDescent="0.35">
      <c r="A364" s="11" t="s">
        <v>93</v>
      </c>
      <c r="B364" s="163" t="s">
        <v>369</v>
      </c>
      <c r="C364" s="284"/>
      <c r="D364" s="284"/>
      <c r="E364" s="284"/>
      <c r="F364" s="11"/>
      <c r="G364" s="11"/>
      <c r="H364" s="60" t="s">
        <v>389</v>
      </c>
      <c r="I364" s="44"/>
      <c r="J364" s="45"/>
      <c r="K364" s="140"/>
      <c r="L364" s="48"/>
      <c r="M364" s="46"/>
      <c r="N364" s="46"/>
      <c r="O364" s="417"/>
      <c r="P364" s="49">
        <f t="shared" si="10"/>
        <v>0</v>
      </c>
      <c r="Q364" s="49">
        <f t="shared" si="11"/>
        <v>0</v>
      </c>
    </row>
    <row r="365" spans="1:17" x14ac:dyDescent="0.35">
      <c r="A365" s="11" t="s">
        <v>93</v>
      </c>
      <c r="B365" s="163" t="s">
        <v>369</v>
      </c>
      <c r="C365" s="284"/>
      <c r="D365" s="284"/>
      <c r="E365" s="284"/>
      <c r="F365" s="11"/>
      <c r="G365" s="11"/>
      <c r="H365" s="62" t="s">
        <v>390</v>
      </c>
      <c r="I365" s="44"/>
      <c r="J365" s="45"/>
      <c r="K365" s="140"/>
      <c r="L365" s="48"/>
      <c r="M365" s="46"/>
      <c r="N365" s="46"/>
      <c r="O365" s="417"/>
      <c r="P365" s="49">
        <f t="shared" si="10"/>
        <v>0</v>
      </c>
      <c r="Q365" s="49">
        <f t="shared" si="11"/>
        <v>0</v>
      </c>
    </row>
    <row r="366" spans="1:17" x14ac:dyDescent="0.35">
      <c r="A366" s="11" t="s">
        <v>93</v>
      </c>
      <c r="B366" s="163" t="s">
        <v>369</v>
      </c>
      <c r="C366" s="284"/>
      <c r="D366" s="284"/>
      <c r="E366" s="284"/>
      <c r="F366" s="11"/>
      <c r="G366" s="11"/>
      <c r="H366" s="60" t="s">
        <v>391</v>
      </c>
      <c r="I366" s="44"/>
      <c r="J366" s="45"/>
      <c r="K366" s="140"/>
      <c r="L366" s="48"/>
      <c r="M366" s="46"/>
      <c r="N366" s="46"/>
      <c r="O366" s="417"/>
      <c r="P366" s="49">
        <f t="shared" si="10"/>
        <v>0</v>
      </c>
      <c r="Q366" s="49">
        <f t="shared" si="11"/>
        <v>0</v>
      </c>
    </row>
    <row r="367" spans="1:17" x14ac:dyDescent="0.35">
      <c r="A367" s="11" t="s">
        <v>93</v>
      </c>
      <c r="B367" s="163" t="s">
        <v>369</v>
      </c>
      <c r="C367" s="284"/>
      <c r="D367" s="284"/>
      <c r="E367" s="284"/>
      <c r="F367" s="11"/>
      <c r="G367" s="11"/>
      <c r="H367" s="62" t="s">
        <v>392</v>
      </c>
      <c r="I367" s="44"/>
      <c r="J367" s="45"/>
      <c r="K367" s="140"/>
      <c r="L367" s="48"/>
      <c r="M367" s="46"/>
      <c r="N367" s="46"/>
      <c r="O367" s="417"/>
      <c r="P367" s="49">
        <f t="shared" si="10"/>
        <v>0</v>
      </c>
      <c r="Q367" s="49">
        <f t="shared" si="11"/>
        <v>0</v>
      </c>
    </row>
    <row r="368" spans="1:17" ht="50" x14ac:dyDescent="0.35">
      <c r="A368" s="11" t="s">
        <v>93</v>
      </c>
      <c r="B368" s="163" t="s">
        <v>369</v>
      </c>
      <c r="C368" s="284"/>
      <c r="D368" s="284"/>
      <c r="E368" s="284"/>
      <c r="F368" s="11"/>
      <c r="G368" s="11"/>
      <c r="H368" s="60" t="s">
        <v>393</v>
      </c>
      <c r="I368" s="44"/>
      <c r="J368" s="45"/>
      <c r="K368" s="140"/>
      <c r="L368" s="48"/>
      <c r="M368" s="46"/>
      <c r="N368" s="46"/>
      <c r="O368" s="417"/>
      <c r="P368" s="49">
        <f t="shared" si="10"/>
        <v>0</v>
      </c>
      <c r="Q368" s="49">
        <f t="shared" si="11"/>
        <v>0</v>
      </c>
    </row>
    <row r="369" spans="1:17" ht="25" x14ac:dyDescent="0.35">
      <c r="A369" s="11" t="s">
        <v>93</v>
      </c>
      <c r="B369" s="163" t="s">
        <v>369</v>
      </c>
      <c r="C369" s="284"/>
      <c r="D369" s="284"/>
      <c r="E369" s="284"/>
      <c r="F369" s="11"/>
      <c r="G369" s="11"/>
      <c r="H369" s="60" t="s">
        <v>394</v>
      </c>
      <c r="I369" s="44"/>
      <c r="J369" s="45"/>
      <c r="K369" s="140"/>
      <c r="L369" s="48"/>
      <c r="M369" s="46"/>
      <c r="N369" s="46"/>
      <c r="O369" s="417"/>
      <c r="P369" s="49">
        <f t="shared" si="10"/>
        <v>0</v>
      </c>
      <c r="Q369" s="49">
        <f t="shared" si="11"/>
        <v>0</v>
      </c>
    </row>
    <row r="370" spans="1:17" x14ac:dyDescent="0.35">
      <c r="A370" s="11" t="s">
        <v>93</v>
      </c>
      <c r="B370" s="163" t="s">
        <v>369</v>
      </c>
      <c r="C370" s="284"/>
      <c r="D370" s="284"/>
      <c r="E370" s="284"/>
      <c r="F370" s="11"/>
      <c r="G370" s="11"/>
      <c r="H370" s="62" t="s">
        <v>395</v>
      </c>
      <c r="I370" s="44"/>
      <c r="J370" s="45"/>
      <c r="K370" s="140"/>
      <c r="L370" s="48"/>
      <c r="M370" s="46"/>
      <c r="N370" s="46"/>
      <c r="O370" s="417"/>
      <c r="P370" s="49">
        <f t="shared" si="10"/>
        <v>0</v>
      </c>
      <c r="Q370" s="49">
        <f t="shared" si="11"/>
        <v>0</v>
      </c>
    </row>
    <row r="371" spans="1:17" ht="25" x14ac:dyDescent="0.35">
      <c r="A371" s="11" t="s">
        <v>93</v>
      </c>
      <c r="B371" s="163" t="s">
        <v>369</v>
      </c>
      <c r="C371" s="284"/>
      <c r="D371" s="284"/>
      <c r="E371" s="284"/>
      <c r="F371" s="11"/>
      <c r="G371" s="11"/>
      <c r="H371" s="60" t="s">
        <v>396</v>
      </c>
      <c r="I371" s="44"/>
      <c r="J371" s="45"/>
      <c r="K371" s="140"/>
      <c r="L371" s="48"/>
      <c r="M371" s="46"/>
      <c r="N371" s="46"/>
      <c r="O371" s="417"/>
      <c r="P371" s="49">
        <f t="shared" si="10"/>
        <v>0</v>
      </c>
      <c r="Q371" s="49">
        <f t="shared" si="11"/>
        <v>0</v>
      </c>
    </row>
    <row r="372" spans="1:17" ht="25" x14ac:dyDescent="0.35">
      <c r="A372" s="11" t="s">
        <v>93</v>
      </c>
      <c r="B372" s="163" t="s">
        <v>369</v>
      </c>
      <c r="C372" s="284"/>
      <c r="D372" s="284"/>
      <c r="E372" s="284"/>
      <c r="F372" s="11"/>
      <c r="G372" s="11"/>
      <c r="H372" s="60" t="s">
        <v>397</v>
      </c>
      <c r="I372" s="44"/>
      <c r="J372" s="45"/>
      <c r="K372" s="140"/>
      <c r="L372" s="48"/>
      <c r="M372" s="46"/>
      <c r="N372" s="46"/>
      <c r="O372" s="417"/>
      <c r="P372" s="49">
        <f t="shared" si="10"/>
        <v>0</v>
      </c>
      <c r="Q372" s="49">
        <f t="shared" si="11"/>
        <v>0</v>
      </c>
    </row>
    <row r="373" spans="1:17" x14ac:dyDescent="0.35">
      <c r="A373" s="11" t="s">
        <v>93</v>
      </c>
      <c r="B373" s="163" t="s">
        <v>369</v>
      </c>
      <c r="C373" s="284"/>
      <c r="D373" s="284"/>
      <c r="E373" s="284"/>
      <c r="F373" s="11"/>
      <c r="G373" s="11"/>
      <c r="H373" s="62" t="s">
        <v>398</v>
      </c>
      <c r="I373" s="44"/>
      <c r="J373" s="45"/>
      <c r="K373" s="140"/>
      <c r="L373" s="48"/>
      <c r="M373" s="46"/>
      <c r="N373" s="46"/>
      <c r="O373" s="417"/>
      <c r="P373" s="49">
        <f t="shared" si="10"/>
        <v>0</v>
      </c>
      <c r="Q373" s="49">
        <f t="shared" si="11"/>
        <v>0</v>
      </c>
    </row>
    <row r="374" spans="1:17" ht="50" x14ac:dyDescent="0.35">
      <c r="A374" s="11" t="s">
        <v>93</v>
      </c>
      <c r="B374" s="163" t="s">
        <v>369</v>
      </c>
      <c r="C374" s="284"/>
      <c r="D374" s="284"/>
      <c r="E374" s="284"/>
      <c r="F374" s="11"/>
      <c r="G374" s="11"/>
      <c r="H374" s="60" t="s">
        <v>399</v>
      </c>
      <c r="I374" s="44"/>
      <c r="J374" s="45"/>
      <c r="K374" s="140"/>
      <c r="L374" s="48"/>
      <c r="M374" s="46"/>
      <c r="N374" s="46"/>
      <c r="O374" s="417"/>
      <c r="P374" s="49">
        <f t="shared" si="10"/>
        <v>0</v>
      </c>
      <c r="Q374" s="49">
        <f t="shared" si="11"/>
        <v>0</v>
      </c>
    </row>
    <row r="375" spans="1:17" ht="50" x14ac:dyDescent="0.35">
      <c r="A375" s="11" t="s">
        <v>93</v>
      </c>
      <c r="B375" s="163" t="s">
        <v>369</v>
      </c>
      <c r="C375" s="284"/>
      <c r="D375" s="284"/>
      <c r="E375" s="284"/>
      <c r="F375" s="11"/>
      <c r="G375" s="11"/>
      <c r="H375" s="60" t="s">
        <v>400</v>
      </c>
      <c r="I375" s="44"/>
      <c r="J375" s="45"/>
      <c r="K375" s="140"/>
      <c r="L375" s="48"/>
      <c r="M375" s="46"/>
      <c r="N375" s="46"/>
      <c r="O375" s="417"/>
      <c r="P375" s="49">
        <f t="shared" si="10"/>
        <v>0</v>
      </c>
      <c r="Q375" s="49">
        <f t="shared" si="11"/>
        <v>0</v>
      </c>
    </row>
    <row r="376" spans="1:17" ht="37.5" x14ac:dyDescent="0.35">
      <c r="A376" s="11" t="s">
        <v>93</v>
      </c>
      <c r="B376" s="163" t="s">
        <v>369</v>
      </c>
      <c r="C376" s="284"/>
      <c r="D376" s="284"/>
      <c r="E376" s="284"/>
      <c r="F376" s="11"/>
      <c r="G376" s="11"/>
      <c r="H376" s="60" t="s">
        <v>401</v>
      </c>
      <c r="I376" s="44"/>
      <c r="J376" s="45"/>
      <c r="K376" s="140"/>
      <c r="L376" s="48"/>
      <c r="M376" s="46"/>
      <c r="N376" s="46"/>
      <c r="O376" s="417"/>
      <c r="P376" s="49">
        <f t="shared" si="10"/>
        <v>0</v>
      </c>
      <c r="Q376" s="49">
        <f t="shared" si="11"/>
        <v>0</v>
      </c>
    </row>
    <row r="377" spans="1:17" ht="25" x14ac:dyDescent="0.35">
      <c r="A377" s="11" t="s">
        <v>93</v>
      </c>
      <c r="B377" s="163" t="s">
        <v>369</v>
      </c>
      <c r="C377" s="284"/>
      <c r="D377" s="284"/>
      <c r="E377" s="284"/>
      <c r="F377" s="11"/>
      <c r="G377" s="11"/>
      <c r="H377" s="60" t="s">
        <v>402</v>
      </c>
      <c r="I377" s="44"/>
      <c r="J377" s="45"/>
      <c r="K377" s="140"/>
      <c r="L377" s="48"/>
      <c r="M377" s="46"/>
      <c r="N377" s="46"/>
      <c r="O377" s="417"/>
      <c r="P377" s="49">
        <f t="shared" si="10"/>
        <v>0</v>
      </c>
      <c r="Q377" s="49">
        <f t="shared" si="11"/>
        <v>0</v>
      </c>
    </row>
    <row r="378" spans="1:17" x14ac:dyDescent="0.35">
      <c r="A378" s="11" t="s">
        <v>93</v>
      </c>
      <c r="B378" s="163" t="s">
        <v>369</v>
      </c>
      <c r="C378" s="284"/>
      <c r="D378" s="284"/>
      <c r="E378" s="284"/>
      <c r="F378" s="11"/>
      <c r="G378" s="11"/>
      <c r="H378" s="62" t="s">
        <v>403</v>
      </c>
      <c r="I378" s="44"/>
      <c r="J378" s="45"/>
      <c r="K378" s="140"/>
      <c r="L378" s="48"/>
      <c r="M378" s="46"/>
      <c r="N378" s="46"/>
      <c r="O378" s="417"/>
      <c r="P378" s="49">
        <f t="shared" si="10"/>
        <v>0</v>
      </c>
      <c r="Q378" s="49">
        <f t="shared" si="11"/>
        <v>0</v>
      </c>
    </row>
    <row r="379" spans="1:17" ht="62.5" x14ac:dyDescent="0.35">
      <c r="A379" s="11" t="s">
        <v>93</v>
      </c>
      <c r="B379" s="163" t="s">
        <v>369</v>
      </c>
      <c r="C379" s="284"/>
      <c r="D379" s="284"/>
      <c r="E379" s="284"/>
      <c r="F379" s="11"/>
      <c r="G379" s="11"/>
      <c r="H379" s="60" t="s">
        <v>404</v>
      </c>
      <c r="I379" s="44"/>
      <c r="J379" s="45"/>
      <c r="K379" s="140"/>
      <c r="L379" s="48"/>
      <c r="M379" s="46"/>
      <c r="N379" s="46"/>
      <c r="O379" s="417"/>
      <c r="P379" s="49">
        <f t="shared" si="10"/>
        <v>0</v>
      </c>
      <c r="Q379" s="49">
        <f t="shared" si="11"/>
        <v>0</v>
      </c>
    </row>
    <row r="380" spans="1:17" ht="13" x14ac:dyDescent="0.35">
      <c r="A380" s="11" t="s">
        <v>93</v>
      </c>
      <c r="B380" s="163" t="s">
        <v>369</v>
      </c>
      <c r="C380" s="284"/>
      <c r="D380" s="284"/>
      <c r="E380" s="284"/>
      <c r="F380" s="11"/>
      <c r="G380" s="11"/>
      <c r="H380" s="43" t="s">
        <v>405</v>
      </c>
      <c r="I380" s="44"/>
      <c r="J380" s="58"/>
      <c r="K380" s="47"/>
      <c r="L380" s="48"/>
      <c r="M380" s="59"/>
      <c r="N380" s="59"/>
      <c r="O380" s="407"/>
      <c r="P380" s="49">
        <f t="shared" si="10"/>
        <v>0</v>
      </c>
      <c r="Q380" s="49">
        <f t="shared" si="11"/>
        <v>0</v>
      </c>
    </row>
    <row r="381" spans="1:17" ht="13" x14ac:dyDescent="0.35">
      <c r="A381" s="11" t="s">
        <v>93</v>
      </c>
      <c r="B381" s="163" t="s">
        <v>369</v>
      </c>
      <c r="C381" s="284"/>
      <c r="D381" s="284"/>
      <c r="E381" s="284"/>
      <c r="F381" s="11"/>
      <c r="G381" s="11"/>
      <c r="H381" s="57" t="s">
        <v>406</v>
      </c>
      <c r="I381" s="44"/>
      <c r="J381" s="58"/>
      <c r="K381" s="47"/>
      <c r="L381" s="48"/>
      <c r="M381" s="59"/>
      <c r="N381" s="59"/>
      <c r="O381" s="407"/>
      <c r="P381" s="49">
        <f t="shared" si="10"/>
        <v>0</v>
      </c>
      <c r="Q381" s="49">
        <f t="shared" si="11"/>
        <v>0</v>
      </c>
    </row>
    <row r="382" spans="1:17" ht="25" x14ac:dyDescent="0.35">
      <c r="A382" s="11" t="s">
        <v>93</v>
      </c>
      <c r="B382" s="163" t="s">
        <v>369</v>
      </c>
      <c r="C382" s="284"/>
      <c r="D382" s="284"/>
      <c r="E382" s="284"/>
      <c r="F382" s="11" t="s">
        <v>20</v>
      </c>
      <c r="G382" s="11"/>
      <c r="H382" s="60" t="s">
        <v>407</v>
      </c>
      <c r="I382" s="44" t="s">
        <v>186</v>
      </c>
      <c r="J382" s="58">
        <v>60</v>
      </c>
      <c r="K382" s="47">
        <v>165</v>
      </c>
      <c r="L382" s="48">
        <f>J382*K382</f>
        <v>9900</v>
      </c>
      <c r="M382" s="59">
        <v>60</v>
      </c>
      <c r="N382" s="59">
        <v>60</v>
      </c>
      <c r="O382" s="407">
        <v>165</v>
      </c>
      <c r="P382" s="49">
        <f t="shared" si="10"/>
        <v>9900</v>
      </c>
      <c r="Q382" s="49">
        <f t="shared" si="11"/>
        <v>9900</v>
      </c>
    </row>
    <row r="383" spans="1:17" x14ac:dyDescent="0.35">
      <c r="A383" s="11" t="s">
        <v>93</v>
      </c>
      <c r="B383" s="163" t="s">
        <v>369</v>
      </c>
      <c r="C383" s="284"/>
      <c r="D383" s="284"/>
      <c r="E383" s="284"/>
      <c r="F383" s="11" t="s">
        <v>26</v>
      </c>
      <c r="G383" s="11"/>
      <c r="H383" s="60" t="s">
        <v>408</v>
      </c>
      <c r="I383" s="44" t="s">
        <v>175</v>
      </c>
      <c r="J383" s="85">
        <v>6</v>
      </c>
      <c r="K383" s="47">
        <v>300</v>
      </c>
      <c r="L383" s="48">
        <f>K383*J383</f>
        <v>1800</v>
      </c>
      <c r="M383" s="86">
        <v>6</v>
      </c>
      <c r="N383" s="86">
        <v>6</v>
      </c>
      <c r="O383" s="407">
        <v>300</v>
      </c>
      <c r="P383" s="49">
        <f t="shared" si="10"/>
        <v>1800</v>
      </c>
      <c r="Q383" s="49">
        <f t="shared" si="11"/>
        <v>1800</v>
      </c>
    </row>
    <row r="384" spans="1:17" ht="25" x14ac:dyDescent="0.35">
      <c r="A384" s="11" t="s">
        <v>93</v>
      </c>
      <c r="B384" s="163" t="s">
        <v>369</v>
      </c>
      <c r="C384" s="284"/>
      <c r="D384" s="284"/>
      <c r="E384" s="284"/>
      <c r="F384" s="11" t="s">
        <v>29</v>
      </c>
      <c r="G384" s="61"/>
      <c r="H384" s="60" t="s">
        <v>409</v>
      </c>
      <c r="I384" s="44" t="s">
        <v>175</v>
      </c>
      <c r="J384" s="63">
        <v>6</v>
      </c>
      <c r="K384" s="47">
        <v>300</v>
      </c>
      <c r="L384" s="48">
        <f>J384*K384</f>
        <v>1800</v>
      </c>
      <c r="M384" s="64">
        <v>6</v>
      </c>
      <c r="N384" s="64">
        <v>6</v>
      </c>
      <c r="O384" s="407">
        <v>300</v>
      </c>
      <c r="P384" s="49">
        <f t="shared" si="10"/>
        <v>1800</v>
      </c>
      <c r="Q384" s="49">
        <f t="shared" si="11"/>
        <v>1800</v>
      </c>
    </row>
    <row r="385" spans="1:17" ht="25" x14ac:dyDescent="0.35">
      <c r="A385" s="11" t="s">
        <v>93</v>
      </c>
      <c r="B385" s="163" t="s">
        <v>369</v>
      </c>
      <c r="C385" s="284"/>
      <c r="D385" s="284"/>
      <c r="E385" s="284"/>
      <c r="F385" s="11" t="s">
        <v>32</v>
      </c>
      <c r="G385" s="11"/>
      <c r="H385" s="60" t="s">
        <v>410</v>
      </c>
      <c r="I385" s="44" t="s">
        <v>186</v>
      </c>
      <c r="J385" s="58">
        <f>2.7*8</f>
        <v>21.6</v>
      </c>
      <c r="K385" s="47">
        <v>165</v>
      </c>
      <c r="L385" s="48">
        <f>J385*K385</f>
        <v>3564.0000000000005</v>
      </c>
      <c r="M385" s="59">
        <f>2.7*8</f>
        <v>21.6</v>
      </c>
      <c r="N385" s="59">
        <f>2.7*8</f>
        <v>21.6</v>
      </c>
      <c r="O385" s="407">
        <v>165</v>
      </c>
      <c r="P385" s="49">
        <f t="shared" si="10"/>
        <v>3564.0000000000005</v>
      </c>
      <c r="Q385" s="49">
        <f t="shared" si="11"/>
        <v>3564.0000000000005</v>
      </c>
    </row>
    <row r="386" spans="1:17" x14ac:dyDescent="0.35">
      <c r="A386" s="11" t="s">
        <v>93</v>
      </c>
      <c r="B386" s="163" t="s">
        <v>369</v>
      </c>
      <c r="C386" s="284"/>
      <c r="D386" s="284"/>
      <c r="E386" s="284"/>
      <c r="F386" s="11" t="s">
        <v>36</v>
      </c>
      <c r="G386" s="11"/>
      <c r="H386" s="60" t="s">
        <v>411</v>
      </c>
      <c r="I386" s="44" t="s">
        <v>175</v>
      </c>
      <c r="J386" s="85">
        <v>6</v>
      </c>
      <c r="K386" s="47">
        <v>350</v>
      </c>
      <c r="L386" s="48">
        <f>K386*J386</f>
        <v>2100</v>
      </c>
      <c r="M386" s="86">
        <v>6</v>
      </c>
      <c r="N386" s="86">
        <v>6</v>
      </c>
      <c r="O386" s="407">
        <v>350</v>
      </c>
      <c r="P386" s="49">
        <f t="shared" si="10"/>
        <v>2100</v>
      </c>
      <c r="Q386" s="49">
        <f t="shared" si="11"/>
        <v>2100</v>
      </c>
    </row>
    <row r="387" spans="1:17" ht="13" x14ac:dyDescent="0.35">
      <c r="A387" s="11" t="s">
        <v>93</v>
      </c>
      <c r="B387" s="163" t="s">
        <v>412</v>
      </c>
      <c r="C387" s="284"/>
      <c r="D387" s="284"/>
      <c r="E387" s="284"/>
      <c r="F387" s="11"/>
      <c r="G387" s="11"/>
      <c r="H387" s="43" t="s">
        <v>95</v>
      </c>
      <c r="I387" s="44"/>
      <c r="J387" s="45"/>
      <c r="K387" s="47"/>
      <c r="L387" s="48"/>
      <c r="M387" s="46"/>
      <c r="N387" s="46"/>
      <c r="O387" s="407"/>
      <c r="P387" s="49">
        <f t="shared" si="10"/>
        <v>0</v>
      </c>
      <c r="Q387" s="49">
        <f t="shared" si="11"/>
        <v>0</v>
      </c>
    </row>
    <row r="388" spans="1:17" ht="13" x14ac:dyDescent="0.35">
      <c r="A388" s="11" t="s">
        <v>93</v>
      </c>
      <c r="B388" s="163" t="s">
        <v>412</v>
      </c>
      <c r="C388" s="284"/>
      <c r="D388" s="284"/>
      <c r="E388" s="284"/>
      <c r="F388" s="11"/>
      <c r="G388" s="11"/>
      <c r="H388" s="43" t="s">
        <v>96</v>
      </c>
      <c r="I388" s="44"/>
      <c r="J388" s="45"/>
      <c r="K388" s="47"/>
      <c r="L388" s="48"/>
      <c r="M388" s="46"/>
      <c r="N388" s="46"/>
      <c r="O388" s="407"/>
      <c r="P388" s="49">
        <f t="shared" si="10"/>
        <v>0</v>
      </c>
      <c r="Q388" s="49">
        <f t="shared" si="11"/>
        <v>0</v>
      </c>
    </row>
    <row r="389" spans="1:17" ht="13" x14ac:dyDescent="0.35">
      <c r="A389" s="11" t="s">
        <v>93</v>
      </c>
      <c r="B389" s="163" t="s">
        <v>412</v>
      </c>
      <c r="C389" s="284"/>
      <c r="D389" s="284"/>
      <c r="E389" s="284"/>
      <c r="F389" s="11"/>
      <c r="G389" s="11"/>
      <c r="H389" s="43" t="s">
        <v>413</v>
      </c>
      <c r="I389" s="44"/>
      <c r="J389" s="45"/>
      <c r="K389" s="47"/>
      <c r="L389" s="48"/>
      <c r="M389" s="46"/>
      <c r="N389" s="46"/>
      <c r="O389" s="407"/>
      <c r="P389" s="49">
        <f t="shared" si="10"/>
        <v>0</v>
      </c>
      <c r="Q389" s="49">
        <f t="shared" si="11"/>
        <v>0</v>
      </c>
    </row>
    <row r="390" spans="1:17" ht="13" x14ac:dyDescent="0.35">
      <c r="A390" s="11" t="s">
        <v>93</v>
      </c>
      <c r="B390" s="163" t="s">
        <v>412</v>
      </c>
      <c r="C390" s="284"/>
      <c r="D390" s="284"/>
      <c r="E390" s="284"/>
      <c r="F390" s="11"/>
      <c r="G390" s="11"/>
      <c r="H390" s="43" t="s">
        <v>414</v>
      </c>
      <c r="I390" s="44"/>
      <c r="J390" s="45"/>
      <c r="K390" s="47"/>
      <c r="L390" s="48"/>
      <c r="M390" s="46"/>
      <c r="N390" s="46"/>
      <c r="O390" s="407"/>
      <c r="P390" s="49">
        <f t="shared" si="10"/>
        <v>0</v>
      </c>
      <c r="Q390" s="49">
        <f t="shared" si="11"/>
        <v>0</v>
      </c>
    </row>
    <row r="391" spans="1:17" ht="13" x14ac:dyDescent="0.35">
      <c r="A391" s="11" t="s">
        <v>93</v>
      </c>
      <c r="B391" s="163" t="s">
        <v>412</v>
      </c>
      <c r="C391" s="284"/>
      <c r="D391" s="284"/>
      <c r="E391" s="284"/>
      <c r="F391" s="11"/>
      <c r="G391" s="11"/>
      <c r="H391" s="57" t="s">
        <v>100</v>
      </c>
      <c r="I391" s="44"/>
      <c r="J391" s="45"/>
      <c r="K391" s="47"/>
      <c r="L391" s="48"/>
      <c r="M391" s="46"/>
      <c r="N391" s="46"/>
      <c r="O391" s="407"/>
      <c r="P391" s="49">
        <f t="shared" si="10"/>
        <v>0</v>
      </c>
      <c r="Q391" s="49">
        <f t="shared" si="11"/>
        <v>0</v>
      </c>
    </row>
    <row r="392" spans="1:17" x14ac:dyDescent="0.35">
      <c r="A392" s="11" t="s">
        <v>93</v>
      </c>
      <c r="B392" s="163" t="s">
        <v>412</v>
      </c>
      <c r="C392" s="284"/>
      <c r="D392" s="284"/>
      <c r="E392" s="284"/>
      <c r="F392" s="11"/>
      <c r="G392" s="11"/>
      <c r="H392" s="60" t="s">
        <v>101</v>
      </c>
      <c r="I392" s="44"/>
      <c r="J392" s="45"/>
      <c r="K392" s="47"/>
      <c r="L392" s="48"/>
      <c r="M392" s="46"/>
      <c r="N392" s="46"/>
      <c r="O392" s="407"/>
      <c r="P392" s="49">
        <f t="shared" si="10"/>
        <v>0</v>
      </c>
      <c r="Q392" s="49">
        <f t="shared" si="11"/>
        <v>0</v>
      </c>
    </row>
    <row r="393" spans="1:17" ht="13" x14ac:dyDescent="0.35">
      <c r="A393" s="11" t="s">
        <v>93</v>
      </c>
      <c r="B393" s="163" t="s">
        <v>412</v>
      </c>
      <c r="C393" s="284"/>
      <c r="D393" s="284"/>
      <c r="E393" s="284"/>
      <c r="F393" s="11"/>
      <c r="G393" s="11"/>
      <c r="H393" s="141" t="s">
        <v>415</v>
      </c>
      <c r="I393" s="44"/>
      <c r="J393" s="45"/>
      <c r="K393" s="47"/>
      <c r="L393" s="48"/>
      <c r="M393" s="46"/>
      <c r="N393" s="46"/>
      <c r="O393" s="407"/>
      <c r="P393" s="49">
        <f t="shared" si="10"/>
        <v>0</v>
      </c>
      <c r="Q393" s="49">
        <f t="shared" si="11"/>
        <v>0</v>
      </c>
    </row>
    <row r="394" spans="1:17" ht="13" x14ac:dyDescent="0.35">
      <c r="A394" s="11" t="s">
        <v>93</v>
      </c>
      <c r="B394" s="163" t="s">
        <v>412</v>
      </c>
      <c r="C394" s="284"/>
      <c r="D394" s="284"/>
      <c r="E394" s="284"/>
      <c r="F394" s="11"/>
      <c r="G394" s="11"/>
      <c r="H394" s="141" t="s">
        <v>416</v>
      </c>
      <c r="I394" s="44"/>
      <c r="J394" s="45"/>
      <c r="K394" s="47"/>
      <c r="L394" s="48"/>
      <c r="M394" s="46"/>
      <c r="N394" s="46"/>
      <c r="O394" s="407"/>
      <c r="P394" s="49">
        <f t="shared" ref="P394:P457" si="12">O394*M394</f>
        <v>0</v>
      </c>
      <c r="Q394" s="49">
        <f t="shared" ref="Q394:Q457" si="13">O394*N394</f>
        <v>0</v>
      </c>
    </row>
    <row r="395" spans="1:17" ht="14.5" x14ac:dyDescent="0.35">
      <c r="A395" s="11" t="s">
        <v>93</v>
      </c>
      <c r="B395" s="163" t="s">
        <v>412</v>
      </c>
      <c r="C395" s="284"/>
      <c r="D395" s="284"/>
      <c r="E395" s="284"/>
      <c r="F395" s="11" t="s">
        <v>20</v>
      </c>
      <c r="G395" s="11"/>
      <c r="H395" s="142" t="s">
        <v>417</v>
      </c>
      <c r="I395" s="44" t="s">
        <v>110</v>
      </c>
      <c r="J395" s="45">
        <v>13</v>
      </c>
      <c r="K395" s="47">
        <v>450</v>
      </c>
      <c r="L395" s="48">
        <f>J395*K395</f>
        <v>5850</v>
      </c>
      <c r="M395" s="46">
        <v>13</v>
      </c>
      <c r="N395" s="46">
        <v>13</v>
      </c>
      <c r="O395" s="407">
        <v>450</v>
      </c>
      <c r="P395" s="49">
        <f t="shared" si="12"/>
        <v>5850</v>
      </c>
      <c r="Q395" s="49">
        <f t="shared" si="13"/>
        <v>5850</v>
      </c>
    </row>
    <row r="396" spans="1:17" ht="13" x14ac:dyDescent="0.35">
      <c r="A396" s="11" t="s">
        <v>93</v>
      </c>
      <c r="B396" s="163" t="s">
        <v>418</v>
      </c>
      <c r="C396" s="284"/>
      <c r="D396" s="284"/>
      <c r="E396" s="284"/>
      <c r="F396" s="11"/>
      <c r="G396" s="11"/>
      <c r="H396" s="43" t="s">
        <v>95</v>
      </c>
      <c r="I396" s="44"/>
      <c r="J396" s="45"/>
      <c r="K396" s="47"/>
      <c r="L396" s="48"/>
      <c r="M396" s="46"/>
      <c r="N396" s="46"/>
      <c r="O396" s="407"/>
      <c r="P396" s="49">
        <f t="shared" si="12"/>
        <v>0</v>
      </c>
      <c r="Q396" s="49">
        <f t="shared" si="13"/>
        <v>0</v>
      </c>
    </row>
    <row r="397" spans="1:17" ht="13" x14ac:dyDescent="0.35">
      <c r="A397" s="11" t="s">
        <v>93</v>
      </c>
      <c r="B397" s="163" t="s">
        <v>418</v>
      </c>
      <c r="C397" s="284"/>
      <c r="D397" s="284"/>
      <c r="E397" s="284"/>
      <c r="F397" s="11"/>
      <c r="G397" s="11"/>
      <c r="H397" s="43" t="s">
        <v>96</v>
      </c>
      <c r="I397" s="44"/>
      <c r="J397" s="45"/>
      <c r="K397" s="47"/>
      <c r="L397" s="48"/>
      <c r="M397" s="46"/>
      <c r="N397" s="46"/>
      <c r="O397" s="407"/>
      <c r="P397" s="49">
        <f t="shared" si="12"/>
        <v>0</v>
      </c>
      <c r="Q397" s="49">
        <f t="shared" si="13"/>
        <v>0</v>
      </c>
    </row>
    <row r="398" spans="1:17" ht="13" x14ac:dyDescent="0.35">
      <c r="A398" s="11" t="s">
        <v>93</v>
      </c>
      <c r="B398" s="163" t="s">
        <v>418</v>
      </c>
      <c r="C398" s="284"/>
      <c r="D398" s="284"/>
      <c r="E398" s="284"/>
      <c r="F398" s="11"/>
      <c r="G398" s="11"/>
      <c r="H398" s="43" t="s">
        <v>419</v>
      </c>
      <c r="I398" s="44"/>
      <c r="J398" s="45"/>
      <c r="K398" s="47"/>
      <c r="L398" s="48"/>
      <c r="M398" s="46"/>
      <c r="N398" s="46"/>
      <c r="O398" s="407"/>
      <c r="P398" s="49">
        <f t="shared" si="12"/>
        <v>0</v>
      </c>
      <c r="Q398" s="49">
        <f t="shared" si="13"/>
        <v>0</v>
      </c>
    </row>
    <row r="399" spans="1:17" ht="13" x14ac:dyDescent="0.35">
      <c r="A399" s="11" t="s">
        <v>93</v>
      </c>
      <c r="B399" s="163" t="s">
        <v>418</v>
      </c>
      <c r="C399" s="284"/>
      <c r="D399" s="284"/>
      <c r="E399" s="284"/>
      <c r="F399" s="11"/>
      <c r="G399" s="11"/>
      <c r="H399" s="43" t="s">
        <v>420</v>
      </c>
      <c r="I399" s="44"/>
      <c r="J399" s="45"/>
      <c r="K399" s="47"/>
      <c r="L399" s="48"/>
      <c r="M399" s="46"/>
      <c r="N399" s="46"/>
      <c r="O399" s="407"/>
      <c r="P399" s="49">
        <f t="shared" si="12"/>
        <v>0</v>
      </c>
      <c r="Q399" s="49">
        <f t="shared" si="13"/>
        <v>0</v>
      </c>
    </row>
    <row r="400" spans="1:17" ht="13" x14ac:dyDescent="0.35">
      <c r="A400" s="11" t="s">
        <v>93</v>
      </c>
      <c r="B400" s="163" t="s">
        <v>418</v>
      </c>
      <c r="C400" s="284"/>
      <c r="D400" s="284"/>
      <c r="E400" s="284"/>
      <c r="F400" s="11"/>
      <c r="G400" s="11"/>
      <c r="H400" s="57" t="s">
        <v>100</v>
      </c>
      <c r="I400" s="44"/>
      <c r="J400" s="45"/>
      <c r="K400" s="47"/>
      <c r="L400" s="48"/>
      <c r="M400" s="46"/>
      <c r="N400" s="46"/>
      <c r="O400" s="407"/>
      <c r="P400" s="49">
        <f t="shared" si="12"/>
        <v>0</v>
      </c>
      <c r="Q400" s="49">
        <f t="shared" si="13"/>
        <v>0</v>
      </c>
    </row>
    <row r="401" spans="1:17" x14ac:dyDescent="0.35">
      <c r="A401" s="11" t="s">
        <v>93</v>
      </c>
      <c r="B401" s="163" t="s">
        <v>418</v>
      </c>
      <c r="C401" s="284"/>
      <c r="D401" s="284"/>
      <c r="E401" s="284"/>
      <c r="F401" s="11"/>
      <c r="G401" s="11"/>
      <c r="H401" s="60" t="s">
        <v>101</v>
      </c>
      <c r="I401" s="44"/>
      <c r="J401" s="45"/>
      <c r="K401" s="47"/>
      <c r="L401" s="48"/>
      <c r="M401" s="46"/>
      <c r="N401" s="46"/>
      <c r="O401" s="407"/>
      <c r="P401" s="49">
        <f t="shared" si="12"/>
        <v>0</v>
      </c>
      <c r="Q401" s="49">
        <f t="shared" si="13"/>
        <v>0</v>
      </c>
    </row>
    <row r="402" spans="1:17" ht="13" x14ac:dyDescent="0.35">
      <c r="A402" s="11" t="s">
        <v>93</v>
      </c>
      <c r="B402" s="163" t="s">
        <v>418</v>
      </c>
      <c r="C402" s="284"/>
      <c r="D402" s="284"/>
      <c r="E402" s="284"/>
      <c r="F402" s="11"/>
      <c r="G402" s="11"/>
      <c r="H402" s="57" t="s">
        <v>333</v>
      </c>
      <c r="I402" s="44"/>
      <c r="J402" s="45"/>
      <c r="K402" s="47"/>
      <c r="L402" s="48"/>
      <c r="M402" s="46"/>
      <c r="N402" s="46"/>
      <c r="O402" s="407"/>
      <c r="P402" s="49">
        <f t="shared" si="12"/>
        <v>0</v>
      </c>
      <c r="Q402" s="49">
        <f t="shared" si="13"/>
        <v>0</v>
      </c>
    </row>
    <row r="403" spans="1:17" ht="38.5" customHeight="1" x14ac:dyDescent="0.35">
      <c r="A403" s="11" t="s">
        <v>93</v>
      </c>
      <c r="B403" s="163" t="s">
        <v>418</v>
      </c>
      <c r="C403" s="284"/>
      <c r="D403" s="284"/>
      <c r="E403" s="284"/>
      <c r="F403" s="11"/>
      <c r="G403" s="11"/>
      <c r="H403" s="60" t="s">
        <v>421</v>
      </c>
      <c r="I403" s="44"/>
      <c r="J403" s="117"/>
      <c r="K403" s="47"/>
      <c r="L403" s="48"/>
      <c r="M403" s="118"/>
      <c r="N403" s="118"/>
      <c r="O403" s="407"/>
      <c r="P403" s="49">
        <f t="shared" si="12"/>
        <v>0</v>
      </c>
      <c r="Q403" s="49">
        <f t="shared" si="13"/>
        <v>0</v>
      </c>
    </row>
    <row r="404" spans="1:17" x14ac:dyDescent="0.35">
      <c r="A404" s="11" t="s">
        <v>93</v>
      </c>
      <c r="B404" s="163" t="s">
        <v>418</v>
      </c>
      <c r="C404" s="284"/>
      <c r="D404" s="284"/>
      <c r="E404" s="284"/>
      <c r="F404" s="11"/>
      <c r="G404" s="11"/>
      <c r="H404" s="62" t="s">
        <v>422</v>
      </c>
      <c r="I404" s="44"/>
      <c r="J404" s="45"/>
      <c r="K404" s="47"/>
      <c r="L404" s="48"/>
      <c r="M404" s="46"/>
      <c r="N404" s="46"/>
      <c r="O404" s="407"/>
      <c r="P404" s="49">
        <f t="shared" si="12"/>
        <v>0</v>
      </c>
      <c r="Q404" s="49">
        <f t="shared" si="13"/>
        <v>0</v>
      </c>
    </row>
    <row r="405" spans="1:17" x14ac:dyDescent="0.35">
      <c r="A405" s="11" t="s">
        <v>93</v>
      </c>
      <c r="B405" s="163" t="s">
        <v>418</v>
      </c>
      <c r="C405" s="284"/>
      <c r="D405" s="284"/>
      <c r="E405" s="284"/>
      <c r="F405" s="11"/>
      <c r="G405" s="11"/>
      <c r="H405" s="62" t="s">
        <v>423</v>
      </c>
      <c r="I405" s="44"/>
      <c r="J405" s="45"/>
      <c r="K405" s="47"/>
      <c r="L405" s="48"/>
      <c r="M405" s="46"/>
      <c r="N405" s="46"/>
      <c r="O405" s="407"/>
      <c r="P405" s="49">
        <f t="shared" si="12"/>
        <v>0</v>
      </c>
      <c r="Q405" s="49">
        <f t="shared" si="13"/>
        <v>0</v>
      </c>
    </row>
    <row r="406" spans="1:17" ht="50" x14ac:dyDescent="0.35">
      <c r="A406" s="11" t="s">
        <v>93</v>
      </c>
      <c r="B406" s="163" t="s">
        <v>418</v>
      </c>
      <c r="C406" s="284"/>
      <c r="D406" s="284"/>
      <c r="E406" s="284"/>
      <c r="F406" s="11"/>
      <c r="G406" s="11"/>
      <c r="H406" s="60" t="s">
        <v>424</v>
      </c>
      <c r="I406" s="44"/>
      <c r="J406" s="45"/>
      <c r="K406" s="47"/>
      <c r="L406" s="48"/>
      <c r="M406" s="46"/>
      <c r="N406" s="46"/>
      <c r="O406" s="407"/>
      <c r="P406" s="49">
        <f t="shared" si="12"/>
        <v>0</v>
      </c>
      <c r="Q406" s="49">
        <f t="shared" si="13"/>
        <v>0</v>
      </c>
    </row>
    <row r="407" spans="1:17" x14ac:dyDescent="0.35">
      <c r="A407" s="11" t="s">
        <v>93</v>
      </c>
      <c r="B407" s="163" t="s">
        <v>418</v>
      </c>
      <c r="C407" s="284"/>
      <c r="D407" s="284"/>
      <c r="E407" s="284"/>
      <c r="F407" s="11"/>
      <c r="G407" s="11"/>
      <c r="H407" s="62" t="s">
        <v>425</v>
      </c>
      <c r="I407" s="44"/>
      <c r="J407" s="45"/>
      <c r="K407" s="47"/>
      <c r="L407" s="48"/>
      <c r="M407" s="46"/>
      <c r="N407" s="46"/>
      <c r="O407" s="407"/>
      <c r="P407" s="49">
        <f t="shared" si="12"/>
        <v>0</v>
      </c>
      <c r="Q407" s="49">
        <f t="shared" si="13"/>
        <v>0</v>
      </c>
    </row>
    <row r="408" spans="1:17" ht="25" x14ac:dyDescent="0.35">
      <c r="A408" s="11" t="s">
        <v>93</v>
      </c>
      <c r="B408" s="163" t="s">
        <v>418</v>
      </c>
      <c r="C408" s="284"/>
      <c r="D408" s="284"/>
      <c r="E408" s="284"/>
      <c r="F408" s="11"/>
      <c r="G408" s="11"/>
      <c r="H408" s="143" t="s">
        <v>426</v>
      </c>
      <c r="I408" s="44"/>
      <c r="J408" s="45"/>
      <c r="K408" s="47"/>
      <c r="L408" s="48"/>
      <c r="M408" s="46"/>
      <c r="N408" s="46"/>
      <c r="O408" s="407"/>
      <c r="P408" s="49">
        <f t="shared" si="12"/>
        <v>0</v>
      </c>
      <c r="Q408" s="49">
        <f t="shared" si="13"/>
        <v>0</v>
      </c>
    </row>
    <row r="409" spans="1:17" ht="25" x14ac:dyDescent="0.35">
      <c r="A409" s="11" t="s">
        <v>93</v>
      </c>
      <c r="B409" s="163" t="s">
        <v>418</v>
      </c>
      <c r="C409" s="284"/>
      <c r="D409" s="284"/>
      <c r="E409" s="284"/>
      <c r="F409" s="11"/>
      <c r="G409" s="11"/>
      <c r="H409" s="143" t="s">
        <v>427</v>
      </c>
      <c r="I409" s="44"/>
      <c r="J409" s="45"/>
      <c r="K409" s="47"/>
      <c r="L409" s="48"/>
      <c r="M409" s="46"/>
      <c r="N409" s="46"/>
      <c r="O409" s="407"/>
      <c r="P409" s="49">
        <f t="shared" si="12"/>
        <v>0</v>
      </c>
      <c r="Q409" s="49">
        <f t="shared" si="13"/>
        <v>0</v>
      </c>
    </row>
    <row r="410" spans="1:17" x14ac:dyDescent="0.35">
      <c r="A410" s="11" t="s">
        <v>93</v>
      </c>
      <c r="B410" s="163" t="s">
        <v>418</v>
      </c>
      <c r="C410" s="284"/>
      <c r="D410" s="284"/>
      <c r="E410" s="284"/>
      <c r="F410" s="11"/>
      <c r="G410" s="11"/>
      <c r="H410" s="62" t="s">
        <v>428</v>
      </c>
      <c r="I410" s="44"/>
      <c r="J410" s="45"/>
      <c r="K410" s="47"/>
      <c r="L410" s="48"/>
      <c r="M410" s="46"/>
      <c r="N410" s="46"/>
      <c r="O410" s="407"/>
      <c r="P410" s="49">
        <f t="shared" si="12"/>
        <v>0</v>
      </c>
      <c r="Q410" s="49">
        <f t="shared" si="13"/>
        <v>0</v>
      </c>
    </row>
    <row r="411" spans="1:17" ht="37.5" x14ac:dyDescent="0.35">
      <c r="A411" s="11" t="s">
        <v>93</v>
      </c>
      <c r="B411" s="163" t="s">
        <v>418</v>
      </c>
      <c r="C411" s="284"/>
      <c r="D411" s="284"/>
      <c r="E411" s="284"/>
      <c r="F411" s="11"/>
      <c r="G411" s="11"/>
      <c r="H411" s="143" t="s">
        <v>429</v>
      </c>
      <c r="I411" s="44"/>
      <c r="J411" s="45"/>
      <c r="K411" s="47"/>
      <c r="L411" s="48"/>
      <c r="M411" s="46"/>
      <c r="N411" s="46"/>
      <c r="O411" s="407"/>
      <c r="P411" s="49">
        <f t="shared" si="12"/>
        <v>0</v>
      </c>
      <c r="Q411" s="49">
        <f t="shared" si="13"/>
        <v>0</v>
      </c>
    </row>
    <row r="412" spans="1:17" ht="13" x14ac:dyDescent="0.35">
      <c r="A412" s="11" t="s">
        <v>93</v>
      </c>
      <c r="B412" s="163" t="s">
        <v>418</v>
      </c>
      <c r="C412" s="284"/>
      <c r="D412" s="284"/>
      <c r="E412" s="284"/>
      <c r="F412" s="11"/>
      <c r="G412" s="11"/>
      <c r="H412" s="57" t="s">
        <v>430</v>
      </c>
      <c r="I412" s="44"/>
      <c r="J412" s="45"/>
      <c r="K412" s="47"/>
      <c r="L412" s="48"/>
      <c r="M412" s="46"/>
      <c r="N412" s="46"/>
      <c r="O412" s="407"/>
      <c r="P412" s="49">
        <f t="shared" si="12"/>
        <v>0</v>
      </c>
      <c r="Q412" s="49">
        <f t="shared" si="13"/>
        <v>0</v>
      </c>
    </row>
    <row r="413" spans="1:17" ht="13" x14ac:dyDescent="0.35">
      <c r="A413" s="11" t="s">
        <v>93</v>
      </c>
      <c r="B413" s="163" t="s">
        <v>418</v>
      </c>
      <c r="C413" s="284"/>
      <c r="D413" s="284"/>
      <c r="E413" s="284"/>
      <c r="F413" s="11"/>
      <c r="G413" s="11"/>
      <c r="H413" s="57" t="s">
        <v>431</v>
      </c>
      <c r="I413" s="44"/>
      <c r="J413" s="45"/>
      <c r="K413" s="47"/>
      <c r="L413" s="48"/>
      <c r="M413" s="46"/>
      <c r="N413" s="46"/>
      <c r="O413" s="407"/>
      <c r="P413" s="49">
        <f t="shared" si="12"/>
        <v>0</v>
      </c>
      <c r="Q413" s="49">
        <f t="shared" si="13"/>
        <v>0</v>
      </c>
    </row>
    <row r="414" spans="1:17" ht="26" x14ac:dyDescent="0.35">
      <c r="A414" s="11" t="s">
        <v>93</v>
      </c>
      <c r="B414" s="163" t="s">
        <v>418</v>
      </c>
      <c r="C414" s="284"/>
      <c r="D414" s="284"/>
      <c r="E414" s="284"/>
      <c r="F414" s="11"/>
      <c r="G414" s="11"/>
      <c r="H414" s="57" t="s">
        <v>432</v>
      </c>
      <c r="I414" s="44"/>
      <c r="J414" s="45"/>
      <c r="K414" s="47"/>
      <c r="L414" s="48"/>
      <c r="M414" s="46"/>
      <c r="N414" s="46"/>
      <c r="O414" s="407"/>
      <c r="P414" s="49">
        <f t="shared" si="12"/>
        <v>0</v>
      </c>
      <c r="Q414" s="49">
        <f t="shared" si="13"/>
        <v>0</v>
      </c>
    </row>
    <row r="415" spans="1:17" ht="14.5" x14ac:dyDescent="0.35">
      <c r="A415" s="11" t="s">
        <v>93</v>
      </c>
      <c r="B415" s="163" t="s">
        <v>418</v>
      </c>
      <c r="C415" s="284"/>
      <c r="D415" s="284"/>
      <c r="E415" s="284"/>
      <c r="F415" s="11" t="s">
        <v>20</v>
      </c>
      <c r="G415" s="11"/>
      <c r="H415" s="60" t="s">
        <v>433</v>
      </c>
      <c r="I415" s="44" t="s">
        <v>110</v>
      </c>
      <c r="J415" s="45">
        <f>J336</f>
        <v>219</v>
      </c>
      <c r="K415" s="47">
        <v>85</v>
      </c>
      <c r="L415" s="48">
        <f>J415*K415</f>
        <v>18615</v>
      </c>
      <c r="M415" s="46">
        <f>M336</f>
        <v>219</v>
      </c>
      <c r="N415" s="46">
        <f>N336</f>
        <v>219</v>
      </c>
      <c r="O415" s="407">
        <v>85</v>
      </c>
      <c r="P415" s="49">
        <f t="shared" si="12"/>
        <v>18615</v>
      </c>
      <c r="Q415" s="49">
        <f t="shared" si="13"/>
        <v>18615</v>
      </c>
    </row>
    <row r="416" spans="1:17" ht="14.5" x14ac:dyDescent="0.35">
      <c r="A416" s="11" t="s">
        <v>93</v>
      </c>
      <c r="B416" s="163" t="s">
        <v>418</v>
      </c>
      <c r="C416" s="284"/>
      <c r="D416" s="284"/>
      <c r="E416" s="284"/>
      <c r="F416" s="11" t="s">
        <v>26</v>
      </c>
      <c r="G416" s="11"/>
      <c r="H416" s="60" t="s">
        <v>434</v>
      </c>
      <c r="I416" s="44" t="s">
        <v>110</v>
      </c>
      <c r="J416" s="45">
        <v>33</v>
      </c>
      <c r="K416" s="47">
        <v>85</v>
      </c>
      <c r="L416" s="48">
        <f>J416*K416</f>
        <v>2805</v>
      </c>
      <c r="M416" s="46">
        <v>33</v>
      </c>
      <c r="N416" s="46">
        <v>33</v>
      </c>
      <c r="O416" s="407">
        <v>85</v>
      </c>
      <c r="P416" s="49">
        <f t="shared" si="12"/>
        <v>2805</v>
      </c>
      <c r="Q416" s="49">
        <f t="shared" si="13"/>
        <v>2805</v>
      </c>
    </row>
    <row r="417" spans="1:17" ht="13" x14ac:dyDescent="0.35">
      <c r="A417" s="11" t="s">
        <v>93</v>
      </c>
      <c r="B417" s="163" t="s">
        <v>418</v>
      </c>
      <c r="C417" s="284"/>
      <c r="D417" s="284"/>
      <c r="E417" s="284"/>
      <c r="F417" s="11"/>
      <c r="G417" s="11"/>
      <c r="H417" s="57" t="s">
        <v>435</v>
      </c>
      <c r="I417" s="44"/>
      <c r="J417" s="45"/>
      <c r="K417" s="47"/>
      <c r="L417" s="48"/>
      <c r="M417" s="46"/>
      <c r="N417" s="46"/>
      <c r="O417" s="407"/>
      <c r="P417" s="49">
        <f t="shared" si="12"/>
        <v>0</v>
      </c>
      <c r="Q417" s="49">
        <f t="shared" si="13"/>
        <v>0</v>
      </c>
    </row>
    <row r="418" spans="1:17" ht="26" x14ac:dyDescent="0.35">
      <c r="A418" s="11" t="s">
        <v>93</v>
      </c>
      <c r="B418" s="163" t="s">
        <v>418</v>
      </c>
      <c r="C418" s="284"/>
      <c r="D418" s="284"/>
      <c r="E418" s="284"/>
      <c r="F418" s="11"/>
      <c r="G418" s="11"/>
      <c r="H418" s="57" t="s">
        <v>436</v>
      </c>
      <c r="I418" s="44"/>
      <c r="J418" s="45"/>
      <c r="K418" s="47"/>
      <c r="L418" s="48"/>
      <c r="M418" s="46"/>
      <c r="N418" s="46"/>
      <c r="O418" s="407"/>
      <c r="P418" s="49">
        <f t="shared" si="12"/>
        <v>0</v>
      </c>
      <c r="Q418" s="49">
        <f t="shared" si="13"/>
        <v>0</v>
      </c>
    </row>
    <row r="419" spans="1:17" ht="14.5" x14ac:dyDescent="0.35">
      <c r="A419" s="11" t="s">
        <v>93</v>
      </c>
      <c r="B419" s="163" t="s">
        <v>418</v>
      </c>
      <c r="C419" s="284"/>
      <c r="D419" s="284"/>
      <c r="E419" s="284"/>
      <c r="F419" s="11" t="s">
        <v>29</v>
      </c>
      <c r="G419" s="11"/>
      <c r="H419" s="60" t="s">
        <v>437</v>
      </c>
      <c r="I419" s="44" t="s">
        <v>110</v>
      </c>
      <c r="J419" s="45">
        <f>J243</f>
        <v>121</v>
      </c>
      <c r="K419" s="47">
        <v>85</v>
      </c>
      <c r="L419" s="48">
        <f>J419*K419</f>
        <v>10285</v>
      </c>
      <c r="M419" s="46">
        <f>M243</f>
        <v>121</v>
      </c>
      <c r="N419" s="46">
        <f>N243</f>
        <v>121</v>
      </c>
      <c r="O419" s="407">
        <v>85</v>
      </c>
      <c r="P419" s="49">
        <f t="shared" si="12"/>
        <v>10285</v>
      </c>
      <c r="Q419" s="49">
        <f t="shared" si="13"/>
        <v>10285</v>
      </c>
    </row>
    <row r="420" spans="1:17" ht="14.5" x14ac:dyDescent="0.35">
      <c r="A420" s="11" t="s">
        <v>93</v>
      </c>
      <c r="B420" s="163" t="s">
        <v>418</v>
      </c>
      <c r="C420" s="284"/>
      <c r="D420" s="284"/>
      <c r="E420" s="284"/>
      <c r="F420" s="11" t="s">
        <v>32</v>
      </c>
      <c r="G420" s="11"/>
      <c r="H420" s="60" t="s">
        <v>438</v>
      </c>
      <c r="I420" s="44" t="s">
        <v>110</v>
      </c>
      <c r="J420" s="45">
        <f>J246*0.3</f>
        <v>21.599999999999998</v>
      </c>
      <c r="K420" s="47">
        <v>85</v>
      </c>
      <c r="L420" s="48">
        <f>J420*K420</f>
        <v>1835.9999999999998</v>
      </c>
      <c r="M420" s="46">
        <f>M246*0.3</f>
        <v>21.599999999999998</v>
      </c>
      <c r="N420" s="46">
        <f>N246*0.3</f>
        <v>21.599999999999998</v>
      </c>
      <c r="O420" s="407">
        <v>85</v>
      </c>
      <c r="P420" s="49">
        <f t="shared" si="12"/>
        <v>1835.9999999999998</v>
      </c>
      <c r="Q420" s="49">
        <f t="shared" si="13"/>
        <v>1835.9999999999998</v>
      </c>
    </row>
    <row r="421" spans="1:17" x14ac:dyDescent="0.35">
      <c r="A421" s="11" t="s">
        <v>93</v>
      </c>
      <c r="B421" s="163" t="s">
        <v>418</v>
      </c>
      <c r="C421" s="284"/>
      <c r="D421" s="284"/>
      <c r="E421" s="284"/>
      <c r="F421" s="11" t="s">
        <v>36</v>
      </c>
      <c r="G421" s="11"/>
      <c r="H421" s="60" t="s">
        <v>439</v>
      </c>
      <c r="I421" s="44" t="s">
        <v>186</v>
      </c>
      <c r="J421" s="45">
        <v>72</v>
      </c>
      <c r="K421" s="47">
        <v>95</v>
      </c>
      <c r="L421" s="48">
        <f>J421*K421</f>
        <v>6840</v>
      </c>
      <c r="M421" s="46">
        <v>72</v>
      </c>
      <c r="N421" s="46">
        <v>72</v>
      </c>
      <c r="O421" s="407">
        <v>95</v>
      </c>
      <c r="P421" s="49">
        <f t="shared" si="12"/>
        <v>6840</v>
      </c>
      <c r="Q421" s="49">
        <f t="shared" si="13"/>
        <v>6840</v>
      </c>
    </row>
    <row r="422" spans="1:17" ht="13" x14ac:dyDescent="0.35">
      <c r="A422" s="11" t="s">
        <v>93</v>
      </c>
      <c r="B422" s="163" t="s">
        <v>418</v>
      </c>
      <c r="C422" s="284"/>
      <c r="D422" s="284"/>
      <c r="E422" s="284"/>
      <c r="F422" s="11"/>
      <c r="G422" s="134"/>
      <c r="H422" s="57" t="s">
        <v>440</v>
      </c>
      <c r="I422" s="44"/>
      <c r="J422" s="122"/>
      <c r="K422" s="121"/>
      <c r="L422" s="48"/>
      <c r="M422" s="120"/>
      <c r="N422" s="120"/>
      <c r="O422" s="413"/>
      <c r="P422" s="49">
        <f t="shared" si="12"/>
        <v>0</v>
      </c>
      <c r="Q422" s="49">
        <f t="shared" si="13"/>
        <v>0</v>
      </c>
    </row>
    <row r="423" spans="1:17" ht="26" x14ac:dyDescent="0.35">
      <c r="A423" s="11" t="s">
        <v>93</v>
      </c>
      <c r="B423" s="163" t="s">
        <v>418</v>
      </c>
      <c r="C423" s="284"/>
      <c r="D423" s="284"/>
      <c r="E423" s="284"/>
      <c r="F423" s="11"/>
      <c r="G423" s="134"/>
      <c r="H423" s="57" t="s">
        <v>441</v>
      </c>
      <c r="I423" s="44"/>
      <c r="J423" s="122"/>
      <c r="K423" s="121"/>
      <c r="L423" s="48"/>
      <c r="M423" s="120"/>
      <c r="N423" s="120"/>
      <c r="O423" s="413"/>
      <c r="P423" s="49">
        <f t="shared" si="12"/>
        <v>0</v>
      </c>
      <c r="Q423" s="49">
        <f t="shared" si="13"/>
        <v>0</v>
      </c>
    </row>
    <row r="424" spans="1:17" ht="14.5" x14ac:dyDescent="0.35">
      <c r="A424" s="11" t="s">
        <v>93</v>
      </c>
      <c r="B424" s="163" t="s">
        <v>418</v>
      </c>
      <c r="C424" s="284"/>
      <c r="D424" s="284"/>
      <c r="E424" s="284"/>
      <c r="F424" s="144" t="s">
        <v>39</v>
      </c>
      <c r="G424" s="145"/>
      <c r="H424" s="146" t="s">
        <v>442</v>
      </c>
      <c r="I424" s="147" t="s">
        <v>110</v>
      </c>
      <c r="J424" s="148">
        <v>6</v>
      </c>
      <c r="K424" s="150">
        <v>95</v>
      </c>
      <c r="L424" s="151">
        <f>J424*K424</f>
        <v>570</v>
      </c>
      <c r="M424" s="149">
        <v>6</v>
      </c>
      <c r="N424" s="149">
        <v>6</v>
      </c>
      <c r="O424" s="418">
        <v>95</v>
      </c>
      <c r="P424" s="152">
        <f t="shared" si="12"/>
        <v>570</v>
      </c>
      <c r="Q424" s="152">
        <f t="shared" si="13"/>
        <v>570</v>
      </c>
    </row>
    <row r="425" spans="1:17" ht="14.5" x14ac:dyDescent="0.35">
      <c r="A425" s="11" t="s">
        <v>93</v>
      </c>
      <c r="B425" s="163" t="s">
        <v>418</v>
      </c>
      <c r="C425" s="284"/>
      <c r="D425" s="284"/>
      <c r="E425" s="284"/>
      <c r="F425" s="11" t="s">
        <v>42</v>
      </c>
      <c r="G425" s="134"/>
      <c r="H425" s="60" t="s">
        <v>443</v>
      </c>
      <c r="I425" s="44" t="s">
        <v>110</v>
      </c>
      <c r="J425" s="122">
        <v>13</v>
      </c>
      <c r="K425" s="121">
        <v>95</v>
      </c>
      <c r="L425" s="48">
        <f>J425*K425</f>
        <v>1235</v>
      </c>
      <c r="M425" s="120">
        <v>13</v>
      </c>
      <c r="N425" s="120">
        <v>13</v>
      </c>
      <c r="O425" s="413">
        <v>95</v>
      </c>
      <c r="P425" s="49">
        <f t="shared" si="12"/>
        <v>1235</v>
      </c>
      <c r="Q425" s="49">
        <f t="shared" si="13"/>
        <v>1235</v>
      </c>
    </row>
    <row r="426" spans="1:17" ht="13" x14ac:dyDescent="0.35">
      <c r="A426" s="11" t="s">
        <v>93</v>
      </c>
      <c r="B426" s="163" t="s">
        <v>418</v>
      </c>
      <c r="C426" s="284"/>
      <c r="D426" s="284"/>
      <c r="E426" s="284"/>
      <c r="F426" s="11"/>
      <c r="G426" s="134"/>
      <c r="H426" s="57" t="s">
        <v>444</v>
      </c>
      <c r="I426" s="44"/>
      <c r="J426" s="122"/>
      <c r="K426" s="121"/>
      <c r="L426" s="48"/>
      <c r="M426" s="120"/>
      <c r="N426" s="120"/>
      <c r="O426" s="413"/>
      <c r="P426" s="49">
        <f t="shared" si="12"/>
        <v>0</v>
      </c>
      <c r="Q426" s="49">
        <f t="shared" si="13"/>
        <v>0</v>
      </c>
    </row>
    <row r="427" spans="1:17" ht="25" x14ac:dyDescent="0.35">
      <c r="A427" s="11" t="s">
        <v>93</v>
      </c>
      <c r="B427" s="163" t="s">
        <v>418</v>
      </c>
      <c r="C427" s="284"/>
      <c r="D427" s="284"/>
      <c r="E427" s="284"/>
      <c r="F427" s="11"/>
      <c r="G427" s="134"/>
      <c r="H427" s="62" t="s">
        <v>445</v>
      </c>
      <c r="I427" s="44"/>
      <c r="J427" s="122"/>
      <c r="K427" s="121"/>
      <c r="L427" s="48"/>
      <c r="M427" s="120"/>
      <c r="N427" s="120"/>
      <c r="O427" s="413"/>
      <c r="P427" s="49">
        <f t="shared" si="12"/>
        <v>0</v>
      </c>
      <c r="Q427" s="49">
        <f t="shared" si="13"/>
        <v>0</v>
      </c>
    </row>
    <row r="428" spans="1:17" ht="14.5" x14ac:dyDescent="0.35">
      <c r="A428" s="11" t="s">
        <v>93</v>
      </c>
      <c r="B428" s="163" t="s">
        <v>418</v>
      </c>
      <c r="C428" s="284"/>
      <c r="D428" s="284"/>
      <c r="E428" s="284"/>
      <c r="F428" s="11" t="s">
        <v>45</v>
      </c>
      <c r="G428" s="134"/>
      <c r="H428" s="60" t="s">
        <v>446</v>
      </c>
      <c r="I428" s="44" t="s">
        <v>110</v>
      </c>
      <c r="J428" s="122">
        <v>13</v>
      </c>
      <c r="K428" s="121">
        <v>85</v>
      </c>
      <c r="L428" s="48">
        <f>J428*K428</f>
        <v>1105</v>
      </c>
      <c r="M428" s="120">
        <v>13</v>
      </c>
      <c r="N428" s="120">
        <v>13</v>
      </c>
      <c r="O428" s="413">
        <v>85</v>
      </c>
      <c r="P428" s="49">
        <f t="shared" si="12"/>
        <v>1105</v>
      </c>
      <c r="Q428" s="49">
        <f t="shared" si="13"/>
        <v>1105</v>
      </c>
    </row>
    <row r="429" spans="1:17" x14ac:dyDescent="0.35">
      <c r="A429" s="11" t="s">
        <v>93</v>
      </c>
      <c r="B429" s="163" t="s">
        <v>418</v>
      </c>
      <c r="C429" s="284"/>
      <c r="D429" s="284"/>
      <c r="E429" s="284"/>
      <c r="F429" s="11" t="s">
        <v>48</v>
      </c>
      <c r="G429" s="134"/>
      <c r="H429" s="60" t="s">
        <v>447</v>
      </c>
      <c r="I429" s="44" t="s">
        <v>186</v>
      </c>
      <c r="J429" s="122">
        <v>73</v>
      </c>
      <c r="K429" s="121">
        <v>95</v>
      </c>
      <c r="L429" s="48">
        <f>J429*K429</f>
        <v>6935</v>
      </c>
      <c r="M429" s="120">
        <v>73</v>
      </c>
      <c r="N429" s="120">
        <v>73</v>
      </c>
      <c r="O429" s="413">
        <v>95</v>
      </c>
      <c r="P429" s="49">
        <f t="shared" si="12"/>
        <v>6935</v>
      </c>
      <c r="Q429" s="49">
        <f t="shared" si="13"/>
        <v>6935</v>
      </c>
    </row>
    <row r="430" spans="1:17" ht="13" x14ac:dyDescent="0.35">
      <c r="A430" s="11" t="s">
        <v>93</v>
      </c>
      <c r="B430" s="163" t="s">
        <v>448</v>
      </c>
      <c r="C430" s="284"/>
      <c r="D430" s="284"/>
      <c r="E430" s="284"/>
      <c r="F430" s="11"/>
      <c r="G430" s="11"/>
      <c r="H430" s="43" t="s">
        <v>95</v>
      </c>
      <c r="I430" s="44"/>
      <c r="J430" s="45"/>
      <c r="K430" s="47"/>
      <c r="L430" s="55"/>
      <c r="M430" s="46"/>
      <c r="N430" s="46"/>
      <c r="O430" s="407"/>
      <c r="P430" s="56">
        <f t="shared" si="12"/>
        <v>0</v>
      </c>
      <c r="Q430" s="56">
        <f t="shared" si="13"/>
        <v>0</v>
      </c>
    </row>
    <row r="431" spans="1:17" ht="13" x14ac:dyDescent="0.35">
      <c r="A431" s="11" t="s">
        <v>93</v>
      </c>
      <c r="B431" s="163" t="s">
        <v>448</v>
      </c>
      <c r="C431" s="284"/>
      <c r="D431" s="284"/>
      <c r="E431" s="284"/>
      <c r="F431" s="11"/>
      <c r="G431" s="11"/>
      <c r="H431" s="43" t="s">
        <v>96</v>
      </c>
      <c r="I431" s="44"/>
      <c r="J431" s="45"/>
      <c r="K431" s="47"/>
      <c r="L431" s="55"/>
      <c r="M431" s="46"/>
      <c r="N431" s="46"/>
      <c r="O431" s="407"/>
      <c r="P431" s="56">
        <f t="shared" si="12"/>
        <v>0</v>
      </c>
      <c r="Q431" s="56">
        <f t="shared" si="13"/>
        <v>0</v>
      </c>
    </row>
    <row r="432" spans="1:17" ht="13" x14ac:dyDescent="0.35">
      <c r="A432" s="11" t="s">
        <v>93</v>
      </c>
      <c r="B432" s="163" t="s">
        <v>448</v>
      </c>
      <c r="C432" s="284"/>
      <c r="D432" s="284"/>
      <c r="E432" s="284"/>
      <c r="F432" s="11"/>
      <c r="G432" s="11"/>
      <c r="H432" s="43" t="s">
        <v>449</v>
      </c>
      <c r="I432" s="44"/>
      <c r="J432" s="45"/>
      <c r="K432" s="47"/>
      <c r="L432" s="55"/>
      <c r="M432" s="46"/>
      <c r="N432" s="46"/>
      <c r="O432" s="407"/>
      <c r="P432" s="56">
        <f t="shared" si="12"/>
        <v>0</v>
      </c>
      <c r="Q432" s="56">
        <f t="shared" si="13"/>
        <v>0</v>
      </c>
    </row>
    <row r="433" spans="1:17" ht="13" x14ac:dyDescent="0.35">
      <c r="A433" s="11" t="s">
        <v>93</v>
      </c>
      <c r="B433" s="163" t="s">
        <v>448</v>
      </c>
      <c r="C433" s="284"/>
      <c r="D433" s="284"/>
      <c r="E433" s="284"/>
      <c r="F433" s="11"/>
      <c r="G433" s="11"/>
      <c r="H433" s="153" t="s">
        <v>450</v>
      </c>
      <c r="I433" s="44"/>
      <c r="J433" s="45"/>
      <c r="K433" s="47"/>
      <c r="L433" s="55"/>
      <c r="M433" s="46"/>
      <c r="N433" s="46"/>
      <c r="O433" s="407"/>
      <c r="P433" s="56">
        <f t="shared" si="12"/>
        <v>0</v>
      </c>
      <c r="Q433" s="56">
        <f t="shared" si="13"/>
        <v>0</v>
      </c>
    </row>
    <row r="434" spans="1:17" ht="13" x14ac:dyDescent="0.35">
      <c r="A434" s="11" t="s">
        <v>93</v>
      </c>
      <c r="B434" s="163" t="s">
        <v>448</v>
      </c>
      <c r="C434" s="284"/>
      <c r="D434" s="284"/>
      <c r="E434" s="284"/>
      <c r="F434" s="11"/>
      <c r="G434" s="11"/>
      <c r="H434" s="154" t="s">
        <v>100</v>
      </c>
      <c r="I434" s="44"/>
      <c r="J434" s="45"/>
      <c r="K434" s="47"/>
      <c r="L434" s="55"/>
      <c r="M434" s="46"/>
      <c r="N434" s="46"/>
      <c r="O434" s="407"/>
      <c r="P434" s="56">
        <f t="shared" si="12"/>
        <v>0</v>
      </c>
      <c r="Q434" s="56">
        <f t="shared" si="13"/>
        <v>0</v>
      </c>
    </row>
    <row r="435" spans="1:17" ht="13" x14ac:dyDescent="0.35">
      <c r="A435" s="11" t="s">
        <v>93</v>
      </c>
      <c r="B435" s="163" t="s">
        <v>448</v>
      </c>
      <c r="C435" s="284"/>
      <c r="D435" s="284"/>
      <c r="E435" s="284"/>
      <c r="F435" s="11"/>
      <c r="G435" s="11"/>
      <c r="H435" s="155" t="s">
        <v>101</v>
      </c>
      <c r="I435" s="44"/>
      <c r="J435" s="45"/>
      <c r="K435" s="47"/>
      <c r="L435" s="55"/>
      <c r="M435" s="46"/>
      <c r="N435" s="46"/>
      <c r="O435" s="407"/>
      <c r="P435" s="56">
        <f t="shared" si="12"/>
        <v>0</v>
      </c>
      <c r="Q435" s="56">
        <f t="shared" si="13"/>
        <v>0</v>
      </c>
    </row>
    <row r="436" spans="1:17" ht="13" x14ac:dyDescent="0.35">
      <c r="A436" s="11" t="s">
        <v>93</v>
      </c>
      <c r="B436" s="163" t="s">
        <v>448</v>
      </c>
      <c r="C436" s="284"/>
      <c r="D436" s="284"/>
      <c r="E436" s="284"/>
      <c r="F436" s="11"/>
      <c r="G436" s="11"/>
      <c r="H436" s="153" t="s">
        <v>451</v>
      </c>
      <c r="I436" s="44"/>
      <c r="J436" s="45"/>
      <c r="K436" s="47"/>
      <c r="L436" s="48"/>
      <c r="M436" s="46"/>
      <c r="N436" s="46"/>
      <c r="O436" s="407"/>
      <c r="P436" s="49">
        <f t="shared" si="12"/>
        <v>0</v>
      </c>
      <c r="Q436" s="49">
        <f t="shared" si="13"/>
        <v>0</v>
      </c>
    </row>
    <row r="437" spans="1:17" ht="38.5" customHeight="1" x14ac:dyDescent="0.35">
      <c r="A437" s="11" t="s">
        <v>93</v>
      </c>
      <c r="B437" s="163" t="s">
        <v>448</v>
      </c>
      <c r="C437" s="284"/>
      <c r="D437" s="284"/>
      <c r="E437" s="284"/>
      <c r="F437" s="11"/>
      <c r="G437" s="11"/>
      <c r="H437" s="156" t="s">
        <v>452</v>
      </c>
      <c r="I437" s="44"/>
      <c r="J437" s="45"/>
      <c r="K437" s="47"/>
      <c r="L437" s="48"/>
      <c r="M437" s="46"/>
      <c r="N437" s="46"/>
      <c r="O437" s="407"/>
      <c r="P437" s="49">
        <f t="shared" si="12"/>
        <v>0</v>
      </c>
      <c r="Q437" s="49">
        <f t="shared" si="13"/>
        <v>0</v>
      </c>
    </row>
    <row r="438" spans="1:17" ht="52" x14ac:dyDescent="0.35">
      <c r="A438" s="11" t="s">
        <v>93</v>
      </c>
      <c r="B438" s="163" t="s">
        <v>448</v>
      </c>
      <c r="C438" s="284"/>
      <c r="D438" s="284"/>
      <c r="E438" s="284"/>
      <c r="F438" s="11"/>
      <c r="G438" s="11"/>
      <c r="H438" s="156" t="s">
        <v>453</v>
      </c>
      <c r="I438" s="44"/>
      <c r="J438" s="45"/>
      <c r="K438" s="47"/>
      <c r="L438" s="48"/>
      <c r="M438" s="46"/>
      <c r="N438" s="46"/>
      <c r="O438" s="407"/>
      <c r="P438" s="49">
        <f t="shared" si="12"/>
        <v>0</v>
      </c>
      <c r="Q438" s="49">
        <f t="shared" si="13"/>
        <v>0</v>
      </c>
    </row>
    <row r="439" spans="1:17" ht="13" x14ac:dyDescent="0.35">
      <c r="A439" s="11" t="s">
        <v>93</v>
      </c>
      <c r="B439" s="163" t="s">
        <v>448</v>
      </c>
      <c r="C439" s="284"/>
      <c r="D439" s="284"/>
      <c r="E439" s="284"/>
      <c r="F439" s="11"/>
      <c r="G439" s="11"/>
      <c r="H439" s="157" t="s">
        <v>454</v>
      </c>
      <c r="I439" s="44"/>
      <c r="J439" s="45"/>
      <c r="K439" s="47"/>
      <c r="L439" s="48"/>
      <c r="M439" s="46"/>
      <c r="N439" s="46"/>
      <c r="O439" s="407"/>
      <c r="P439" s="49">
        <f t="shared" si="12"/>
        <v>0</v>
      </c>
      <c r="Q439" s="49">
        <f t="shared" si="13"/>
        <v>0</v>
      </c>
    </row>
    <row r="440" spans="1:17" ht="62.5" x14ac:dyDescent="0.35">
      <c r="A440" s="158" t="s">
        <v>93</v>
      </c>
      <c r="B440" s="163" t="s">
        <v>448</v>
      </c>
      <c r="C440" s="284"/>
      <c r="D440" s="284"/>
      <c r="E440" s="284"/>
      <c r="F440" s="11" t="s">
        <v>20</v>
      </c>
      <c r="G440" s="11"/>
      <c r="H440" s="159" t="s">
        <v>455</v>
      </c>
      <c r="I440" s="44" t="s">
        <v>456</v>
      </c>
      <c r="J440" s="45">
        <v>1</v>
      </c>
      <c r="K440" s="47">
        <v>4000</v>
      </c>
      <c r="L440" s="48">
        <f>J440*K440</f>
        <v>4000</v>
      </c>
      <c r="M440" s="46">
        <v>1</v>
      </c>
      <c r="N440" s="46">
        <v>1</v>
      </c>
      <c r="O440" s="407">
        <v>4000</v>
      </c>
      <c r="P440" s="49">
        <f t="shared" si="12"/>
        <v>4000</v>
      </c>
      <c r="Q440" s="49">
        <f t="shared" si="13"/>
        <v>4000</v>
      </c>
    </row>
    <row r="441" spans="1:17" ht="13" x14ac:dyDescent="0.35">
      <c r="A441" s="11" t="s">
        <v>93</v>
      </c>
      <c r="B441" s="163" t="s">
        <v>448</v>
      </c>
      <c r="C441" s="284"/>
      <c r="D441" s="284"/>
      <c r="E441" s="284"/>
      <c r="F441" s="11"/>
      <c r="G441" s="11"/>
      <c r="H441" s="157" t="s">
        <v>457</v>
      </c>
      <c r="I441" s="44"/>
      <c r="J441" s="45"/>
      <c r="K441" s="47"/>
      <c r="L441" s="48"/>
      <c r="M441" s="46"/>
      <c r="N441" s="46"/>
      <c r="O441" s="407"/>
      <c r="P441" s="49">
        <f t="shared" si="12"/>
        <v>0</v>
      </c>
      <c r="Q441" s="49">
        <f t="shared" si="13"/>
        <v>0</v>
      </c>
    </row>
    <row r="442" spans="1:17" x14ac:dyDescent="0.35">
      <c r="A442" s="11" t="s">
        <v>93</v>
      </c>
      <c r="B442" s="163" t="s">
        <v>448</v>
      </c>
      <c r="C442" s="284"/>
      <c r="D442" s="284"/>
      <c r="E442" s="284"/>
      <c r="F442" s="11" t="s">
        <v>26</v>
      </c>
      <c r="G442" s="11"/>
      <c r="H442" s="159" t="s">
        <v>458</v>
      </c>
      <c r="I442" s="44" t="s">
        <v>456</v>
      </c>
      <c r="J442" s="45">
        <v>3</v>
      </c>
      <c r="K442" s="47">
        <v>300</v>
      </c>
      <c r="L442" s="48">
        <f>J442*K442</f>
        <v>900</v>
      </c>
      <c r="M442" s="46">
        <v>3</v>
      </c>
      <c r="N442" s="46">
        <v>3</v>
      </c>
      <c r="O442" s="407">
        <v>300</v>
      </c>
      <c r="P442" s="49">
        <f t="shared" si="12"/>
        <v>900</v>
      </c>
      <c r="Q442" s="49">
        <f t="shared" si="13"/>
        <v>900</v>
      </c>
    </row>
    <row r="443" spans="1:17" x14ac:dyDescent="0.35">
      <c r="A443" s="11" t="s">
        <v>93</v>
      </c>
      <c r="B443" s="163" t="s">
        <v>448</v>
      </c>
      <c r="C443" s="284"/>
      <c r="D443" s="284"/>
      <c r="E443" s="284"/>
      <c r="F443" s="11" t="s">
        <v>29</v>
      </c>
      <c r="G443" s="11"/>
      <c r="H443" s="159" t="s">
        <v>459</v>
      </c>
      <c r="I443" s="44" t="s">
        <v>456</v>
      </c>
      <c r="J443" s="45">
        <v>6</v>
      </c>
      <c r="K443" s="47">
        <v>400</v>
      </c>
      <c r="L443" s="48">
        <f>J443*K443</f>
        <v>2400</v>
      </c>
      <c r="M443" s="46">
        <v>6</v>
      </c>
      <c r="N443" s="46">
        <v>6</v>
      </c>
      <c r="O443" s="407">
        <v>400</v>
      </c>
      <c r="P443" s="49">
        <f t="shared" si="12"/>
        <v>2400</v>
      </c>
      <c r="Q443" s="49">
        <f t="shared" si="13"/>
        <v>2400</v>
      </c>
    </row>
    <row r="444" spans="1:17" x14ac:dyDescent="0.35">
      <c r="A444" s="11" t="s">
        <v>93</v>
      </c>
      <c r="B444" s="163" t="s">
        <v>448</v>
      </c>
      <c r="C444" s="284"/>
      <c r="D444" s="284"/>
      <c r="E444" s="284"/>
      <c r="F444" s="11" t="s">
        <v>32</v>
      </c>
      <c r="G444" s="11"/>
      <c r="H444" s="159" t="s">
        <v>460</v>
      </c>
      <c r="I444" s="44" t="s">
        <v>456</v>
      </c>
      <c r="J444" s="45"/>
      <c r="K444" s="160"/>
      <c r="L444" s="48">
        <f>J444*K444</f>
        <v>0</v>
      </c>
      <c r="M444" s="46"/>
      <c r="N444" s="46"/>
      <c r="O444" s="419"/>
      <c r="P444" s="49">
        <f t="shared" si="12"/>
        <v>0</v>
      </c>
      <c r="Q444" s="49">
        <f t="shared" si="13"/>
        <v>0</v>
      </c>
    </row>
    <row r="445" spans="1:17" x14ac:dyDescent="0.35">
      <c r="A445" s="11" t="s">
        <v>93</v>
      </c>
      <c r="B445" s="163" t="s">
        <v>448</v>
      </c>
      <c r="C445" s="284"/>
      <c r="D445" s="284"/>
      <c r="E445" s="284"/>
      <c r="F445" s="11" t="s">
        <v>36</v>
      </c>
      <c r="G445" s="11"/>
      <c r="H445" s="159" t="s">
        <v>461</v>
      </c>
      <c r="I445" s="44" t="s">
        <v>456</v>
      </c>
      <c r="J445" s="45">
        <v>1</v>
      </c>
      <c r="K445" s="47">
        <v>4500</v>
      </c>
      <c r="L445" s="48">
        <f>J445*K445</f>
        <v>4500</v>
      </c>
      <c r="M445" s="46">
        <v>1</v>
      </c>
      <c r="N445" s="46">
        <v>1</v>
      </c>
      <c r="O445" s="407">
        <v>4500</v>
      </c>
      <c r="P445" s="49">
        <f t="shared" si="12"/>
        <v>4500</v>
      </c>
      <c r="Q445" s="49">
        <f t="shared" si="13"/>
        <v>4500</v>
      </c>
    </row>
    <row r="446" spans="1:17" ht="13" x14ac:dyDescent="0.35">
      <c r="A446" s="11" t="s">
        <v>93</v>
      </c>
      <c r="B446" s="163" t="s">
        <v>448</v>
      </c>
      <c r="C446" s="284"/>
      <c r="D446" s="284"/>
      <c r="E446" s="284"/>
      <c r="F446" s="11"/>
      <c r="G446" s="11"/>
      <c r="H446" s="157" t="s">
        <v>462</v>
      </c>
      <c r="I446" s="44"/>
      <c r="J446" s="45"/>
      <c r="K446" s="47"/>
      <c r="L446" s="48"/>
      <c r="M446" s="46"/>
      <c r="N446" s="46"/>
      <c r="O446" s="407"/>
      <c r="P446" s="49">
        <f t="shared" si="12"/>
        <v>0</v>
      </c>
      <c r="Q446" s="49">
        <f t="shared" si="13"/>
        <v>0</v>
      </c>
    </row>
    <row r="447" spans="1:17" x14ac:dyDescent="0.35">
      <c r="A447" s="11" t="s">
        <v>93</v>
      </c>
      <c r="B447" s="163" t="s">
        <v>448</v>
      </c>
      <c r="C447" s="284"/>
      <c r="D447" s="284"/>
      <c r="E447" s="284"/>
      <c r="F447" s="11" t="s">
        <v>39</v>
      </c>
      <c r="G447" s="11"/>
      <c r="H447" s="159" t="s">
        <v>463</v>
      </c>
      <c r="I447" s="44" t="s">
        <v>456</v>
      </c>
      <c r="J447" s="45">
        <v>2</v>
      </c>
      <c r="K447" s="47">
        <v>1500</v>
      </c>
      <c r="L447" s="48">
        <f>J447*K447</f>
        <v>3000</v>
      </c>
      <c r="M447" s="46">
        <v>2</v>
      </c>
      <c r="N447" s="46">
        <v>2</v>
      </c>
      <c r="O447" s="407">
        <v>1500</v>
      </c>
      <c r="P447" s="49">
        <f t="shared" si="12"/>
        <v>3000</v>
      </c>
      <c r="Q447" s="49">
        <f t="shared" si="13"/>
        <v>3000</v>
      </c>
    </row>
    <row r="448" spans="1:17" ht="13" x14ac:dyDescent="0.35">
      <c r="A448" s="11" t="s">
        <v>93</v>
      </c>
      <c r="B448" s="163" t="s">
        <v>448</v>
      </c>
      <c r="C448" s="284"/>
      <c r="D448" s="284"/>
      <c r="E448" s="284"/>
      <c r="F448" s="11"/>
      <c r="G448" s="11"/>
      <c r="H448" s="157" t="s">
        <v>464</v>
      </c>
      <c r="I448" s="44"/>
      <c r="J448" s="45"/>
      <c r="K448" s="47"/>
      <c r="L448" s="48"/>
      <c r="M448" s="46"/>
      <c r="N448" s="46"/>
      <c r="O448" s="407"/>
      <c r="P448" s="49">
        <f t="shared" si="12"/>
        <v>0</v>
      </c>
      <c r="Q448" s="49">
        <f t="shared" si="13"/>
        <v>0</v>
      </c>
    </row>
    <row r="449" spans="1:17" x14ac:dyDescent="0.35">
      <c r="A449" s="11" t="s">
        <v>93</v>
      </c>
      <c r="B449" s="163" t="s">
        <v>448</v>
      </c>
      <c r="C449" s="284"/>
      <c r="D449" s="284"/>
      <c r="E449" s="284"/>
      <c r="F449" s="11" t="s">
        <v>42</v>
      </c>
      <c r="G449" s="11"/>
      <c r="H449" s="159" t="s">
        <v>465</v>
      </c>
      <c r="I449" s="44" t="s">
        <v>456</v>
      </c>
      <c r="J449" s="45">
        <v>1</v>
      </c>
      <c r="K449" s="47">
        <v>3000</v>
      </c>
      <c r="L449" s="48">
        <f>J449*K449</f>
        <v>3000</v>
      </c>
      <c r="M449" s="46">
        <v>1</v>
      </c>
      <c r="N449" s="46">
        <v>1</v>
      </c>
      <c r="O449" s="407">
        <v>3000</v>
      </c>
      <c r="P449" s="49">
        <f t="shared" si="12"/>
        <v>3000</v>
      </c>
      <c r="Q449" s="49">
        <f t="shared" si="13"/>
        <v>3000</v>
      </c>
    </row>
    <row r="450" spans="1:17" ht="13" x14ac:dyDescent="0.35">
      <c r="A450" s="11" t="s">
        <v>93</v>
      </c>
      <c r="B450" s="163" t="s">
        <v>448</v>
      </c>
      <c r="C450" s="284"/>
      <c r="D450" s="284"/>
      <c r="E450" s="284"/>
      <c r="F450" s="11"/>
      <c r="G450" s="11"/>
      <c r="H450" s="157" t="s">
        <v>466</v>
      </c>
      <c r="I450" s="44"/>
      <c r="J450" s="45"/>
      <c r="K450" s="47"/>
      <c r="L450" s="48"/>
      <c r="M450" s="46"/>
      <c r="N450" s="46"/>
      <c r="O450" s="407"/>
      <c r="P450" s="49">
        <f t="shared" si="12"/>
        <v>0</v>
      </c>
      <c r="Q450" s="49">
        <f t="shared" si="13"/>
        <v>0</v>
      </c>
    </row>
    <row r="451" spans="1:17" x14ac:dyDescent="0.35">
      <c r="A451" s="11" t="s">
        <v>93</v>
      </c>
      <c r="B451" s="163" t="s">
        <v>448</v>
      </c>
      <c r="C451" s="284"/>
      <c r="D451" s="284"/>
      <c r="E451" s="284"/>
      <c r="F451" s="11" t="s">
        <v>45</v>
      </c>
      <c r="G451" s="11"/>
      <c r="H451" s="159" t="s">
        <v>467</v>
      </c>
      <c r="I451" s="44" t="s">
        <v>468</v>
      </c>
      <c r="J451" s="45">
        <v>14</v>
      </c>
      <c r="K451" s="47">
        <v>120</v>
      </c>
      <c r="L451" s="48">
        <f>J451*K451</f>
        <v>1680</v>
      </c>
      <c r="M451" s="46">
        <v>14</v>
      </c>
      <c r="N451" s="46">
        <v>14</v>
      </c>
      <c r="O451" s="407">
        <v>120</v>
      </c>
      <c r="P451" s="49">
        <f t="shared" si="12"/>
        <v>1680</v>
      </c>
      <c r="Q451" s="49">
        <f t="shared" si="13"/>
        <v>1680</v>
      </c>
    </row>
    <row r="452" spans="1:17" ht="13" x14ac:dyDescent="0.35">
      <c r="A452" s="11" t="s">
        <v>93</v>
      </c>
      <c r="B452" s="163" t="s">
        <v>448</v>
      </c>
      <c r="C452" s="284"/>
      <c r="D452" s="284"/>
      <c r="E452" s="284"/>
      <c r="F452" s="11"/>
      <c r="G452" s="11"/>
      <c r="H452" s="157" t="s">
        <v>469</v>
      </c>
      <c r="I452" s="44"/>
      <c r="J452" s="45"/>
      <c r="K452" s="47"/>
      <c r="L452" s="48"/>
      <c r="M452" s="46"/>
      <c r="N452" s="46"/>
      <c r="O452" s="407"/>
      <c r="P452" s="49">
        <f t="shared" si="12"/>
        <v>0</v>
      </c>
      <c r="Q452" s="49">
        <f t="shared" si="13"/>
        <v>0</v>
      </c>
    </row>
    <row r="453" spans="1:17" ht="37.5" x14ac:dyDescent="0.35">
      <c r="A453" s="11" t="s">
        <v>93</v>
      </c>
      <c r="B453" s="163" t="s">
        <v>448</v>
      </c>
      <c r="C453" s="284"/>
      <c r="D453" s="284"/>
      <c r="E453" s="284"/>
      <c r="F453" s="11"/>
      <c r="G453" s="11"/>
      <c r="H453" s="159" t="s">
        <v>470</v>
      </c>
      <c r="I453" s="44"/>
      <c r="J453" s="45"/>
      <c r="K453" s="47"/>
      <c r="L453" s="48"/>
      <c r="M453" s="46"/>
      <c r="N453" s="46"/>
      <c r="O453" s="407"/>
      <c r="P453" s="49">
        <f t="shared" si="12"/>
        <v>0</v>
      </c>
      <c r="Q453" s="49">
        <f t="shared" si="13"/>
        <v>0</v>
      </c>
    </row>
    <row r="454" spans="1:17" x14ac:dyDescent="0.35">
      <c r="A454" s="11" t="s">
        <v>93</v>
      </c>
      <c r="B454" s="163" t="s">
        <v>448</v>
      </c>
      <c r="C454" s="284"/>
      <c r="D454" s="284"/>
      <c r="E454" s="284"/>
      <c r="F454" s="11" t="s">
        <v>48</v>
      </c>
      <c r="G454" s="11"/>
      <c r="H454" s="159" t="s">
        <v>471</v>
      </c>
      <c r="I454" s="44" t="s">
        <v>186</v>
      </c>
      <c r="J454" s="45">
        <v>40</v>
      </c>
      <c r="K454" s="47">
        <v>145</v>
      </c>
      <c r="L454" s="48">
        <f>J454*K454</f>
        <v>5800</v>
      </c>
      <c r="M454" s="46">
        <v>40</v>
      </c>
      <c r="N454" s="46">
        <v>40</v>
      </c>
      <c r="O454" s="407">
        <v>145</v>
      </c>
      <c r="P454" s="49">
        <f t="shared" si="12"/>
        <v>5800</v>
      </c>
      <c r="Q454" s="49">
        <f t="shared" si="13"/>
        <v>5800</v>
      </c>
    </row>
    <row r="455" spans="1:17" ht="25" x14ac:dyDescent="0.35">
      <c r="A455" s="11" t="s">
        <v>93</v>
      </c>
      <c r="B455" s="163" t="s">
        <v>448</v>
      </c>
      <c r="C455" s="284"/>
      <c r="D455" s="284"/>
      <c r="E455" s="284"/>
      <c r="F455" s="11"/>
      <c r="G455" s="11"/>
      <c r="H455" s="159" t="s">
        <v>472</v>
      </c>
      <c r="I455" s="44"/>
      <c r="J455" s="45"/>
      <c r="K455" s="47"/>
      <c r="L455" s="48"/>
      <c r="M455" s="46"/>
      <c r="N455" s="46"/>
      <c r="O455" s="407"/>
      <c r="P455" s="49">
        <f t="shared" si="12"/>
        <v>0</v>
      </c>
      <c r="Q455" s="49">
        <f t="shared" si="13"/>
        <v>0</v>
      </c>
    </row>
    <row r="456" spans="1:17" x14ac:dyDescent="0.35">
      <c r="A456" s="11" t="s">
        <v>93</v>
      </c>
      <c r="B456" s="163" t="s">
        <v>448</v>
      </c>
      <c r="C456" s="284"/>
      <c r="D456" s="284"/>
      <c r="E456" s="284"/>
      <c r="F456" s="11" t="s">
        <v>51</v>
      </c>
      <c r="G456" s="11"/>
      <c r="H456" s="159" t="s">
        <v>471</v>
      </c>
      <c r="I456" s="44" t="s">
        <v>456</v>
      </c>
      <c r="J456" s="45">
        <v>2</v>
      </c>
      <c r="K456" s="47">
        <v>300</v>
      </c>
      <c r="L456" s="48">
        <f>J456*K456</f>
        <v>600</v>
      </c>
      <c r="M456" s="46">
        <v>2</v>
      </c>
      <c r="N456" s="46">
        <v>2</v>
      </c>
      <c r="O456" s="407">
        <v>300</v>
      </c>
      <c r="P456" s="49">
        <f t="shared" si="12"/>
        <v>600</v>
      </c>
      <c r="Q456" s="49">
        <f t="shared" si="13"/>
        <v>600</v>
      </c>
    </row>
    <row r="457" spans="1:17" ht="25" x14ac:dyDescent="0.35">
      <c r="A457" s="11" t="s">
        <v>93</v>
      </c>
      <c r="B457" s="163" t="s">
        <v>448</v>
      </c>
      <c r="C457" s="284"/>
      <c r="D457" s="284"/>
      <c r="E457" s="284"/>
      <c r="F457" s="11"/>
      <c r="G457" s="11"/>
      <c r="H457" s="159" t="s">
        <v>473</v>
      </c>
      <c r="I457" s="44"/>
      <c r="J457" s="45"/>
      <c r="K457" s="47"/>
      <c r="L457" s="48"/>
      <c r="M457" s="46"/>
      <c r="N457" s="46"/>
      <c r="O457" s="407"/>
      <c r="P457" s="49">
        <f t="shared" si="12"/>
        <v>0</v>
      </c>
      <c r="Q457" s="49">
        <f t="shared" si="13"/>
        <v>0</v>
      </c>
    </row>
    <row r="458" spans="1:17" x14ac:dyDescent="0.35">
      <c r="A458" s="11" t="s">
        <v>93</v>
      </c>
      <c r="B458" s="163" t="s">
        <v>448</v>
      </c>
      <c r="C458" s="284"/>
      <c r="D458" s="284"/>
      <c r="E458" s="284"/>
      <c r="F458" s="11" t="s">
        <v>53</v>
      </c>
      <c r="G458" s="11"/>
      <c r="H458" s="159" t="s">
        <v>474</v>
      </c>
      <c r="I458" s="44" t="s">
        <v>186</v>
      </c>
      <c r="J458" s="45">
        <v>40</v>
      </c>
      <c r="K458" s="47">
        <v>20</v>
      </c>
      <c r="L458" s="48">
        <f>J458*K458</f>
        <v>800</v>
      </c>
      <c r="M458" s="46">
        <v>40</v>
      </c>
      <c r="N458" s="46">
        <v>40</v>
      </c>
      <c r="O458" s="407">
        <v>20</v>
      </c>
      <c r="P458" s="49">
        <f t="shared" ref="P458:P521" si="14">O458*M458</f>
        <v>800</v>
      </c>
      <c r="Q458" s="49">
        <f t="shared" ref="Q458:Q521" si="15">O458*N458</f>
        <v>800</v>
      </c>
    </row>
    <row r="459" spans="1:17" ht="13" x14ac:dyDescent="0.35">
      <c r="A459" s="11" t="s">
        <v>93</v>
      </c>
      <c r="B459" s="163" t="s">
        <v>448</v>
      </c>
      <c r="C459" s="284"/>
      <c r="D459" s="284"/>
      <c r="E459" s="284"/>
      <c r="F459" s="11"/>
      <c r="G459" s="11"/>
      <c r="H459" s="156" t="s">
        <v>475</v>
      </c>
      <c r="I459" s="44"/>
      <c r="J459" s="45"/>
      <c r="K459" s="47"/>
      <c r="L459" s="48"/>
      <c r="M459" s="46"/>
      <c r="N459" s="46"/>
      <c r="O459" s="407"/>
      <c r="P459" s="49">
        <f t="shared" si="14"/>
        <v>0</v>
      </c>
      <c r="Q459" s="49">
        <f t="shared" si="15"/>
        <v>0</v>
      </c>
    </row>
    <row r="460" spans="1:17" ht="37.5" x14ac:dyDescent="0.35">
      <c r="A460" s="11" t="s">
        <v>93</v>
      </c>
      <c r="B460" s="163" t="s">
        <v>448</v>
      </c>
      <c r="C460" s="284"/>
      <c r="D460" s="284"/>
      <c r="E460" s="284"/>
      <c r="F460" s="11"/>
      <c r="G460" s="11"/>
      <c r="H460" s="159" t="s">
        <v>476</v>
      </c>
      <c r="I460" s="44"/>
      <c r="J460" s="45"/>
      <c r="K460" s="47"/>
      <c r="L460" s="48"/>
      <c r="M460" s="46"/>
      <c r="N460" s="46"/>
      <c r="O460" s="407"/>
      <c r="P460" s="49">
        <f t="shared" si="14"/>
        <v>0</v>
      </c>
      <c r="Q460" s="49">
        <f t="shared" si="15"/>
        <v>0</v>
      </c>
    </row>
    <row r="461" spans="1:17" x14ac:dyDescent="0.35">
      <c r="A461" s="11" t="s">
        <v>93</v>
      </c>
      <c r="B461" s="163" t="s">
        <v>448</v>
      </c>
      <c r="C461" s="284"/>
      <c r="D461" s="284"/>
      <c r="E461" s="284"/>
      <c r="F461" s="11" t="s">
        <v>55</v>
      </c>
      <c r="G461" s="11"/>
      <c r="H461" s="159" t="s">
        <v>477</v>
      </c>
      <c r="I461" s="44" t="s">
        <v>478</v>
      </c>
      <c r="J461" s="45">
        <v>7.1999999999999993</v>
      </c>
      <c r="K461" s="47">
        <v>165</v>
      </c>
      <c r="L461" s="48">
        <f>J461*K461</f>
        <v>1187.9999999999998</v>
      </c>
      <c r="M461" s="46">
        <v>7.1999999999999993</v>
      </c>
      <c r="N461" s="46">
        <v>7.1999999999999993</v>
      </c>
      <c r="O461" s="407">
        <v>165</v>
      </c>
      <c r="P461" s="49">
        <f t="shared" si="14"/>
        <v>1187.9999999999998</v>
      </c>
      <c r="Q461" s="49">
        <f t="shared" si="15"/>
        <v>1187.9999999999998</v>
      </c>
    </row>
    <row r="462" spans="1:17" x14ac:dyDescent="0.35">
      <c r="A462" s="11" t="s">
        <v>93</v>
      </c>
      <c r="B462" s="163" t="s">
        <v>448</v>
      </c>
      <c r="C462" s="284"/>
      <c r="D462" s="284"/>
      <c r="E462" s="284"/>
      <c r="F462" s="11" t="s">
        <v>58</v>
      </c>
      <c r="G462" s="11"/>
      <c r="H462" s="159" t="s">
        <v>479</v>
      </c>
      <c r="I462" s="44" t="s">
        <v>478</v>
      </c>
      <c r="J462" s="45"/>
      <c r="K462" s="47"/>
      <c r="L462" s="48"/>
      <c r="M462" s="46"/>
      <c r="N462" s="46"/>
      <c r="O462" s="407"/>
      <c r="P462" s="49">
        <f t="shared" si="14"/>
        <v>0</v>
      </c>
      <c r="Q462" s="49">
        <f t="shared" si="15"/>
        <v>0</v>
      </c>
    </row>
    <row r="463" spans="1:17" x14ac:dyDescent="0.35">
      <c r="A463" s="11" t="s">
        <v>93</v>
      </c>
      <c r="B463" s="163" t="s">
        <v>448</v>
      </c>
      <c r="C463" s="284"/>
      <c r="D463" s="284"/>
      <c r="E463" s="284"/>
      <c r="F463" s="11" t="s">
        <v>87</v>
      </c>
      <c r="G463" s="11"/>
      <c r="H463" s="159" t="s">
        <v>480</v>
      </c>
      <c r="I463" s="44" t="s">
        <v>478</v>
      </c>
      <c r="J463" s="45"/>
      <c r="K463" s="47"/>
      <c r="L463" s="48"/>
      <c r="M463" s="46"/>
      <c r="N463" s="46"/>
      <c r="O463" s="407"/>
      <c r="P463" s="49">
        <f t="shared" si="14"/>
        <v>0</v>
      </c>
      <c r="Q463" s="49">
        <f t="shared" si="15"/>
        <v>0</v>
      </c>
    </row>
    <row r="464" spans="1:17" x14ac:dyDescent="0.35">
      <c r="A464" s="11" t="s">
        <v>93</v>
      </c>
      <c r="B464" s="163" t="s">
        <v>448</v>
      </c>
      <c r="C464" s="284"/>
      <c r="D464" s="284"/>
      <c r="E464" s="284"/>
      <c r="F464" s="11" t="s">
        <v>90</v>
      </c>
      <c r="G464" s="11"/>
      <c r="H464" s="159" t="s">
        <v>481</v>
      </c>
      <c r="I464" s="44" t="s">
        <v>478</v>
      </c>
      <c r="J464" s="45"/>
      <c r="K464" s="47"/>
      <c r="L464" s="48"/>
      <c r="M464" s="46"/>
      <c r="N464" s="46"/>
      <c r="O464" s="407"/>
      <c r="P464" s="49">
        <f t="shared" si="14"/>
        <v>0</v>
      </c>
      <c r="Q464" s="49">
        <f t="shared" si="15"/>
        <v>0</v>
      </c>
    </row>
    <row r="465" spans="1:17" ht="13" x14ac:dyDescent="0.35">
      <c r="A465" s="11" t="s">
        <v>93</v>
      </c>
      <c r="B465" s="163" t="s">
        <v>448</v>
      </c>
      <c r="C465" s="284"/>
      <c r="D465" s="284"/>
      <c r="E465" s="284"/>
      <c r="F465" s="11"/>
      <c r="G465" s="11"/>
      <c r="H465" s="156" t="s">
        <v>482</v>
      </c>
      <c r="I465" s="44"/>
      <c r="J465" s="45"/>
      <c r="K465" s="47"/>
      <c r="L465" s="48"/>
      <c r="M465" s="46"/>
      <c r="N465" s="46"/>
      <c r="O465" s="407"/>
      <c r="P465" s="49">
        <f t="shared" si="14"/>
        <v>0</v>
      </c>
      <c r="Q465" s="49">
        <f t="shared" si="15"/>
        <v>0</v>
      </c>
    </row>
    <row r="466" spans="1:17" x14ac:dyDescent="0.35">
      <c r="A466" s="11" t="s">
        <v>93</v>
      </c>
      <c r="B466" s="163" t="s">
        <v>448</v>
      </c>
      <c r="C466" s="284"/>
      <c r="D466" s="284"/>
      <c r="E466" s="284"/>
      <c r="F466" s="11" t="s">
        <v>187</v>
      </c>
      <c r="G466" s="11"/>
      <c r="H466" s="159" t="s">
        <v>483</v>
      </c>
      <c r="I466" s="44" t="s">
        <v>186</v>
      </c>
      <c r="J466" s="45">
        <v>40</v>
      </c>
      <c r="K466" s="47">
        <v>3.75</v>
      </c>
      <c r="L466" s="48">
        <f>J466*K466</f>
        <v>150</v>
      </c>
      <c r="M466" s="46">
        <v>40</v>
      </c>
      <c r="N466" s="46">
        <v>40</v>
      </c>
      <c r="O466" s="407">
        <v>3.75</v>
      </c>
      <c r="P466" s="49">
        <f t="shared" si="14"/>
        <v>150</v>
      </c>
      <c r="Q466" s="49">
        <f t="shared" si="15"/>
        <v>150</v>
      </c>
    </row>
    <row r="467" spans="1:17" x14ac:dyDescent="0.35">
      <c r="A467" s="11" t="s">
        <v>93</v>
      </c>
      <c r="B467" s="163" t="s">
        <v>448</v>
      </c>
      <c r="C467" s="284"/>
      <c r="D467" s="284"/>
      <c r="E467" s="284"/>
      <c r="F467" s="11" t="s">
        <v>484</v>
      </c>
      <c r="G467" s="11"/>
      <c r="H467" s="159" t="s">
        <v>485</v>
      </c>
      <c r="I467" s="44" t="s">
        <v>456</v>
      </c>
      <c r="J467" s="45"/>
      <c r="K467" s="47"/>
      <c r="L467" s="48">
        <v>0</v>
      </c>
      <c r="M467" s="46"/>
      <c r="N467" s="46"/>
      <c r="O467" s="407"/>
      <c r="P467" s="49">
        <f t="shared" si="14"/>
        <v>0</v>
      </c>
      <c r="Q467" s="49">
        <f t="shared" si="15"/>
        <v>0</v>
      </c>
    </row>
    <row r="468" spans="1:17" ht="13" x14ac:dyDescent="0.35">
      <c r="A468" s="11" t="s">
        <v>93</v>
      </c>
      <c r="B468" s="163" t="s">
        <v>448</v>
      </c>
      <c r="C468" s="284"/>
      <c r="D468" s="284"/>
      <c r="E468" s="284"/>
      <c r="F468" s="11"/>
      <c r="G468" s="11"/>
      <c r="H468" s="156" t="s">
        <v>486</v>
      </c>
      <c r="I468" s="44"/>
      <c r="J468" s="45"/>
      <c r="K468" s="47"/>
      <c r="L468" s="48"/>
      <c r="M468" s="46"/>
      <c r="N468" s="46"/>
      <c r="O468" s="407"/>
      <c r="P468" s="49">
        <f t="shared" si="14"/>
        <v>0</v>
      </c>
      <c r="Q468" s="49">
        <f t="shared" si="15"/>
        <v>0</v>
      </c>
    </row>
    <row r="469" spans="1:17" x14ac:dyDescent="0.35">
      <c r="A469" s="11" t="s">
        <v>93</v>
      </c>
      <c r="B469" s="163" t="s">
        <v>448</v>
      </c>
      <c r="C469" s="284"/>
      <c r="D469" s="284"/>
      <c r="E469" s="284"/>
      <c r="F469" s="11" t="s">
        <v>487</v>
      </c>
      <c r="G469" s="11"/>
      <c r="H469" s="159" t="s">
        <v>488</v>
      </c>
      <c r="I469" s="44" t="s">
        <v>186</v>
      </c>
      <c r="J469" s="45"/>
      <c r="K469" s="160"/>
      <c r="L469" s="48">
        <v>0</v>
      </c>
      <c r="M469" s="46"/>
      <c r="N469" s="46"/>
      <c r="O469" s="419"/>
      <c r="P469" s="49">
        <f t="shared" si="14"/>
        <v>0</v>
      </c>
      <c r="Q469" s="49">
        <f t="shared" si="15"/>
        <v>0</v>
      </c>
    </row>
    <row r="470" spans="1:17" x14ac:dyDescent="0.35">
      <c r="A470" s="11" t="s">
        <v>93</v>
      </c>
      <c r="B470" s="163" t="s">
        <v>448</v>
      </c>
      <c r="C470" s="284"/>
      <c r="D470" s="284"/>
      <c r="E470" s="284"/>
      <c r="F470" s="11" t="s">
        <v>489</v>
      </c>
      <c r="G470" s="11"/>
      <c r="H470" s="159" t="s">
        <v>490</v>
      </c>
      <c r="I470" s="44" t="s">
        <v>186</v>
      </c>
      <c r="J470" s="45">
        <v>10</v>
      </c>
      <c r="K470" s="47">
        <v>60</v>
      </c>
      <c r="L470" s="48">
        <f>J470*K470</f>
        <v>600</v>
      </c>
      <c r="M470" s="46">
        <v>10</v>
      </c>
      <c r="N470" s="46">
        <v>10</v>
      </c>
      <c r="O470" s="407">
        <v>60</v>
      </c>
      <c r="P470" s="49">
        <f t="shared" si="14"/>
        <v>600</v>
      </c>
      <c r="Q470" s="49">
        <f t="shared" si="15"/>
        <v>600</v>
      </c>
    </row>
    <row r="471" spans="1:17" x14ac:dyDescent="0.35">
      <c r="A471" s="11" t="s">
        <v>93</v>
      </c>
      <c r="B471" s="163" t="s">
        <v>448</v>
      </c>
      <c r="C471" s="284"/>
      <c r="D471" s="284"/>
      <c r="E471" s="284"/>
      <c r="F471" s="11" t="s">
        <v>491</v>
      </c>
      <c r="G471" s="11"/>
      <c r="H471" s="159" t="s">
        <v>492</v>
      </c>
      <c r="I471" s="44" t="s">
        <v>186</v>
      </c>
      <c r="J471" s="45">
        <v>10</v>
      </c>
      <c r="K471" s="47">
        <v>30</v>
      </c>
      <c r="L471" s="48">
        <f>J471*K471</f>
        <v>300</v>
      </c>
      <c r="M471" s="46">
        <v>10</v>
      </c>
      <c r="N471" s="46">
        <v>10</v>
      </c>
      <c r="O471" s="407">
        <v>30</v>
      </c>
      <c r="P471" s="49">
        <f t="shared" si="14"/>
        <v>300</v>
      </c>
      <c r="Q471" s="49">
        <f t="shared" si="15"/>
        <v>300</v>
      </c>
    </row>
    <row r="472" spans="1:17" ht="13" x14ac:dyDescent="0.35">
      <c r="A472" s="11" t="s">
        <v>93</v>
      </c>
      <c r="B472" s="163" t="s">
        <v>448</v>
      </c>
      <c r="C472" s="284"/>
      <c r="D472" s="284"/>
      <c r="E472" s="284"/>
      <c r="F472" s="11"/>
      <c r="G472" s="11"/>
      <c r="H472" s="156" t="s">
        <v>493</v>
      </c>
      <c r="I472" s="44"/>
      <c r="J472" s="45"/>
      <c r="K472" s="47"/>
      <c r="L472" s="48"/>
      <c r="M472" s="46"/>
      <c r="N472" s="46"/>
      <c r="O472" s="407"/>
      <c r="P472" s="49">
        <f t="shared" si="14"/>
        <v>0</v>
      </c>
      <c r="Q472" s="49">
        <f t="shared" si="15"/>
        <v>0</v>
      </c>
    </row>
    <row r="473" spans="1:17" x14ac:dyDescent="0.35">
      <c r="A473" s="11" t="s">
        <v>93</v>
      </c>
      <c r="B473" s="163" t="s">
        <v>448</v>
      </c>
      <c r="C473" s="284"/>
      <c r="D473" s="284"/>
      <c r="E473" s="284"/>
      <c r="F473" s="11" t="s">
        <v>494</v>
      </c>
      <c r="G473" s="11"/>
      <c r="H473" s="159" t="s">
        <v>495</v>
      </c>
      <c r="I473" s="44" t="s">
        <v>186</v>
      </c>
      <c r="J473" s="45">
        <v>20</v>
      </c>
      <c r="K473" s="47">
        <v>4.2</v>
      </c>
      <c r="L473" s="48">
        <f>J473*K473</f>
        <v>84</v>
      </c>
      <c r="M473" s="46">
        <v>20</v>
      </c>
      <c r="N473" s="46">
        <v>20</v>
      </c>
      <c r="O473" s="407">
        <v>4.2</v>
      </c>
      <c r="P473" s="49">
        <f t="shared" si="14"/>
        <v>84</v>
      </c>
      <c r="Q473" s="49">
        <f t="shared" si="15"/>
        <v>84</v>
      </c>
    </row>
    <row r="474" spans="1:17" ht="26" x14ac:dyDescent="0.35">
      <c r="A474" s="11" t="s">
        <v>93</v>
      </c>
      <c r="B474" s="163" t="s">
        <v>448</v>
      </c>
      <c r="C474" s="284"/>
      <c r="D474" s="284"/>
      <c r="E474" s="284"/>
      <c r="F474" s="11"/>
      <c r="G474" s="11"/>
      <c r="H474" s="156" t="s">
        <v>496</v>
      </c>
      <c r="I474" s="44"/>
      <c r="J474" s="45"/>
      <c r="K474" s="47"/>
      <c r="L474" s="48"/>
      <c r="M474" s="46"/>
      <c r="N474" s="46"/>
      <c r="O474" s="407"/>
      <c r="P474" s="49">
        <f t="shared" si="14"/>
        <v>0</v>
      </c>
      <c r="Q474" s="49">
        <f t="shared" si="15"/>
        <v>0</v>
      </c>
    </row>
    <row r="475" spans="1:17" x14ac:dyDescent="0.35">
      <c r="A475" s="11" t="s">
        <v>93</v>
      </c>
      <c r="B475" s="163" t="s">
        <v>448</v>
      </c>
      <c r="C475" s="284"/>
      <c r="D475" s="284"/>
      <c r="E475" s="284"/>
      <c r="F475" s="11"/>
      <c r="G475" s="11"/>
      <c r="H475" s="159" t="s">
        <v>497</v>
      </c>
      <c r="I475" s="44"/>
      <c r="J475" s="45"/>
      <c r="K475" s="47"/>
      <c r="L475" s="48"/>
      <c r="M475" s="46"/>
      <c r="N475" s="46"/>
      <c r="O475" s="407"/>
      <c r="P475" s="49">
        <f t="shared" si="14"/>
        <v>0</v>
      </c>
      <c r="Q475" s="49">
        <f t="shared" si="15"/>
        <v>0</v>
      </c>
    </row>
    <row r="476" spans="1:17" x14ac:dyDescent="0.35">
      <c r="A476" s="11" t="s">
        <v>93</v>
      </c>
      <c r="B476" s="163" t="s">
        <v>448</v>
      </c>
      <c r="C476" s="284"/>
      <c r="D476" s="284"/>
      <c r="E476" s="284"/>
      <c r="F476" s="11"/>
      <c r="G476" s="11"/>
      <c r="H476" s="159" t="s">
        <v>498</v>
      </c>
      <c r="I476" s="44"/>
      <c r="J476" s="45"/>
      <c r="K476" s="47"/>
      <c r="L476" s="48"/>
      <c r="M476" s="46"/>
      <c r="N476" s="46"/>
      <c r="O476" s="407"/>
      <c r="P476" s="49">
        <f t="shared" si="14"/>
        <v>0</v>
      </c>
      <c r="Q476" s="49">
        <f t="shared" si="15"/>
        <v>0</v>
      </c>
    </row>
    <row r="477" spans="1:17" ht="13" x14ac:dyDescent="0.35">
      <c r="A477" s="11" t="s">
        <v>93</v>
      </c>
      <c r="B477" s="163" t="s">
        <v>448</v>
      </c>
      <c r="C477" s="284"/>
      <c r="D477" s="284"/>
      <c r="E477" s="284"/>
      <c r="F477" s="11"/>
      <c r="G477" s="11"/>
      <c r="H477" s="156" t="s">
        <v>499</v>
      </c>
      <c r="I477" s="44"/>
      <c r="J477" s="45"/>
      <c r="K477" s="47"/>
      <c r="L477" s="48"/>
      <c r="M477" s="46"/>
      <c r="N477" s="46"/>
      <c r="O477" s="407"/>
      <c r="P477" s="49">
        <f t="shared" si="14"/>
        <v>0</v>
      </c>
      <c r="Q477" s="49">
        <f t="shared" si="15"/>
        <v>0</v>
      </c>
    </row>
    <row r="478" spans="1:17" ht="62.5" x14ac:dyDescent="0.35">
      <c r="A478" s="11" t="s">
        <v>93</v>
      </c>
      <c r="B478" s="163" t="s">
        <v>448</v>
      </c>
      <c r="C478" s="284"/>
      <c r="D478" s="284"/>
      <c r="E478" s="284"/>
      <c r="F478" s="11"/>
      <c r="G478" s="11"/>
      <c r="H478" s="159" t="s">
        <v>500</v>
      </c>
      <c r="I478" s="44"/>
      <c r="J478" s="45"/>
      <c r="K478" s="47"/>
      <c r="L478" s="48"/>
      <c r="M478" s="46"/>
      <c r="N478" s="46"/>
      <c r="O478" s="407"/>
      <c r="P478" s="49">
        <f t="shared" si="14"/>
        <v>0</v>
      </c>
      <c r="Q478" s="49">
        <f t="shared" si="15"/>
        <v>0</v>
      </c>
    </row>
    <row r="479" spans="1:17" x14ac:dyDescent="0.35">
      <c r="A479" s="11" t="s">
        <v>93</v>
      </c>
      <c r="B479" s="163" t="s">
        <v>448</v>
      </c>
      <c r="C479" s="284"/>
      <c r="D479" s="284"/>
      <c r="E479" s="284"/>
      <c r="F479" s="11" t="s">
        <v>501</v>
      </c>
      <c r="G479" s="11"/>
      <c r="H479" s="159" t="s">
        <v>502</v>
      </c>
      <c r="I479" s="44" t="s">
        <v>186</v>
      </c>
      <c r="J479" s="45">
        <v>170</v>
      </c>
      <c r="K479" s="47">
        <v>20</v>
      </c>
      <c r="L479" s="48">
        <f>J479*K479</f>
        <v>3400</v>
      </c>
      <c r="M479" s="46">
        <v>170</v>
      </c>
      <c r="N479" s="46">
        <v>170</v>
      </c>
      <c r="O479" s="407">
        <v>20</v>
      </c>
      <c r="P479" s="49">
        <f t="shared" si="14"/>
        <v>3400</v>
      </c>
      <c r="Q479" s="49">
        <f t="shared" si="15"/>
        <v>3400</v>
      </c>
    </row>
    <row r="480" spans="1:17" x14ac:dyDescent="0.35">
      <c r="A480" s="11" t="s">
        <v>93</v>
      </c>
      <c r="B480" s="163" t="s">
        <v>448</v>
      </c>
      <c r="C480" s="284"/>
      <c r="D480" s="284"/>
      <c r="E480" s="284"/>
      <c r="F480" s="11" t="s">
        <v>503</v>
      </c>
      <c r="G480" s="11"/>
      <c r="H480" s="159" t="s">
        <v>504</v>
      </c>
      <c r="I480" s="44" t="s">
        <v>186</v>
      </c>
      <c r="J480" s="45">
        <v>400</v>
      </c>
      <c r="K480" s="47">
        <v>22</v>
      </c>
      <c r="L480" s="48">
        <f>J480*K480</f>
        <v>8800</v>
      </c>
      <c r="M480" s="46">
        <v>400</v>
      </c>
      <c r="N480" s="46">
        <v>400</v>
      </c>
      <c r="O480" s="407">
        <v>22</v>
      </c>
      <c r="P480" s="49">
        <f t="shared" si="14"/>
        <v>8800</v>
      </c>
      <c r="Q480" s="49">
        <f t="shared" si="15"/>
        <v>8800</v>
      </c>
    </row>
    <row r="481" spans="1:17" ht="37.5" x14ac:dyDescent="0.35">
      <c r="A481" s="11" t="s">
        <v>93</v>
      </c>
      <c r="B481" s="163" t="s">
        <v>448</v>
      </c>
      <c r="C481" s="284"/>
      <c r="D481" s="284"/>
      <c r="E481" s="284"/>
      <c r="F481" s="11"/>
      <c r="G481" s="11"/>
      <c r="H481" s="159" t="s">
        <v>505</v>
      </c>
      <c r="I481" s="44"/>
      <c r="J481" s="45"/>
      <c r="K481" s="47"/>
      <c r="L481" s="48"/>
      <c r="M481" s="46"/>
      <c r="N481" s="46"/>
      <c r="O481" s="407"/>
      <c r="P481" s="49">
        <f t="shared" si="14"/>
        <v>0</v>
      </c>
      <c r="Q481" s="49">
        <f t="shared" si="15"/>
        <v>0</v>
      </c>
    </row>
    <row r="482" spans="1:17" x14ac:dyDescent="0.35">
      <c r="A482" s="11" t="s">
        <v>93</v>
      </c>
      <c r="B482" s="163" t="s">
        <v>448</v>
      </c>
      <c r="C482" s="284"/>
      <c r="D482" s="284"/>
      <c r="E482" s="284"/>
      <c r="F482" s="11" t="s">
        <v>506</v>
      </c>
      <c r="G482" s="11"/>
      <c r="H482" s="159" t="s">
        <v>507</v>
      </c>
      <c r="I482" s="44" t="s">
        <v>456</v>
      </c>
      <c r="J482" s="45">
        <v>4</v>
      </c>
      <c r="K482" s="47">
        <v>24</v>
      </c>
      <c r="L482" s="48">
        <f>J482*K482</f>
        <v>96</v>
      </c>
      <c r="M482" s="46">
        <v>4</v>
      </c>
      <c r="N482" s="46">
        <v>4</v>
      </c>
      <c r="O482" s="407">
        <v>24</v>
      </c>
      <c r="P482" s="49">
        <f t="shared" si="14"/>
        <v>96</v>
      </c>
      <c r="Q482" s="49">
        <f t="shared" si="15"/>
        <v>96</v>
      </c>
    </row>
    <row r="483" spans="1:17" ht="25" x14ac:dyDescent="0.25">
      <c r="A483" s="11" t="s">
        <v>93</v>
      </c>
      <c r="B483" s="163" t="s">
        <v>448</v>
      </c>
      <c r="C483" s="284"/>
      <c r="D483" s="284"/>
      <c r="E483" s="284"/>
      <c r="F483" s="11"/>
      <c r="G483" s="11"/>
      <c r="H483" s="161" t="s">
        <v>508</v>
      </c>
      <c r="I483" s="44"/>
      <c r="J483" s="45"/>
      <c r="K483" s="47"/>
      <c r="L483" s="48"/>
      <c r="M483" s="46"/>
      <c r="N483" s="46"/>
      <c r="O483" s="407"/>
      <c r="P483" s="49">
        <f t="shared" si="14"/>
        <v>0</v>
      </c>
      <c r="Q483" s="49">
        <f t="shared" si="15"/>
        <v>0</v>
      </c>
    </row>
    <row r="484" spans="1:17" ht="25" x14ac:dyDescent="0.25">
      <c r="A484" s="11" t="s">
        <v>93</v>
      </c>
      <c r="B484" s="163" t="s">
        <v>448</v>
      </c>
      <c r="C484" s="284"/>
      <c r="D484" s="284"/>
      <c r="E484" s="284"/>
      <c r="F484" s="11"/>
      <c r="G484" s="11"/>
      <c r="H484" s="161" t="s">
        <v>509</v>
      </c>
      <c r="I484" s="44"/>
      <c r="J484" s="45"/>
      <c r="K484" s="47"/>
      <c r="L484" s="48"/>
      <c r="M484" s="46"/>
      <c r="N484" s="46"/>
      <c r="O484" s="407"/>
      <c r="P484" s="49">
        <f t="shared" si="14"/>
        <v>0</v>
      </c>
      <c r="Q484" s="49">
        <f t="shared" si="15"/>
        <v>0</v>
      </c>
    </row>
    <row r="485" spans="1:17" x14ac:dyDescent="0.35">
      <c r="A485" s="11" t="s">
        <v>93</v>
      </c>
      <c r="B485" s="163" t="s">
        <v>448</v>
      </c>
      <c r="C485" s="284"/>
      <c r="D485" s="284"/>
      <c r="E485" s="284"/>
      <c r="F485" s="11" t="s">
        <v>510</v>
      </c>
      <c r="G485" s="11"/>
      <c r="H485" s="159" t="s">
        <v>511</v>
      </c>
      <c r="I485" s="44" t="s">
        <v>456</v>
      </c>
      <c r="J485" s="45">
        <v>3</v>
      </c>
      <c r="K485" s="47">
        <v>20</v>
      </c>
      <c r="L485" s="48">
        <f>J485*K485</f>
        <v>60</v>
      </c>
      <c r="M485" s="46">
        <v>3</v>
      </c>
      <c r="N485" s="46">
        <v>3</v>
      </c>
      <c r="O485" s="407">
        <v>20</v>
      </c>
      <c r="P485" s="49">
        <f t="shared" si="14"/>
        <v>60</v>
      </c>
      <c r="Q485" s="49">
        <f t="shared" si="15"/>
        <v>60</v>
      </c>
    </row>
    <row r="486" spans="1:17" x14ac:dyDescent="0.35">
      <c r="A486" s="11" t="s">
        <v>93</v>
      </c>
      <c r="B486" s="163" t="s">
        <v>448</v>
      </c>
      <c r="C486" s="284"/>
      <c r="D486" s="284"/>
      <c r="E486" s="284"/>
      <c r="F486" s="11" t="s">
        <v>512</v>
      </c>
      <c r="G486" s="11"/>
      <c r="H486" s="159" t="s">
        <v>513</v>
      </c>
      <c r="I486" s="44" t="s">
        <v>456</v>
      </c>
      <c r="J486" s="45">
        <v>20</v>
      </c>
      <c r="K486" s="47">
        <v>21</v>
      </c>
      <c r="L486" s="48">
        <f>J486*K486</f>
        <v>420</v>
      </c>
      <c r="M486" s="46">
        <v>20</v>
      </c>
      <c r="N486" s="46">
        <v>20</v>
      </c>
      <c r="O486" s="407">
        <v>21</v>
      </c>
      <c r="P486" s="49">
        <f t="shared" si="14"/>
        <v>420</v>
      </c>
      <c r="Q486" s="49">
        <f t="shared" si="15"/>
        <v>420</v>
      </c>
    </row>
    <row r="487" spans="1:17" x14ac:dyDescent="0.35">
      <c r="A487" s="11" t="s">
        <v>93</v>
      </c>
      <c r="B487" s="163" t="s">
        <v>448</v>
      </c>
      <c r="C487" s="284"/>
      <c r="D487" s="284"/>
      <c r="E487" s="284"/>
      <c r="F487" s="11"/>
      <c r="G487" s="11"/>
      <c r="H487" s="159" t="s">
        <v>514</v>
      </c>
      <c r="I487" s="44"/>
      <c r="J487" s="45"/>
      <c r="K487" s="47"/>
      <c r="L487" s="48"/>
      <c r="M487" s="46"/>
      <c r="N487" s="46"/>
      <c r="O487" s="407"/>
      <c r="P487" s="49">
        <f t="shared" si="14"/>
        <v>0</v>
      </c>
      <c r="Q487" s="49">
        <f t="shared" si="15"/>
        <v>0</v>
      </c>
    </row>
    <row r="488" spans="1:17" x14ac:dyDescent="0.35">
      <c r="A488" s="11" t="s">
        <v>93</v>
      </c>
      <c r="B488" s="163" t="s">
        <v>448</v>
      </c>
      <c r="C488" s="284"/>
      <c r="D488" s="284"/>
      <c r="E488" s="284"/>
      <c r="F488" s="11" t="s">
        <v>515</v>
      </c>
      <c r="G488" s="11"/>
      <c r="H488" s="159" t="s">
        <v>516</v>
      </c>
      <c r="I488" s="44" t="s">
        <v>456</v>
      </c>
      <c r="J488" s="45">
        <v>1</v>
      </c>
      <c r="K488" s="47">
        <v>27</v>
      </c>
      <c r="L488" s="48">
        <f>J488*K488</f>
        <v>27</v>
      </c>
      <c r="M488" s="46">
        <v>1</v>
      </c>
      <c r="N488" s="46">
        <v>1</v>
      </c>
      <c r="O488" s="407">
        <v>27</v>
      </c>
      <c r="P488" s="49">
        <f t="shared" si="14"/>
        <v>27</v>
      </c>
      <c r="Q488" s="49">
        <f t="shared" si="15"/>
        <v>27</v>
      </c>
    </row>
    <row r="489" spans="1:17" ht="13" x14ac:dyDescent="0.35">
      <c r="A489" s="11" t="s">
        <v>93</v>
      </c>
      <c r="B489" s="163" t="s">
        <v>448</v>
      </c>
      <c r="C489" s="284"/>
      <c r="D489" s="284"/>
      <c r="E489" s="284"/>
      <c r="F489" s="11"/>
      <c r="G489" s="11"/>
      <c r="H489" s="157" t="s">
        <v>517</v>
      </c>
      <c r="I489" s="44"/>
      <c r="J489" s="45"/>
      <c r="K489" s="47"/>
      <c r="L489" s="48"/>
      <c r="M489" s="46"/>
      <c r="N489" s="46"/>
      <c r="O489" s="407"/>
      <c r="P489" s="49">
        <f t="shared" si="14"/>
        <v>0</v>
      </c>
      <c r="Q489" s="49">
        <f t="shared" si="15"/>
        <v>0</v>
      </c>
    </row>
    <row r="490" spans="1:17" x14ac:dyDescent="0.35">
      <c r="A490" s="11" t="s">
        <v>93</v>
      </c>
      <c r="B490" s="163" t="s">
        <v>448</v>
      </c>
      <c r="C490" s="284"/>
      <c r="D490" s="284"/>
      <c r="E490" s="284"/>
      <c r="F490" s="11"/>
      <c r="G490" s="11"/>
      <c r="H490" s="159" t="s">
        <v>518</v>
      </c>
      <c r="I490" s="44"/>
      <c r="J490" s="45"/>
      <c r="K490" s="47"/>
      <c r="L490" s="48"/>
      <c r="M490" s="46"/>
      <c r="N490" s="46"/>
      <c r="O490" s="407"/>
      <c r="P490" s="49">
        <f t="shared" si="14"/>
        <v>0</v>
      </c>
      <c r="Q490" s="49">
        <f t="shared" si="15"/>
        <v>0</v>
      </c>
    </row>
    <row r="491" spans="1:17" x14ac:dyDescent="0.35">
      <c r="A491" s="11" t="s">
        <v>93</v>
      </c>
      <c r="B491" s="163" t="s">
        <v>448</v>
      </c>
      <c r="C491" s="284"/>
      <c r="D491" s="284"/>
      <c r="E491" s="284"/>
      <c r="F491" s="11"/>
      <c r="G491" s="11"/>
      <c r="H491" s="159" t="s">
        <v>519</v>
      </c>
      <c r="I491" s="44"/>
      <c r="J491" s="45"/>
      <c r="K491" s="47"/>
      <c r="L491" s="48"/>
      <c r="M491" s="46"/>
      <c r="N491" s="46"/>
      <c r="O491" s="407"/>
      <c r="P491" s="49">
        <f t="shared" si="14"/>
        <v>0</v>
      </c>
      <c r="Q491" s="49">
        <f t="shared" si="15"/>
        <v>0</v>
      </c>
    </row>
    <row r="492" spans="1:17" x14ac:dyDescent="0.35">
      <c r="A492" s="11" t="s">
        <v>93</v>
      </c>
      <c r="B492" s="163" t="s">
        <v>448</v>
      </c>
      <c r="C492" s="284"/>
      <c r="D492" s="284"/>
      <c r="E492" s="284"/>
      <c r="F492" s="11" t="s">
        <v>520</v>
      </c>
      <c r="G492" s="11"/>
      <c r="H492" s="159" t="s">
        <v>521</v>
      </c>
      <c r="I492" s="44" t="s">
        <v>186</v>
      </c>
      <c r="J492" s="45">
        <v>255</v>
      </c>
      <c r="K492" s="47">
        <v>10</v>
      </c>
      <c r="L492" s="48">
        <f>J492*K492</f>
        <v>2550</v>
      </c>
      <c r="M492" s="46">
        <v>255</v>
      </c>
      <c r="N492" s="46">
        <v>255</v>
      </c>
      <c r="O492" s="407">
        <v>10</v>
      </c>
      <c r="P492" s="49">
        <f t="shared" si="14"/>
        <v>2550</v>
      </c>
      <c r="Q492" s="49">
        <f t="shared" si="15"/>
        <v>2550</v>
      </c>
    </row>
    <row r="493" spans="1:17" x14ac:dyDescent="0.35">
      <c r="A493" s="11" t="s">
        <v>93</v>
      </c>
      <c r="B493" s="163" t="s">
        <v>448</v>
      </c>
      <c r="C493" s="284"/>
      <c r="D493" s="284"/>
      <c r="E493" s="284"/>
      <c r="F493" s="11" t="s">
        <v>522</v>
      </c>
      <c r="G493" s="11"/>
      <c r="H493" s="159" t="s">
        <v>523</v>
      </c>
      <c r="I493" s="44" t="s">
        <v>186</v>
      </c>
      <c r="J493" s="45">
        <v>600</v>
      </c>
      <c r="K493" s="47">
        <v>12</v>
      </c>
      <c r="L493" s="48">
        <f>J493*K493</f>
        <v>7200</v>
      </c>
      <c r="M493" s="46">
        <v>600</v>
      </c>
      <c r="N493" s="46">
        <v>600</v>
      </c>
      <c r="O493" s="407">
        <v>12</v>
      </c>
      <c r="P493" s="49">
        <f t="shared" si="14"/>
        <v>7200</v>
      </c>
      <c r="Q493" s="49">
        <f t="shared" si="15"/>
        <v>7200</v>
      </c>
    </row>
    <row r="494" spans="1:17" x14ac:dyDescent="0.35">
      <c r="A494" s="11" t="s">
        <v>93</v>
      </c>
      <c r="B494" s="163" t="s">
        <v>448</v>
      </c>
      <c r="C494" s="284"/>
      <c r="D494" s="284"/>
      <c r="E494" s="284"/>
      <c r="F494" s="11" t="s">
        <v>524</v>
      </c>
      <c r="G494" s="11"/>
      <c r="H494" s="159" t="s">
        <v>525</v>
      </c>
      <c r="I494" s="44" t="s">
        <v>186</v>
      </c>
      <c r="J494" s="45">
        <v>200</v>
      </c>
      <c r="K494" s="47">
        <v>21.5</v>
      </c>
      <c r="L494" s="48">
        <f>J494*K494</f>
        <v>4300</v>
      </c>
      <c r="M494" s="46">
        <v>200</v>
      </c>
      <c r="N494" s="46">
        <v>200</v>
      </c>
      <c r="O494" s="407">
        <v>21.5</v>
      </c>
      <c r="P494" s="49">
        <f t="shared" si="14"/>
        <v>4300</v>
      </c>
      <c r="Q494" s="49">
        <f t="shared" si="15"/>
        <v>4300</v>
      </c>
    </row>
    <row r="495" spans="1:17" x14ac:dyDescent="0.35">
      <c r="A495" s="11" t="s">
        <v>93</v>
      </c>
      <c r="B495" s="163" t="s">
        <v>448</v>
      </c>
      <c r="C495" s="284"/>
      <c r="D495" s="284"/>
      <c r="E495" s="284"/>
      <c r="F495" s="11"/>
      <c r="G495" s="11"/>
      <c r="H495" s="159" t="s">
        <v>526</v>
      </c>
      <c r="I495" s="44"/>
      <c r="J495" s="45" t="s">
        <v>527</v>
      </c>
      <c r="K495" s="47"/>
      <c r="L495" s="48"/>
      <c r="M495" s="46" t="s">
        <v>527</v>
      </c>
      <c r="N495" s="46" t="s">
        <v>527</v>
      </c>
      <c r="O495" s="407"/>
      <c r="P495" s="49" t="e">
        <f t="shared" si="14"/>
        <v>#VALUE!</v>
      </c>
      <c r="Q495" s="49" t="e">
        <f t="shared" si="15"/>
        <v>#VALUE!</v>
      </c>
    </row>
    <row r="496" spans="1:17" x14ac:dyDescent="0.35">
      <c r="A496" s="11" t="s">
        <v>93</v>
      </c>
      <c r="B496" s="163" t="s">
        <v>448</v>
      </c>
      <c r="C496" s="284"/>
      <c r="D496" s="284"/>
      <c r="E496" s="284"/>
      <c r="F496" s="11" t="s">
        <v>528</v>
      </c>
      <c r="G496" s="11"/>
      <c r="H496" s="159" t="s">
        <v>521</v>
      </c>
      <c r="I496" s="44" t="s">
        <v>186</v>
      </c>
      <c r="J496" s="45">
        <v>1055</v>
      </c>
      <c r="K496" s="47">
        <v>10</v>
      </c>
      <c r="L496" s="48">
        <f>J496*K496</f>
        <v>10550</v>
      </c>
      <c r="M496" s="46">
        <v>1055</v>
      </c>
      <c r="N496" s="46">
        <v>1055</v>
      </c>
      <c r="O496" s="407">
        <v>10</v>
      </c>
      <c r="P496" s="49">
        <f t="shared" si="14"/>
        <v>10550</v>
      </c>
      <c r="Q496" s="49">
        <f t="shared" si="15"/>
        <v>10550</v>
      </c>
    </row>
    <row r="497" spans="1:17" ht="13" x14ac:dyDescent="0.35">
      <c r="A497" s="11" t="s">
        <v>93</v>
      </c>
      <c r="B497" s="163" t="s">
        <v>448</v>
      </c>
      <c r="C497" s="284"/>
      <c r="D497" s="284"/>
      <c r="E497" s="284"/>
      <c r="F497" s="11"/>
      <c r="G497" s="11"/>
      <c r="H497" s="157" t="s">
        <v>530</v>
      </c>
      <c r="I497" s="44"/>
      <c r="J497" s="45"/>
      <c r="K497" s="47"/>
      <c r="L497" s="48"/>
      <c r="M497" s="46"/>
      <c r="N497" s="46"/>
      <c r="O497" s="407"/>
      <c r="P497" s="49">
        <f t="shared" si="14"/>
        <v>0</v>
      </c>
      <c r="Q497" s="49">
        <f t="shared" si="15"/>
        <v>0</v>
      </c>
    </row>
    <row r="498" spans="1:17" ht="25" x14ac:dyDescent="0.35">
      <c r="A498" s="11" t="s">
        <v>93</v>
      </c>
      <c r="B498" s="163" t="s">
        <v>448</v>
      </c>
      <c r="C498" s="284"/>
      <c r="D498" s="284"/>
      <c r="E498" s="284"/>
      <c r="F498" s="11"/>
      <c r="G498" s="11"/>
      <c r="H498" s="159" t="s">
        <v>531</v>
      </c>
      <c r="I498" s="44"/>
      <c r="J498" s="45"/>
      <c r="K498" s="47"/>
      <c r="L498" s="48"/>
      <c r="M498" s="46"/>
      <c r="N498" s="46"/>
      <c r="O498" s="407"/>
      <c r="P498" s="49">
        <f t="shared" si="14"/>
        <v>0</v>
      </c>
      <c r="Q498" s="49">
        <f t="shared" si="15"/>
        <v>0</v>
      </c>
    </row>
    <row r="499" spans="1:17" ht="13" x14ac:dyDescent="0.35">
      <c r="A499" s="11" t="s">
        <v>93</v>
      </c>
      <c r="B499" s="163" t="s">
        <v>448</v>
      </c>
      <c r="C499" s="284"/>
      <c r="D499" s="284"/>
      <c r="E499" s="284"/>
      <c r="F499" s="11"/>
      <c r="G499" s="11"/>
      <c r="H499" s="157" t="s">
        <v>532</v>
      </c>
      <c r="I499" s="44"/>
      <c r="J499" s="45"/>
      <c r="K499" s="47"/>
      <c r="L499" s="48"/>
      <c r="M499" s="46"/>
      <c r="N499" s="46"/>
      <c r="O499" s="407"/>
      <c r="P499" s="49">
        <f t="shared" si="14"/>
        <v>0</v>
      </c>
      <c r="Q499" s="49">
        <f t="shared" si="15"/>
        <v>0</v>
      </c>
    </row>
    <row r="500" spans="1:17" x14ac:dyDescent="0.35">
      <c r="A500" s="11" t="s">
        <v>93</v>
      </c>
      <c r="B500" s="163" t="s">
        <v>448</v>
      </c>
      <c r="C500" s="284"/>
      <c r="D500" s="284"/>
      <c r="E500" s="284"/>
      <c r="F500" s="11"/>
      <c r="G500" s="11"/>
      <c r="H500" s="159" t="s">
        <v>533</v>
      </c>
      <c r="I500" s="44"/>
      <c r="J500" s="45"/>
      <c r="K500" s="47"/>
      <c r="L500" s="48"/>
      <c r="M500" s="46"/>
      <c r="N500" s="46"/>
      <c r="O500" s="407"/>
      <c r="P500" s="49">
        <f t="shared" si="14"/>
        <v>0</v>
      </c>
      <c r="Q500" s="49">
        <f t="shared" si="15"/>
        <v>0</v>
      </c>
    </row>
    <row r="501" spans="1:17" x14ac:dyDescent="0.35">
      <c r="A501" s="11" t="s">
        <v>93</v>
      </c>
      <c r="B501" s="163" t="s">
        <v>448</v>
      </c>
      <c r="C501" s="284"/>
      <c r="D501" s="284"/>
      <c r="E501" s="284"/>
      <c r="F501" s="11" t="s">
        <v>534</v>
      </c>
      <c r="G501" s="11"/>
      <c r="H501" s="159" t="s">
        <v>535</v>
      </c>
      <c r="I501" s="44" t="s">
        <v>456</v>
      </c>
      <c r="J501" s="45">
        <v>4</v>
      </c>
      <c r="K501" s="47">
        <v>200</v>
      </c>
      <c r="L501" s="48">
        <f>J501*K501</f>
        <v>800</v>
      </c>
      <c r="M501" s="46">
        <v>4</v>
      </c>
      <c r="N501" s="46">
        <v>4</v>
      </c>
      <c r="O501" s="407">
        <v>200</v>
      </c>
      <c r="P501" s="49">
        <f t="shared" si="14"/>
        <v>800</v>
      </c>
      <c r="Q501" s="49">
        <f t="shared" si="15"/>
        <v>800</v>
      </c>
    </row>
    <row r="502" spans="1:17" x14ac:dyDescent="0.35">
      <c r="A502" s="11" t="s">
        <v>93</v>
      </c>
      <c r="B502" s="163" t="s">
        <v>448</v>
      </c>
      <c r="C502" s="284"/>
      <c r="D502" s="284"/>
      <c r="E502" s="284"/>
      <c r="F502" s="11" t="s">
        <v>536</v>
      </c>
      <c r="G502" s="11"/>
      <c r="H502" s="159" t="s">
        <v>537</v>
      </c>
      <c r="I502" s="44" t="s">
        <v>456</v>
      </c>
      <c r="J502" s="45">
        <v>0</v>
      </c>
      <c r="K502" s="47"/>
      <c r="L502" s="48"/>
      <c r="M502" s="46">
        <v>0</v>
      </c>
      <c r="N502" s="46">
        <v>0</v>
      </c>
      <c r="O502" s="407"/>
      <c r="P502" s="49">
        <f t="shared" si="14"/>
        <v>0</v>
      </c>
      <c r="Q502" s="49">
        <f t="shared" si="15"/>
        <v>0</v>
      </c>
    </row>
    <row r="503" spans="1:17" x14ac:dyDescent="0.35">
      <c r="A503" s="11" t="s">
        <v>93</v>
      </c>
      <c r="B503" s="163" t="s">
        <v>448</v>
      </c>
      <c r="C503" s="284"/>
      <c r="D503" s="284"/>
      <c r="E503" s="284"/>
      <c r="F503" s="11" t="s">
        <v>538</v>
      </c>
      <c r="G503" s="11"/>
      <c r="H503" s="159" t="s">
        <v>539</v>
      </c>
      <c r="I503" s="44" t="s">
        <v>456</v>
      </c>
      <c r="J503" s="45">
        <v>0</v>
      </c>
      <c r="K503" s="47"/>
      <c r="L503" s="48"/>
      <c r="M503" s="46">
        <v>0</v>
      </c>
      <c r="N503" s="46">
        <v>0</v>
      </c>
      <c r="O503" s="407"/>
      <c r="P503" s="49">
        <f t="shared" si="14"/>
        <v>0</v>
      </c>
      <c r="Q503" s="49">
        <f t="shared" si="15"/>
        <v>0</v>
      </c>
    </row>
    <row r="504" spans="1:17" x14ac:dyDescent="0.35">
      <c r="A504" s="11" t="s">
        <v>93</v>
      </c>
      <c r="B504" s="163" t="s">
        <v>448</v>
      </c>
      <c r="C504" s="284"/>
      <c r="D504" s="284"/>
      <c r="E504" s="284"/>
      <c r="F504" s="11" t="s">
        <v>540</v>
      </c>
      <c r="G504" s="11"/>
      <c r="H504" s="159" t="s">
        <v>541</v>
      </c>
      <c r="I504" s="44" t="s">
        <v>456</v>
      </c>
      <c r="J504" s="45"/>
      <c r="K504" s="47"/>
      <c r="L504" s="48"/>
      <c r="M504" s="46"/>
      <c r="N504" s="46"/>
      <c r="O504" s="407"/>
      <c r="P504" s="49">
        <f t="shared" si="14"/>
        <v>0</v>
      </c>
      <c r="Q504" s="49">
        <f t="shared" si="15"/>
        <v>0</v>
      </c>
    </row>
    <row r="505" spans="1:17" x14ac:dyDescent="0.35">
      <c r="A505" s="11" t="s">
        <v>93</v>
      </c>
      <c r="B505" s="163" t="s">
        <v>448</v>
      </c>
      <c r="C505" s="284"/>
      <c r="D505" s="284"/>
      <c r="E505" s="284"/>
      <c r="F505" s="11" t="s">
        <v>542</v>
      </c>
      <c r="G505" s="11"/>
      <c r="H505" s="159" t="s">
        <v>543</v>
      </c>
      <c r="I505" s="44" t="s">
        <v>456</v>
      </c>
      <c r="J505" s="45"/>
      <c r="K505" s="47"/>
      <c r="L505" s="48">
        <f>J505*K505</f>
        <v>0</v>
      </c>
      <c r="M505" s="46"/>
      <c r="N505" s="46"/>
      <c r="O505" s="407"/>
      <c r="P505" s="49">
        <f t="shared" si="14"/>
        <v>0</v>
      </c>
      <c r="Q505" s="49">
        <f t="shared" si="15"/>
        <v>0</v>
      </c>
    </row>
    <row r="506" spans="1:17" x14ac:dyDescent="0.35">
      <c r="A506" s="11" t="s">
        <v>93</v>
      </c>
      <c r="B506" s="163" t="s">
        <v>448</v>
      </c>
      <c r="C506" s="284"/>
      <c r="D506" s="284"/>
      <c r="E506" s="284"/>
      <c r="F506" s="11" t="s">
        <v>544</v>
      </c>
      <c r="G506" s="11"/>
      <c r="H506" s="159" t="s">
        <v>545</v>
      </c>
      <c r="I506" s="44" t="s">
        <v>456</v>
      </c>
      <c r="J506" s="45">
        <v>3</v>
      </c>
      <c r="K506" s="47">
        <v>352</v>
      </c>
      <c r="L506" s="48">
        <f>J506*K506</f>
        <v>1056</v>
      </c>
      <c r="M506" s="46">
        <v>3</v>
      </c>
      <c r="N506" s="46">
        <v>3</v>
      </c>
      <c r="O506" s="407">
        <v>352</v>
      </c>
      <c r="P506" s="49">
        <f t="shared" si="14"/>
        <v>1056</v>
      </c>
      <c r="Q506" s="49">
        <f t="shared" si="15"/>
        <v>1056</v>
      </c>
    </row>
    <row r="507" spans="1:17" x14ac:dyDescent="0.35">
      <c r="A507" s="11" t="s">
        <v>93</v>
      </c>
      <c r="B507" s="163" t="s">
        <v>448</v>
      </c>
      <c r="C507" s="284"/>
      <c r="D507" s="284"/>
      <c r="E507" s="284"/>
      <c r="F507" s="11" t="s">
        <v>546</v>
      </c>
      <c r="G507" s="11"/>
      <c r="H507" s="159" t="s">
        <v>547</v>
      </c>
      <c r="I507" s="44" t="s">
        <v>456</v>
      </c>
      <c r="J507" s="45">
        <v>1</v>
      </c>
      <c r="K507" s="47">
        <v>395</v>
      </c>
      <c r="L507" s="48">
        <f>J507*K507</f>
        <v>395</v>
      </c>
      <c r="M507" s="46">
        <v>1</v>
      </c>
      <c r="N507" s="46">
        <v>1</v>
      </c>
      <c r="O507" s="407">
        <v>395</v>
      </c>
      <c r="P507" s="49">
        <f t="shared" si="14"/>
        <v>395</v>
      </c>
      <c r="Q507" s="49">
        <f t="shared" si="15"/>
        <v>395</v>
      </c>
    </row>
    <row r="508" spans="1:17" ht="13" x14ac:dyDescent="0.35">
      <c r="A508" s="11" t="s">
        <v>93</v>
      </c>
      <c r="B508" s="163" t="s">
        <v>448</v>
      </c>
      <c r="C508" s="284"/>
      <c r="D508" s="284"/>
      <c r="E508" s="284"/>
      <c r="F508" s="11"/>
      <c r="G508" s="11"/>
      <c r="H508" s="157" t="s">
        <v>548</v>
      </c>
      <c r="I508" s="44"/>
      <c r="J508" s="45"/>
      <c r="K508" s="47"/>
      <c r="L508" s="48"/>
      <c r="M508" s="46"/>
      <c r="N508" s="46"/>
      <c r="O508" s="407"/>
      <c r="P508" s="49">
        <f t="shared" si="14"/>
        <v>0</v>
      </c>
      <c r="Q508" s="49">
        <f t="shared" si="15"/>
        <v>0</v>
      </c>
    </row>
    <row r="509" spans="1:17" x14ac:dyDescent="0.35">
      <c r="A509" s="11" t="s">
        <v>93</v>
      </c>
      <c r="B509" s="163" t="s">
        <v>448</v>
      </c>
      <c r="C509" s="284"/>
      <c r="D509" s="284"/>
      <c r="E509" s="284"/>
      <c r="F509" s="11" t="s">
        <v>549</v>
      </c>
      <c r="G509" s="11"/>
      <c r="H509" s="159" t="s">
        <v>550</v>
      </c>
      <c r="I509" s="44" t="s">
        <v>456</v>
      </c>
      <c r="J509" s="45">
        <v>19</v>
      </c>
      <c r="K509" s="47">
        <v>165</v>
      </c>
      <c r="L509" s="48">
        <f>J509*K509</f>
        <v>3135</v>
      </c>
      <c r="M509" s="46">
        <v>19</v>
      </c>
      <c r="N509" s="46">
        <v>19</v>
      </c>
      <c r="O509" s="407">
        <v>165</v>
      </c>
      <c r="P509" s="49">
        <f t="shared" si="14"/>
        <v>3135</v>
      </c>
      <c r="Q509" s="49">
        <f t="shared" si="15"/>
        <v>3135</v>
      </c>
    </row>
    <row r="510" spans="1:17" x14ac:dyDescent="0.35">
      <c r="A510" s="11" t="s">
        <v>93</v>
      </c>
      <c r="B510" s="163" t="s">
        <v>448</v>
      </c>
      <c r="C510" s="284"/>
      <c r="D510" s="284"/>
      <c r="E510" s="284"/>
      <c r="F510" s="11" t="s">
        <v>551</v>
      </c>
      <c r="G510" s="11"/>
      <c r="H510" s="159" t="s">
        <v>552</v>
      </c>
      <c r="I510" s="44" t="s">
        <v>456</v>
      </c>
      <c r="J510" s="45">
        <v>0</v>
      </c>
      <c r="K510" s="47"/>
      <c r="L510" s="48">
        <f>J510*K510</f>
        <v>0</v>
      </c>
      <c r="M510" s="46">
        <v>0</v>
      </c>
      <c r="N510" s="46">
        <v>0</v>
      </c>
      <c r="O510" s="407"/>
      <c r="P510" s="49">
        <f t="shared" si="14"/>
        <v>0</v>
      </c>
      <c r="Q510" s="49">
        <f t="shared" si="15"/>
        <v>0</v>
      </c>
    </row>
    <row r="511" spans="1:17" x14ac:dyDescent="0.35">
      <c r="A511" s="11" t="s">
        <v>93</v>
      </c>
      <c r="B511" s="163" t="s">
        <v>448</v>
      </c>
      <c r="C511" s="284"/>
      <c r="D511" s="284"/>
      <c r="E511" s="284"/>
      <c r="F511" s="11" t="s">
        <v>553</v>
      </c>
      <c r="G511" s="11"/>
      <c r="H511" s="159" t="s">
        <v>554</v>
      </c>
      <c r="I511" s="44" t="s">
        <v>456</v>
      </c>
      <c r="J511" s="45"/>
      <c r="K511" s="47"/>
      <c r="L511" s="48">
        <f>J511*K511</f>
        <v>0</v>
      </c>
      <c r="M511" s="46"/>
      <c r="N511" s="46"/>
      <c r="O511" s="407"/>
      <c r="P511" s="49">
        <f t="shared" si="14"/>
        <v>0</v>
      </c>
      <c r="Q511" s="49">
        <f t="shared" si="15"/>
        <v>0</v>
      </c>
    </row>
    <row r="512" spans="1:17" x14ac:dyDescent="0.35">
      <c r="A512" s="11" t="s">
        <v>93</v>
      </c>
      <c r="B512" s="163" t="s">
        <v>448</v>
      </c>
      <c r="C512" s="284"/>
      <c r="D512" s="284"/>
      <c r="E512" s="284"/>
      <c r="F512" s="11" t="s">
        <v>555</v>
      </c>
      <c r="G512" s="11"/>
      <c r="H512" s="159" t="s">
        <v>556</v>
      </c>
      <c r="I512" s="44" t="s">
        <v>456</v>
      </c>
      <c r="J512" s="45"/>
      <c r="K512" s="47"/>
      <c r="L512" s="48">
        <f>J512*K512</f>
        <v>0</v>
      </c>
      <c r="M512" s="46"/>
      <c r="N512" s="46"/>
      <c r="O512" s="407"/>
      <c r="P512" s="49">
        <f t="shared" si="14"/>
        <v>0</v>
      </c>
      <c r="Q512" s="49">
        <f t="shared" si="15"/>
        <v>0</v>
      </c>
    </row>
    <row r="513" spans="1:17" x14ac:dyDescent="0.35">
      <c r="A513" s="11" t="s">
        <v>93</v>
      </c>
      <c r="B513" s="163" t="s">
        <v>448</v>
      </c>
      <c r="C513" s="284"/>
      <c r="D513" s="284"/>
      <c r="E513" s="284"/>
      <c r="F513" s="11" t="s">
        <v>557</v>
      </c>
      <c r="G513" s="11"/>
      <c r="H513" s="159" t="s">
        <v>558</v>
      </c>
      <c r="I513" s="44" t="s">
        <v>186</v>
      </c>
      <c r="J513" s="45">
        <v>351.66666666666669</v>
      </c>
      <c r="K513" s="47">
        <v>4.2</v>
      </c>
      <c r="L513" s="48">
        <f>J513*K513</f>
        <v>1477.0000000000002</v>
      </c>
      <c r="M513" s="46">
        <v>351.66666666666669</v>
      </c>
      <c r="N513" s="46">
        <v>351.66666666666669</v>
      </c>
      <c r="O513" s="407">
        <v>4.2</v>
      </c>
      <c r="P513" s="49">
        <f t="shared" si="14"/>
        <v>1477.0000000000002</v>
      </c>
      <c r="Q513" s="49">
        <f t="shared" si="15"/>
        <v>1477.0000000000002</v>
      </c>
    </row>
    <row r="514" spans="1:17" ht="13" x14ac:dyDescent="0.35">
      <c r="A514" s="11" t="s">
        <v>93</v>
      </c>
      <c r="B514" s="163" t="s">
        <v>448</v>
      </c>
      <c r="C514" s="284"/>
      <c r="D514" s="284"/>
      <c r="E514" s="284"/>
      <c r="F514" s="11"/>
      <c r="G514" s="11"/>
      <c r="H514" s="156" t="s">
        <v>559</v>
      </c>
      <c r="I514" s="44"/>
      <c r="J514" s="45"/>
      <c r="K514" s="47"/>
      <c r="L514" s="48"/>
      <c r="M514" s="46"/>
      <c r="N514" s="46"/>
      <c r="O514" s="407"/>
      <c r="P514" s="49">
        <f t="shared" si="14"/>
        <v>0</v>
      </c>
      <c r="Q514" s="49">
        <f t="shared" si="15"/>
        <v>0</v>
      </c>
    </row>
    <row r="515" spans="1:17" x14ac:dyDescent="0.35">
      <c r="A515" s="11" t="s">
        <v>93</v>
      </c>
      <c r="B515" s="163" t="s">
        <v>448</v>
      </c>
      <c r="C515" s="284"/>
      <c r="D515" s="284"/>
      <c r="E515" s="284"/>
      <c r="F515" s="11"/>
      <c r="G515" s="11"/>
      <c r="H515" s="159" t="s">
        <v>560</v>
      </c>
      <c r="I515" s="44"/>
      <c r="J515" s="45"/>
      <c r="K515" s="47"/>
      <c r="L515" s="48"/>
      <c r="M515" s="46"/>
      <c r="N515" s="46"/>
      <c r="O515" s="407"/>
      <c r="P515" s="49">
        <f t="shared" si="14"/>
        <v>0</v>
      </c>
      <c r="Q515" s="49">
        <f t="shared" si="15"/>
        <v>0</v>
      </c>
    </row>
    <row r="516" spans="1:17" x14ac:dyDescent="0.35">
      <c r="A516" s="11" t="s">
        <v>93</v>
      </c>
      <c r="B516" s="163" t="s">
        <v>448</v>
      </c>
      <c r="C516" s="284"/>
      <c r="D516" s="284"/>
      <c r="E516" s="284"/>
      <c r="F516" s="11" t="s">
        <v>561</v>
      </c>
      <c r="G516" s="11"/>
      <c r="H516" s="159" t="s">
        <v>562</v>
      </c>
      <c r="I516" s="44" t="s">
        <v>456</v>
      </c>
      <c r="J516" s="45">
        <v>1</v>
      </c>
      <c r="K516" s="47">
        <v>400</v>
      </c>
      <c r="L516" s="48">
        <f>J516*K516</f>
        <v>400</v>
      </c>
      <c r="M516" s="46">
        <v>1</v>
      </c>
      <c r="N516" s="46">
        <v>1</v>
      </c>
      <c r="O516" s="407">
        <v>400</v>
      </c>
      <c r="P516" s="49">
        <f t="shared" si="14"/>
        <v>400</v>
      </c>
      <c r="Q516" s="49">
        <f t="shared" si="15"/>
        <v>400</v>
      </c>
    </row>
    <row r="517" spans="1:17" ht="13" x14ac:dyDescent="0.35">
      <c r="A517" s="11" t="s">
        <v>93</v>
      </c>
      <c r="B517" s="163" t="s">
        <v>448</v>
      </c>
      <c r="C517" s="284"/>
      <c r="D517" s="284"/>
      <c r="E517" s="284"/>
      <c r="F517" s="11"/>
      <c r="G517" s="11"/>
      <c r="H517" s="156" t="s">
        <v>563</v>
      </c>
      <c r="I517" s="44"/>
      <c r="J517" s="45"/>
      <c r="K517" s="47"/>
      <c r="L517" s="48"/>
      <c r="M517" s="46"/>
      <c r="N517" s="46"/>
      <c r="O517" s="407"/>
      <c r="P517" s="49">
        <f t="shared" si="14"/>
        <v>0</v>
      </c>
      <c r="Q517" s="49">
        <f t="shared" si="15"/>
        <v>0</v>
      </c>
    </row>
    <row r="518" spans="1:17" x14ac:dyDescent="0.35">
      <c r="A518" s="11" t="s">
        <v>93</v>
      </c>
      <c r="B518" s="163" t="s">
        <v>448</v>
      </c>
      <c r="C518" s="284"/>
      <c r="D518" s="284"/>
      <c r="E518" s="284"/>
      <c r="F518" s="11"/>
      <c r="G518" s="11"/>
      <c r="H518" s="159" t="s">
        <v>564</v>
      </c>
      <c r="I518" s="44"/>
      <c r="J518" s="45"/>
      <c r="K518" s="47"/>
      <c r="L518" s="48"/>
      <c r="M518" s="46"/>
      <c r="N518" s="46"/>
      <c r="O518" s="407"/>
      <c r="P518" s="49">
        <f t="shared" si="14"/>
        <v>0</v>
      </c>
      <c r="Q518" s="49">
        <f t="shared" si="15"/>
        <v>0</v>
      </c>
    </row>
    <row r="519" spans="1:17" x14ac:dyDescent="0.35">
      <c r="A519" s="11" t="s">
        <v>93</v>
      </c>
      <c r="B519" s="163" t="s">
        <v>448</v>
      </c>
      <c r="C519" s="284"/>
      <c r="D519" s="284"/>
      <c r="E519" s="284"/>
      <c r="F519" s="11"/>
      <c r="G519" s="11"/>
      <c r="H519" s="159" t="s">
        <v>565</v>
      </c>
      <c r="I519" s="44"/>
      <c r="J519" s="45"/>
      <c r="K519" s="47"/>
      <c r="L519" s="48"/>
      <c r="M519" s="46"/>
      <c r="N519" s="46"/>
      <c r="O519" s="407"/>
      <c r="P519" s="49">
        <f t="shared" si="14"/>
        <v>0</v>
      </c>
      <c r="Q519" s="49">
        <f t="shared" si="15"/>
        <v>0</v>
      </c>
    </row>
    <row r="520" spans="1:17" x14ac:dyDescent="0.35">
      <c r="A520" s="11" t="s">
        <v>93</v>
      </c>
      <c r="B520" s="163" t="s">
        <v>448</v>
      </c>
      <c r="C520" s="284"/>
      <c r="D520" s="284"/>
      <c r="E520" s="284"/>
      <c r="F520" s="11"/>
      <c r="G520" s="11"/>
      <c r="H520" s="162" t="s">
        <v>566</v>
      </c>
      <c r="I520" s="44"/>
      <c r="J520" s="45"/>
      <c r="K520" s="47"/>
      <c r="L520" s="48"/>
      <c r="M520" s="46"/>
      <c r="N520" s="46"/>
      <c r="O520" s="407"/>
      <c r="P520" s="49">
        <f t="shared" si="14"/>
        <v>0</v>
      </c>
      <c r="Q520" s="49">
        <f t="shared" si="15"/>
        <v>0</v>
      </c>
    </row>
    <row r="521" spans="1:17" ht="25" x14ac:dyDescent="0.35">
      <c r="A521" s="11" t="s">
        <v>93</v>
      </c>
      <c r="B521" s="163" t="s">
        <v>448</v>
      </c>
      <c r="C521" s="284"/>
      <c r="D521" s="284"/>
      <c r="E521" s="284"/>
      <c r="F521" s="11" t="s">
        <v>567</v>
      </c>
      <c r="G521" s="11"/>
      <c r="H521" s="159" t="s">
        <v>568</v>
      </c>
      <c r="I521" s="44" t="s">
        <v>456</v>
      </c>
      <c r="J521" s="45">
        <v>11</v>
      </c>
      <c r="K521" s="47">
        <v>1050</v>
      </c>
      <c r="L521" s="48">
        <f>J521*K521</f>
        <v>11550</v>
      </c>
      <c r="M521" s="46">
        <v>11</v>
      </c>
      <c r="N521" s="46">
        <v>11</v>
      </c>
      <c r="O521" s="407">
        <v>1050</v>
      </c>
      <c r="P521" s="49">
        <f t="shared" si="14"/>
        <v>11550</v>
      </c>
      <c r="Q521" s="49">
        <f t="shared" si="15"/>
        <v>11550</v>
      </c>
    </row>
    <row r="522" spans="1:17" x14ac:dyDescent="0.35">
      <c r="A522" s="11" t="s">
        <v>93</v>
      </c>
      <c r="B522" s="163" t="s">
        <v>448</v>
      </c>
      <c r="C522" s="284"/>
      <c r="D522" s="284"/>
      <c r="E522" s="284"/>
      <c r="F522" s="11"/>
      <c r="G522" s="11"/>
      <c r="H522" s="162" t="s">
        <v>569</v>
      </c>
      <c r="I522" s="44"/>
      <c r="J522" s="45"/>
      <c r="K522" s="47"/>
      <c r="L522" s="48"/>
      <c r="M522" s="46"/>
      <c r="N522" s="46"/>
      <c r="O522" s="407"/>
      <c r="P522" s="49">
        <f t="shared" ref="P522:P585" si="16">O522*M522</f>
        <v>0</v>
      </c>
      <c r="Q522" s="49">
        <f t="shared" ref="Q522:Q585" si="17">O522*N522</f>
        <v>0</v>
      </c>
    </row>
    <row r="523" spans="1:17" ht="25" x14ac:dyDescent="0.35">
      <c r="A523" s="11" t="s">
        <v>93</v>
      </c>
      <c r="B523" s="163" t="s">
        <v>448</v>
      </c>
      <c r="C523" s="284"/>
      <c r="D523" s="284"/>
      <c r="E523" s="284"/>
      <c r="F523" s="11" t="s">
        <v>570</v>
      </c>
      <c r="G523" s="11"/>
      <c r="H523" s="159" t="s">
        <v>571</v>
      </c>
      <c r="I523" s="44" t="s">
        <v>456</v>
      </c>
      <c r="J523" s="45">
        <v>0</v>
      </c>
      <c r="K523" s="47"/>
      <c r="L523" s="48">
        <f>J523*K523</f>
        <v>0</v>
      </c>
      <c r="M523" s="46">
        <v>0</v>
      </c>
      <c r="N523" s="46">
        <v>0</v>
      </c>
      <c r="O523" s="407"/>
      <c r="P523" s="49">
        <f t="shared" si="16"/>
        <v>0</v>
      </c>
      <c r="Q523" s="49">
        <f t="shared" si="17"/>
        <v>0</v>
      </c>
    </row>
    <row r="524" spans="1:17" x14ac:dyDescent="0.35">
      <c r="A524" s="11" t="s">
        <v>93</v>
      </c>
      <c r="B524" s="163" t="s">
        <v>448</v>
      </c>
      <c r="C524" s="284"/>
      <c r="D524" s="284"/>
      <c r="E524" s="284"/>
      <c r="F524" s="11"/>
      <c r="G524" s="11"/>
      <c r="H524" s="162" t="s">
        <v>572</v>
      </c>
      <c r="I524" s="44"/>
      <c r="J524" s="45"/>
      <c r="K524" s="47"/>
      <c r="L524" s="48"/>
      <c r="M524" s="46"/>
      <c r="N524" s="46"/>
      <c r="O524" s="407"/>
      <c r="P524" s="49">
        <f t="shared" si="16"/>
        <v>0</v>
      </c>
      <c r="Q524" s="49">
        <f t="shared" si="17"/>
        <v>0</v>
      </c>
    </row>
    <row r="525" spans="1:17" ht="25" x14ac:dyDescent="0.35">
      <c r="A525" s="11" t="s">
        <v>93</v>
      </c>
      <c r="B525" s="163" t="s">
        <v>448</v>
      </c>
      <c r="C525" s="284"/>
      <c r="D525" s="284"/>
      <c r="E525" s="284"/>
      <c r="F525" s="11" t="s">
        <v>573</v>
      </c>
      <c r="G525" s="11"/>
      <c r="H525" s="159" t="s">
        <v>574</v>
      </c>
      <c r="I525" s="44" t="s">
        <v>456</v>
      </c>
      <c r="J525" s="45">
        <v>8</v>
      </c>
      <c r="K525" s="47">
        <v>1980</v>
      </c>
      <c r="L525" s="48">
        <f>J525*K525</f>
        <v>15840</v>
      </c>
      <c r="M525" s="46">
        <v>8</v>
      </c>
      <c r="N525" s="46">
        <v>8</v>
      </c>
      <c r="O525" s="407">
        <v>1980</v>
      </c>
      <c r="P525" s="49">
        <f t="shared" si="16"/>
        <v>15840</v>
      </c>
      <c r="Q525" s="49">
        <f t="shared" si="17"/>
        <v>15840</v>
      </c>
    </row>
    <row r="526" spans="1:17" ht="13" x14ac:dyDescent="0.35">
      <c r="A526" s="11" t="s">
        <v>93</v>
      </c>
      <c r="B526" s="163" t="s">
        <v>448</v>
      </c>
      <c r="C526" s="284"/>
      <c r="D526" s="284"/>
      <c r="E526" s="284"/>
      <c r="F526" s="11"/>
      <c r="G526" s="11"/>
      <c r="H526" s="157" t="s">
        <v>575</v>
      </c>
      <c r="I526" s="44"/>
      <c r="J526" s="45"/>
      <c r="K526" s="47"/>
      <c r="L526" s="48"/>
      <c r="M526" s="46"/>
      <c r="N526" s="46"/>
      <c r="O526" s="407"/>
      <c r="P526" s="49">
        <f t="shared" si="16"/>
        <v>0</v>
      </c>
      <c r="Q526" s="49">
        <f t="shared" si="17"/>
        <v>0</v>
      </c>
    </row>
    <row r="527" spans="1:17" ht="37.5" x14ac:dyDescent="0.35">
      <c r="A527" s="11" t="s">
        <v>93</v>
      </c>
      <c r="B527" s="163" t="s">
        <v>448</v>
      </c>
      <c r="C527" s="284"/>
      <c r="D527" s="284"/>
      <c r="E527" s="284"/>
      <c r="F527" s="11"/>
      <c r="G527" s="11"/>
      <c r="H527" s="159" t="s">
        <v>576</v>
      </c>
      <c r="I527" s="44"/>
      <c r="J527" s="45"/>
      <c r="K527" s="47"/>
      <c r="L527" s="48"/>
      <c r="M527" s="46"/>
      <c r="N527" s="46"/>
      <c r="O527" s="407"/>
      <c r="P527" s="49">
        <f t="shared" si="16"/>
        <v>0</v>
      </c>
      <c r="Q527" s="49">
        <f t="shared" si="17"/>
        <v>0</v>
      </c>
    </row>
    <row r="528" spans="1:17" ht="25" x14ac:dyDescent="0.35">
      <c r="A528" s="11" t="s">
        <v>93</v>
      </c>
      <c r="B528" s="163" t="s">
        <v>448</v>
      </c>
      <c r="C528" s="284"/>
      <c r="D528" s="284"/>
      <c r="E528" s="284"/>
      <c r="F528" s="11"/>
      <c r="G528" s="11"/>
      <c r="H528" s="159" t="s">
        <v>577</v>
      </c>
      <c r="I528" s="44"/>
      <c r="J528" s="45"/>
      <c r="K528" s="47"/>
      <c r="L528" s="48"/>
      <c r="M528" s="46"/>
      <c r="N528" s="46"/>
      <c r="O528" s="407"/>
      <c r="P528" s="49">
        <f t="shared" si="16"/>
        <v>0</v>
      </c>
      <c r="Q528" s="49">
        <f t="shared" si="17"/>
        <v>0</v>
      </c>
    </row>
    <row r="529" spans="1:17" x14ac:dyDescent="0.35">
      <c r="A529" s="11" t="s">
        <v>93</v>
      </c>
      <c r="B529" s="163" t="s">
        <v>448</v>
      </c>
      <c r="C529" s="284"/>
      <c r="D529" s="284"/>
      <c r="E529" s="284"/>
      <c r="F529" s="11"/>
      <c r="G529" s="11"/>
      <c r="H529" s="159" t="s">
        <v>578</v>
      </c>
      <c r="I529" s="44"/>
      <c r="J529" s="45"/>
      <c r="K529" s="47"/>
      <c r="L529" s="48"/>
      <c r="M529" s="46"/>
      <c r="N529" s="46"/>
      <c r="O529" s="407"/>
      <c r="P529" s="49">
        <f t="shared" si="16"/>
        <v>0</v>
      </c>
      <c r="Q529" s="49">
        <f t="shared" si="17"/>
        <v>0</v>
      </c>
    </row>
    <row r="530" spans="1:17" x14ac:dyDescent="0.35">
      <c r="A530" s="11" t="s">
        <v>93</v>
      </c>
      <c r="B530" s="163" t="s">
        <v>448</v>
      </c>
      <c r="C530" s="284"/>
      <c r="D530" s="284"/>
      <c r="E530" s="284"/>
      <c r="F530" s="11"/>
      <c r="G530" s="11"/>
      <c r="H530" s="159" t="s">
        <v>579</v>
      </c>
      <c r="I530" s="44"/>
      <c r="J530" s="45"/>
      <c r="K530" s="47"/>
      <c r="L530" s="48"/>
      <c r="M530" s="46"/>
      <c r="N530" s="46"/>
      <c r="O530" s="407"/>
      <c r="P530" s="49">
        <f t="shared" si="16"/>
        <v>0</v>
      </c>
      <c r="Q530" s="49">
        <f t="shared" si="17"/>
        <v>0</v>
      </c>
    </row>
    <row r="531" spans="1:17" x14ac:dyDescent="0.35">
      <c r="A531" s="11" t="s">
        <v>93</v>
      </c>
      <c r="B531" s="163" t="s">
        <v>448</v>
      </c>
      <c r="C531" s="284"/>
      <c r="D531" s="284"/>
      <c r="E531" s="284"/>
      <c r="F531" s="11"/>
      <c r="G531" s="11"/>
      <c r="H531" s="159" t="s">
        <v>580</v>
      </c>
      <c r="I531" s="44"/>
      <c r="J531" s="45"/>
      <c r="K531" s="47"/>
      <c r="L531" s="48"/>
      <c r="M531" s="46"/>
      <c r="N531" s="46"/>
      <c r="O531" s="407"/>
      <c r="P531" s="49">
        <f t="shared" si="16"/>
        <v>0</v>
      </c>
      <c r="Q531" s="49">
        <f t="shared" si="17"/>
        <v>0</v>
      </c>
    </row>
    <row r="532" spans="1:17" x14ac:dyDescent="0.35">
      <c r="A532" s="11" t="s">
        <v>93</v>
      </c>
      <c r="B532" s="163" t="s">
        <v>448</v>
      </c>
      <c r="C532" s="284"/>
      <c r="D532" s="284"/>
      <c r="E532" s="284"/>
      <c r="F532" s="11" t="s">
        <v>581</v>
      </c>
      <c r="G532" s="11"/>
      <c r="H532" s="159" t="s">
        <v>582</v>
      </c>
      <c r="I532" s="44" t="s">
        <v>186</v>
      </c>
      <c r="J532" s="45">
        <v>2</v>
      </c>
      <c r="K532" s="47">
        <v>110</v>
      </c>
      <c r="L532" s="48">
        <f>J532*K532</f>
        <v>220</v>
      </c>
      <c r="M532" s="46">
        <v>2</v>
      </c>
      <c r="N532" s="46">
        <v>2</v>
      </c>
      <c r="O532" s="407">
        <v>110</v>
      </c>
      <c r="P532" s="49">
        <f t="shared" si="16"/>
        <v>220</v>
      </c>
      <c r="Q532" s="49">
        <f t="shared" si="17"/>
        <v>220</v>
      </c>
    </row>
    <row r="533" spans="1:17" ht="25" x14ac:dyDescent="0.35">
      <c r="A533" s="11" t="s">
        <v>93</v>
      </c>
      <c r="B533" s="163" t="s">
        <v>448</v>
      </c>
      <c r="C533" s="284"/>
      <c r="D533" s="284"/>
      <c r="E533" s="284"/>
      <c r="F533" s="11" t="s">
        <v>583</v>
      </c>
      <c r="G533" s="11"/>
      <c r="H533" s="159" t="s">
        <v>584</v>
      </c>
      <c r="I533" s="44" t="s">
        <v>186</v>
      </c>
      <c r="J533" s="45">
        <v>6</v>
      </c>
      <c r="K533" s="47">
        <v>68</v>
      </c>
      <c r="L533" s="48">
        <f>J533*K533</f>
        <v>408</v>
      </c>
      <c r="M533" s="46">
        <v>6</v>
      </c>
      <c r="N533" s="46">
        <v>6</v>
      </c>
      <c r="O533" s="407">
        <v>68</v>
      </c>
      <c r="P533" s="49">
        <f t="shared" si="16"/>
        <v>408</v>
      </c>
      <c r="Q533" s="49">
        <f t="shared" si="17"/>
        <v>408</v>
      </c>
    </row>
    <row r="534" spans="1:17" x14ac:dyDescent="0.35">
      <c r="A534" s="11" t="s">
        <v>93</v>
      </c>
      <c r="B534" s="163" t="s">
        <v>448</v>
      </c>
      <c r="C534" s="284"/>
      <c r="D534" s="284"/>
      <c r="E534" s="284"/>
      <c r="F534" s="11" t="s">
        <v>585</v>
      </c>
      <c r="G534" s="11"/>
      <c r="H534" s="159" t="s">
        <v>586</v>
      </c>
      <c r="I534" s="44" t="s">
        <v>587</v>
      </c>
      <c r="J534" s="45">
        <v>2</v>
      </c>
      <c r="K534" s="47">
        <v>30</v>
      </c>
      <c r="L534" s="48">
        <f>J534*K534</f>
        <v>60</v>
      </c>
      <c r="M534" s="46">
        <v>2</v>
      </c>
      <c r="N534" s="46">
        <v>2</v>
      </c>
      <c r="O534" s="407">
        <v>30</v>
      </c>
      <c r="P534" s="49">
        <f t="shared" si="16"/>
        <v>60</v>
      </c>
      <c r="Q534" s="49">
        <f t="shared" si="17"/>
        <v>60</v>
      </c>
    </row>
    <row r="535" spans="1:17" ht="13" x14ac:dyDescent="0.35">
      <c r="A535" s="11" t="s">
        <v>93</v>
      </c>
      <c r="B535" s="163" t="s">
        <v>448</v>
      </c>
      <c r="C535" s="284"/>
      <c r="D535" s="284"/>
      <c r="E535" s="284"/>
      <c r="F535" s="11"/>
      <c r="G535" s="11"/>
      <c r="H535" s="157" t="s">
        <v>517</v>
      </c>
      <c r="I535" s="44"/>
      <c r="J535" s="45"/>
      <c r="K535" s="47"/>
      <c r="L535" s="48"/>
      <c r="M535" s="46"/>
      <c r="N535" s="46"/>
      <c r="O535" s="407"/>
      <c r="P535" s="49">
        <f t="shared" si="16"/>
        <v>0</v>
      </c>
      <c r="Q535" s="49">
        <f t="shared" si="17"/>
        <v>0</v>
      </c>
    </row>
    <row r="536" spans="1:17" x14ac:dyDescent="0.35">
      <c r="A536" s="11" t="s">
        <v>93</v>
      </c>
      <c r="B536" s="163" t="s">
        <v>448</v>
      </c>
      <c r="C536" s="284"/>
      <c r="D536" s="284"/>
      <c r="E536" s="284"/>
      <c r="F536" s="11" t="s">
        <v>588</v>
      </c>
      <c r="G536" s="11"/>
      <c r="H536" s="159" t="s">
        <v>589</v>
      </c>
      <c r="I536" s="44" t="s">
        <v>186</v>
      </c>
      <c r="J536" s="45">
        <v>10</v>
      </c>
      <c r="K536" s="47">
        <v>218</v>
      </c>
      <c r="L536" s="48">
        <f>J536*K536</f>
        <v>2180</v>
      </c>
      <c r="M536" s="46">
        <v>10</v>
      </c>
      <c r="N536" s="46">
        <v>10</v>
      </c>
      <c r="O536" s="407">
        <v>218</v>
      </c>
      <c r="P536" s="49">
        <f t="shared" si="16"/>
        <v>2180</v>
      </c>
      <c r="Q536" s="49">
        <f t="shared" si="17"/>
        <v>2180</v>
      </c>
    </row>
    <row r="537" spans="1:17" x14ac:dyDescent="0.35">
      <c r="A537" s="11" t="s">
        <v>93</v>
      </c>
      <c r="B537" s="163" t="s">
        <v>448</v>
      </c>
      <c r="C537" s="284"/>
      <c r="D537" s="284"/>
      <c r="E537" s="284"/>
      <c r="F537" s="11" t="s">
        <v>590</v>
      </c>
      <c r="G537" s="11"/>
      <c r="H537" s="159" t="s">
        <v>591</v>
      </c>
      <c r="I537" s="44" t="s">
        <v>186</v>
      </c>
      <c r="J537" s="45">
        <v>10</v>
      </c>
      <c r="K537" s="47">
        <v>65</v>
      </c>
      <c r="L537" s="48">
        <f>J537*K537</f>
        <v>650</v>
      </c>
      <c r="M537" s="46">
        <v>10</v>
      </c>
      <c r="N537" s="46">
        <v>10</v>
      </c>
      <c r="O537" s="407">
        <v>65</v>
      </c>
      <c r="P537" s="49">
        <f t="shared" si="16"/>
        <v>650</v>
      </c>
      <c r="Q537" s="49">
        <f t="shared" si="17"/>
        <v>650</v>
      </c>
    </row>
    <row r="538" spans="1:17" x14ac:dyDescent="0.35">
      <c r="A538" s="11" t="s">
        <v>93</v>
      </c>
      <c r="B538" s="163" t="s">
        <v>448</v>
      </c>
      <c r="C538" s="284"/>
      <c r="D538" s="284"/>
      <c r="E538" s="284"/>
      <c r="F538" s="11" t="s">
        <v>592</v>
      </c>
      <c r="G538" s="11"/>
      <c r="H538" s="159" t="s">
        <v>593</v>
      </c>
      <c r="I538" s="44" t="s">
        <v>186</v>
      </c>
      <c r="J538" s="45">
        <v>10</v>
      </c>
      <c r="K538" s="47">
        <v>55</v>
      </c>
      <c r="L538" s="48">
        <f>J538*K538</f>
        <v>550</v>
      </c>
      <c r="M538" s="46">
        <v>10</v>
      </c>
      <c r="N538" s="46">
        <v>10</v>
      </c>
      <c r="O538" s="407">
        <v>55</v>
      </c>
      <c r="P538" s="49">
        <f t="shared" si="16"/>
        <v>550</v>
      </c>
      <c r="Q538" s="49">
        <f t="shared" si="17"/>
        <v>550</v>
      </c>
    </row>
    <row r="539" spans="1:17" ht="37.5" x14ac:dyDescent="0.35">
      <c r="A539" s="11" t="s">
        <v>93</v>
      </c>
      <c r="B539" s="163" t="s">
        <v>448</v>
      </c>
      <c r="C539" s="284"/>
      <c r="D539" s="284"/>
      <c r="E539" s="284"/>
      <c r="F539" s="11" t="s">
        <v>594</v>
      </c>
      <c r="G539" s="11"/>
      <c r="H539" s="159" t="s">
        <v>595</v>
      </c>
      <c r="I539" s="44" t="s">
        <v>596</v>
      </c>
      <c r="J539" s="45">
        <v>1</v>
      </c>
      <c r="K539" s="47">
        <v>186</v>
      </c>
      <c r="L539" s="48">
        <f>J539*K539</f>
        <v>186</v>
      </c>
      <c r="M539" s="46">
        <v>1</v>
      </c>
      <c r="N539" s="46">
        <v>1</v>
      </c>
      <c r="O539" s="407">
        <v>186</v>
      </c>
      <c r="P539" s="49">
        <f t="shared" si="16"/>
        <v>186</v>
      </c>
      <c r="Q539" s="49">
        <f t="shared" si="17"/>
        <v>186</v>
      </c>
    </row>
    <row r="540" spans="1:17" x14ac:dyDescent="0.35">
      <c r="A540" s="11" t="s">
        <v>93</v>
      </c>
      <c r="B540" s="163" t="s">
        <v>448</v>
      </c>
      <c r="C540" s="284"/>
      <c r="D540" s="284"/>
      <c r="E540" s="284"/>
      <c r="F540" s="11" t="s">
        <v>597</v>
      </c>
      <c r="G540" s="11"/>
      <c r="H540" s="159" t="s">
        <v>598</v>
      </c>
      <c r="I540" s="44" t="s">
        <v>186</v>
      </c>
      <c r="J540" s="45">
        <v>1</v>
      </c>
      <c r="K540" s="47">
        <v>780</v>
      </c>
      <c r="L540" s="48">
        <f>J540*K540</f>
        <v>780</v>
      </c>
      <c r="M540" s="46">
        <v>1</v>
      </c>
      <c r="N540" s="46">
        <v>1</v>
      </c>
      <c r="O540" s="407">
        <v>780</v>
      </c>
      <c r="P540" s="49">
        <f t="shared" si="16"/>
        <v>780</v>
      </c>
      <c r="Q540" s="49">
        <f t="shared" si="17"/>
        <v>780</v>
      </c>
    </row>
    <row r="541" spans="1:17" x14ac:dyDescent="0.35">
      <c r="A541" s="11" t="s">
        <v>93</v>
      </c>
      <c r="B541" s="163" t="s">
        <v>448</v>
      </c>
      <c r="C541" s="284"/>
      <c r="D541" s="284"/>
      <c r="E541" s="284"/>
      <c r="F541" s="11" t="s">
        <v>599</v>
      </c>
      <c r="G541" s="11"/>
      <c r="H541" s="159" t="s">
        <v>600</v>
      </c>
      <c r="I541" s="44" t="s">
        <v>596</v>
      </c>
      <c r="J541" s="45">
        <v>2</v>
      </c>
      <c r="K541" s="47">
        <v>150</v>
      </c>
      <c r="L541" s="48">
        <f>J541*K541</f>
        <v>300</v>
      </c>
      <c r="M541" s="46">
        <v>2</v>
      </c>
      <c r="N541" s="46">
        <v>2</v>
      </c>
      <c r="O541" s="407">
        <v>150</v>
      </c>
      <c r="P541" s="49">
        <f t="shared" si="16"/>
        <v>300</v>
      </c>
      <c r="Q541" s="49">
        <f t="shared" si="17"/>
        <v>300</v>
      </c>
    </row>
    <row r="542" spans="1:17" x14ac:dyDescent="0.35">
      <c r="A542" s="11" t="s">
        <v>93</v>
      </c>
      <c r="B542" s="163" t="s">
        <v>448</v>
      </c>
      <c r="C542" s="284"/>
      <c r="D542" s="284"/>
      <c r="E542" s="284"/>
      <c r="F542" s="11" t="s">
        <v>601</v>
      </c>
      <c r="G542" s="11"/>
      <c r="H542" s="159" t="s">
        <v>602</v>
      </c>
      <c r="I542" s="44" t="s">
        <v>186</v>
      </c>
      <c r="J542" s="45">
        <v>2</v>
      </c>
      <c r="K542" s="47">
        <v>55</v>
      </c>
      <c r="L542" s="48">
        <f>J542*K542</f>
        <v>110</v>
      </c>
      <c r="M542" s="46">
        <v>2</v>
      </c>
      <c r="N542" s="46">
        <v>2</v>
      </c>
      <c r="O542" s="407">
        <v>55</v>
      </c>
      <c r="P542" s="49">
        <f t="shared" si="16"/>
        <v>110</v>
      </c>
      <c r="Q542" s="49">
        <f t="shared" si="17"/>
        <v>110</v>
      </c>
    </row>
    <row r="543" spans="1:17" x14ac:dyDescent="0.35">
      <c r="A543" s="11" t="s">
        <v>93</v>
      </c>
      <c r="B543" s="163" t="s">
        <v>448</v>
      </c>
      <c r="C543" s="284"/>
      <c r="D543" s="284"/>
      <c r="E543" s="284"/>
      <c r="F543" s="11" t="s">
        <v>603</v>
      </c>
      <c r="G543" s="11"/>
      <c r="H543" s="159" t="s">
        <v>604</v>
      </c>
      <c r="I543" s="44" t="s">
        <v>186</v>
      </c>
      <c r="J543" s="45">
        <v>10</v>
      </c>
      <c r="K543" s="47">
        <v>238</v>
      </c>
      <c r="L543" s="48">
        <f>J543*K543</f>
        <v>2380</v>
      </c>
      <c r="M543" s="46">
        <v>10</v>
      </c>
      <c r="N543" s="46">
        <v>10</v>
      </c>
      <c r="O543" s="407">
        <v>238</v>
      </c>
      <c r="P543" s="49">
        <f t="shared" si="16"/>
        <v>2380</v>
      </c>
      <c r="Q543" s="49">
        <f t="shared" si="17"/>
        <v>2380</v>
      </c>
    </row>
    <row r="544" spans="1:17" x14ac:dyDescent="0.35">
      <c r="A544" s="11" t="s">
        <v>93</v>
      </c>
      <c r="B544" s="163" t="s">
        <v>448</v>
      </c>
      <c r="C544" s="284"/>
      <c r="D544" s="284"/>
      <c r="E544" s="284"/>
      <c r="F544" s="11" t="s">
        <v>605</v>
      </c>
      <c r="G544" s="11"/>
      <c r="H544" s="159" t="s">
        <v>606</v>
      </c>
      <c r="I544" s="44" t="s">
        <v>186</v>
      </c>
      <c r="J544" s="45">
        <v>10</v>
      </c>
      <c r="K544" s="47">
        <v>238</v>
      </c>
      <c r="L544" s="48">
        <f>J544*K544</f>
        <v>2380</v>
      </c>
      <c r="M544" s="46">
        <v>10</v>
      </c>
      <c r="N544" s="46">
        <v>10</v>
      </c>
      <c r="O544" s="407">
        <v>238</v>
      </c>
      <c r="P544" s="49">
        <f t="shared" si="16"/>
        <v>2380</v>
      </c>
      <c r="Q544" s="49">
        <f t="shared" si="17"/>
        <v>2380</v>
      </c>
    </row>
    <row r="545" spans="1:17" ht="13" x14ac:dyDescent="0.35">
      <c r="A545" s="11" t="s">
        <v>93</v>
      </c>
      <c r="B545" s="163" t="s">
        <v>448</v>
      </c>
      <c r="C545" s="284"/>
      <c r="D545" s="284"/>
      <c r="E545" s="284"/>
      <c r="F545" s="11"/>
      <c r="G545" s="11"/>
      <c r="H545" s="157" t="s">
        <v>607</v>
      </c>
      <c r="I545" s="44"/>
      <c r="J545" s="45"/>
      <c r="K545" s="47"/>
      <c r="L545" s="48"/>
      <c r="M545" s="46"/>
      <c r="N545" s="46"/>
      <c r="O545" s="407"/>
      <c r="P545" s="49">
        <f t="shared" si="16"/>
        <v>0</v>
      </c>
      <c r="Q545" s="49">
        <f t="shared" si="17"/>
        <v>0</v>
      </c>
    </row>
    <row r="546" spans="1:17" x14ac:dyDescent="0.35">
      <c r="A546" s="11" t="s">
        <v>93</v>
      </c>
      <c r="B546" s="163" t="s">
        <v>448</v>
      </c>
      <c r="C546" s="284"/>
      <c r="D546" s="284"/>
      <c r="E546" s="284"/>
      <c r="F546" s="11" t="s">
        <v>608</v>
      </c>
      <c r="G546" s="11"/>
      <c r="H546" s="159" t="s">
        <v>609</v>
      </c>
      <c r="I546" s="44" t="s">
        <v>596</v>
      </c>
      <c r="J546" s="45">
        <v>1</v>
      </c>
      <c r="K546" s="47">
        <v>1000</v>
      </c>
      <c r="L546" s="48">
        <f>J546*K546</f>
        <v>1000</v>
      </c>
      <c r="M546" s="46">
        <v>1</v>
      </c>
      <c r="N546" s="46">
        <v>1</v>
      </c>
      <c r="O546" s="407">
        <v>1000</v>
      </c>
      <c r="P546" s="49">
        <f t="shared" si="16"/>
        <v>1000</v>
      </c>
      <c r="Q546" s="49">
        <f t="shared" si="17"/>
        <v>1000</v>
      </c>
    </row>
    <row r="547" spans="1:17" ht="13" x14ac:dyDescent="0.35">
      <c r="A547" s="11" t="s">
        <v>93</v>
      </c>
      <c r="B547" s="163" t="s">
        <v>448</v>
      </c>
      <c r="C547" s="284"/>
      <c r="D547" s="284"/>
      <c r="E547" s="284"/>
      <c r="F547" s="11"/>
      <c r="G547" s="11"/>
      <c r="H547" s="157" t="s">
        <v>610</v>
      </c>
      <c r="I547" s="44"/>
      <c r="J547" s="45"/>
      <c r="K547" s="47"/>
      <c r="L547" s="48"/>
      <c r="M547" s="46"/>
      <c r="N547" s="46"/>
      <c r="O547" s="407"/>
      <c r="P547" s="49">
        <f t="shared" si="16"/>
        <v>0</v>
      </c>
      <c r="Q547" s="49">
        <f t="shared" si="17"/>
        <v>0</v>
      </c>
    </row>
    <row r="548" spans="1:17" x14ac:dyDescent="0.35">
      <c r="A548" s="11" t="s">
        <v>93</v>
      </c>
      <c r="B548" s="163" t="s">
        <v>448</v>
      </c>
      <c r="C548" s="284"/>
      <c r="D548" s="284"/>
      <c r="E548" s="284"/>
      <c r="F548" s="11" t="s">
        <v>611</v>
      </c>
      <c r="G548" s="11"/>
      <c r="H548" s="159" t="s">
        <v>612</v>
      </c>
      <c r="I548" s="44" t="s">
        <v>596</v>
      </c>
      <c r="J548" s="45">
        <v>1</v>
      </c>
      <c r="K548" s="47">
        <v>145</v>
      </c>
      <c r="L548" s="48">
        <f>J548*K548</f>
        <v>145</v>
      </c>
      <c r="M548" s="46">
        <v>1</v>
      </c>
      <c r="N548" s="46">
        <v>1</v>
      </c>
      <c r="O548" s="407">
        <v>145</v>
      </c>
      <c r="P548" s="49">
        <f t="shared" si="16"/>
        <v>145</v>
      </c>
      <c r="Q548" s="49">
        <f t="shared" si="17"/>
        <v>145</v>
      </c>
    </row>
    <row r="549" spans="1:17" x14ac:dyDescent="0.35">
      <c r="A549" s="11" t="s">
        <v>93</v>
      </c>
      <c r="B549" s="163" t="s">
        <v>448</v>
      </c>
      <c r="C549" s="284"/>
      <c r="D549" s="284"/>
      <c r="E549" s="284"/>
      <c r="F549" s="11" t="s">
        <v>613</v>
      </c>
      <c r="G549" s="11"/>
      <c r="H549" s="159" t="s">
        <v>614</v>
      </c>
      <c r="I549" s="44" t="s">
        <v>596</v>
      </c>
      <c r="J549" s="45">
        <v>1</v>
      </c>
      <c r="K549" s="47">
        <v>1800</v>
      </c>
      <c r="L549" s="48">
        <f>J549*K549</f>
        <v>1800</v>
      </c>
      <c r="M549" s="46">
        <v>1</v>
      </c>
      <c r="N549" s="46">
        <v>1</v>
      </c>
      <c r="O549" s="407">
        <v>1800</v>
      </c>
      <c r="P549" s="49">
        <f t="shared" si="16"/>
        <v>1800</v>
      </c>
      <c r="Q549" s="49">
        <f t="shared" si="17"/>
        <v>1800</v>
      </c>
    </row>
    <row r="550" spans="1:17" ht="37.5" x14ac:dyDescent="0.35">
      <c r="A550" s="11" t="s">
        <v>93</v>
      </c>
      <c r="B550" s="163" t="s">
        <v>448</v>
      </c>
      <c r="C550" s="284"/>
      <c r="D550" s="284"/>
      <c r="E550" s="284"/>
      <c r="F550" s="11" t="s">
        <v>615</v>
      </c>
      <c r="G550" s="11"/>
      <c r="H550" s="159" t="s">
        <v>616</v>
      </c>
      <c r="I550" s="44" t="s">
        <v>596</v>
      </c>
      <c r="J550" s="45">
        <v>1</v>
      </c>
      <c r="K550" s="47">
        <v>3500</v>
      </c>
      <c r="L550" s="48">
        <f>J550*K550</f>
        <v>3500</v>
      </c>
      <c r="M550" s="46">
        <v>1</v>
      </c>
      <c r="N550" s="46">
        <v>1</v>
      </c>
      <c r="O550" s="407">
        <v>3500</v>
      </c>
      <c r="P550" s="49">
        <f t="shared" si="16"/>
        <v>3500</v>
      </c>
      <c r="Q550" s="49">
        <f t="shared" si="17"/>
        <v>3500</v>
      </c>
    </row>
    <row r="551" spans="1:17" ht="13" x14ac:dyDescent="0.35">
      <c r="A551" s="11" t="s">
        <v>93</v>
      </c>
      <c r="B551" s="163" t="s">
        <v>448</v>
      </c>
      <c r="C551" s="284"/>
      <c r="D551" s="284"/>
      <c r="E551" s="284"/>
      <c r="F551" s="11"/>
      <c r="G551" s="11"/>
      <c r="H551" s="156" t="s">
        <v>617</v>
      </c>
      <c r="I551" s="44"/>
      <c r="J551" s="45"/>
      <c r="K551" s="47"/>
      <c r="L551" s="48"/>
      <c r="M551" s="46"/>
      <c r="N551" s="46"/>
      <c r="O551" s="407"/>
      <c r="P551" s="49">
        <f t="shared" si="16"/>
        <v>0</v>
      </c>
      <c r="Q551" s="49">
        <f t="shared" si="17"/>
        <v>0</v>
      </c>
    </row>
    <row r="552" spans="1:17" x14ac:dyDescent="0.35">
      <c r="A552" s="11" t="s">
        <v>93</v>
      </c>
      <c r="B552" s="163" t="s">
        <v>448</v>
      </c>
      <c r="C552" s="284"/>
      <c r="D552" s="284"/>
      <c r="E552" s="284"/>
      <c r="F552" s="163" t="s">
        <v>618</v>
      </c>
      <c r="G552" s="11"/>
      <c r="H552" s="159" t="s">
        <v>619</v>
      </c>
      <c r="I552" s="44"/>
      <c r="J552" s="45"/>
      <c r="K552" s="47"/>
      <c r="L552" s="48"/>
      <c r="M552" s="46"/>
      <c r="N552" s="46"/>
      <c r="O552" s="407"/>
      <c r="P552" s="49">
        <f t="shared" si="16"/>
        <v>0</v>
      </c>
      <c r="Q552" s="49">
        <f t="shared" si="17"/>
        <v>0</v>
      </c>
    </row>
    <row r="553" spans="1:17" x14ac:dyDescent="0.35">
      <c r="A553" s="11" t="s">
        <v>93</v>
      </c>
      <c r="B553" s="163" t="s">
        <v>448</v>
      </c>
      <c r="C553" s="284"/>
      <c r="D553" s="284"/>
      <c r="E553" s="284"/>
      <c r="F553" s="11"/>
      <c r="G553" s="11"/>
      <c r="H553" s="159" t="s">
        <v>620</v>
      </c>
      <c r="I553" s="44" t="s">
        <v>468</v>
      </c>
      <c r="J553" s="45">
        <v>1</v>
      </c>
      <c r="K553" s="47">
        <v>5000</v>
      </c>
      <c r="L553" s="48">
        <f>J553*K553</f>
        <v>5000</v>
      </c>
      <c r="M553" s="46">
        <v>1</v>
      </c>
      <c r="N553" s="46">
        <v>1</v>
      </c>
      <c r="O553" s="407">
        <v>5000</v>
      </c>
      <c r="P553" s="49">
        <f t="shared" si="16"/>
        <v>5000</v>
      </c>
      <c r="Q553" s="49">
        <f t="shared" si="17"/>
        <v>5000</v>
      </c>
    </row>
    <row r="554" spans="1:17" ht="13" x14ac:dyDescent="0.35">
      <c r="A554" s="11" t="s">
        <v>93</v>
      </c>
      <c r="B554" s="163" t="s">
        <v>621</v>
      </c>
      <c r="C554" s="284"/>
      <c r="D554" s="284"/>
      <c r="E554" s="284"/>
      <c r="F554" s="11"/>
      <c r="G554" s="11"/>
      <c r="H554" s="43" t="s">
        <v>95</v>
      </c>
      <c r="I554" s="44"/>
      <c r="J554" s="45"/>
      <c r="K554" s="47"/>
      <c r="L554" s="48"/>
      <c r="M554" s="46"/>
      <c r="N554" s="46"/>
      <c r="O554" s="407"/>
      <c r="P554" s="49">
        <f t="shared" si="16"/>
        <v>0</v>
      </c>
      <c r="Q554" s="49">
        <f t="shared" si="17"/>
        <v>0</v>
      </c>
    </row>
    <row r="555" spans="1:17" ht="13" x14ac:dyDescent="0.35">
      <c r="A555" s="11" t="s">
        <v>93</v>
      </c>
      <c r="B555" s="163" t="s">
        <v>621</v>
      </c>
      <c r="C555" s="284"/>
      <c r="D555" s="284"/>
      <c r="E555" s="284"/>
      <c r="F555" s="11"/>
      <c r="G555" s="11"/>
      <c r="H555" s="43" t="s">
        <v>96</v>
      </c>
      <c r="I555" s="44"/>
      <c r="J555" s="45"/>
      <c r="K555" s="47"/>
      <c r="L555" s="55"/>
      <c r="M555" s="46"/>
      <c r="N555" s="46"/>
      <c r="O555" s="407"/>
      <c r="P555" s="56">
        <f t="shared" si="16"/>
        <v>0</v>
      </c>
      <c r="Q555" s="56">
        <f t="shared" si="17"/>
        <v>0</v>
      </c>
    </row>
    <row r="556" spans="1:17" ht="13" x14ac:dyDescent="0.35">
      <c r="A556" s="11" t="s">
        <v>93</v>
      </c>
      <c r="B556" s="163" t="s">
        <v>621</v>
      </c>
      <c r="C556" s="284"/>
      <c r="D556" s="284"/>
      <c r="E556" s="284"/>
      <c r="F556" s="11"/>
      <c r="G556" s="11"/>
      <c r="H556" s="43" t="s">
        <v>622</v>
      </c>
      <c r="I556" s="44"/>
      <c r="J556" s="45"/>
      <c r="K556" s="47"/>
      <c r="L556" s="55"/>
      <c r="M556" s="46"/>
      <c r="N556" s="46"/>
      <c r="O556" s="407"/>
      <c r="P556" s="56">
        <f t="shared" si="16"/>
        <v>0</v>
      </c>
      <c r="Q556" s="56">
        <f t="shared" si="17"/>
        <v>0</v>
      </c>
    </row>
    <row r="557" spans="1:17" s="172" customFormat="1" ht="13" x14ac:dyDescent="0.35">
      <c r="A557" s="11" t="s">
        <v>93</v>
      </c>
      <c r="B557" s="163" t="s">
        <v>621</v>
      </c>
      <c r="C557" s="284"/>
      <c r="D557" s="284"/>
      <c r="E557" s="284"/>
      <c r="F557" s="164"/>
      <c r="G557" s="165"/>
      <c r="H557" s="153" t="s">
        <v>623</v>
      </c>
      <c r="I557" s="166"/>
      <c r="J557" s="167"/>
      <c r="K557" s="169"/>
      <c r="L557" s="170"/>
      <c r="M557" s="168"/>
      <c r="N557" s="168"/>
      <c r="O557" s="420"/>
      <c r="P557" s="171">
        <f t="shared" si="16"/>
        <v>0</v>
      </c>
      <c r="Q557" s="171">
        <f t="shared" si="17"/>
        <v>0</v>
      </c>
    </row>
    <row r="558" spans="1:17" s="172" customFormat="1" ht="13" x14ac:dyDescent="0.35">
      <c r="A558" s="11" t="s">
        <v>93</v>
      </c>
      <c r="B558" s="163" t="s">
        <v>621</v>
      </c>
      <c r="C558" s="284"/>
      <c r="D558" s="284"/>
      <c r="E558" s="284"/>
      <c r="F558" s="173"/>
      <c r="G558" s="174"/>
      <c r="H558" s="154" t="s">
        <v>100</v>
      </c>
      <c r="I558" s="175"/>
      <c r="J558" s="176"/>
      <c r="K558" s="178"/>
      <c r="L558" s="179"/>
      <c r="M558" s="177"/>
      <c r="N558" s="177"/>
      <c r="O558" s="421"/>
      <c r="P558" s="180">
        <f t="shared" si="16"/>
        <v>0</v>
      </c>
      <c r="Q558" s="180">
        <f t="shared" si="17"/>
        <v>0</v>
      </c>
    </row>
    <row r="559" spans="1:17" s="172" customFormat="1" ht="13" x14ac:dyDescent="0.35">
      <c r="A559" s="11" t="s">
        <v>93</v>
      </c>
      <c r="B559" s="163" t="s">
        <v>621</v>
      </c>
      <c r="C559" s="284"/>
      <c r="D559" s="284"/>
      <c r="E559" s="284"/>
      <c r="F559" s="173"/>
      <c r="G559" s="174"/>
      <c r="H559" s="155" t="s">
        <v>101</v>
      </c>
      <c r="I559" s="175"/>
      <c r="J559" s="176"/>
      <c r="K559" s="178"/>
      <c r="L559" s="179"/>
      <c r="M559" s="177"/>
      <c r="N559" s="177"/>
      <c r="O559" s="421"/>
      <c r="P559" s="180">
        <f t="shared" si="16"/>
        <v>0</v>
      </c>
      <c r="Q559" s="180">
        <f t="shared" si="17"/>
        <v>0</v>
      </c>
    </row>
    <row r="560" spans="1:17" s="187" customFormat="1" ht="13" x14ac:dyDescent="0.35">
      <c r="A560" s="11" t="s">
        <v>93</v>
      </c>
      <c r="B560" s="163" t="s">
        <v>621</v>
      </c>
      <c r="C560" s="284"/>
      <c r="D560" s="284"/>
      <c r="E560" s="284"/>
      <c r="F560" s="181"/>
      <c r="G560" s="181"/>
      <c r="H560" s="57" t="s">
        <v>624</v>
      </c>
      <c r="I560" s="110"/>
      <c r="J560" s="182"/>
      <c r="K560" s="184"/>
      <c r="L560" s="185"/>
      <c r="M560" s="183"/>
      <c r="N560" s="183"/>
      <c r="O560" s="422"/>
      <c r="P560" s="186">
        <f t="shared" si="16"/>
        <v>0</v>
      </c>
      <c r="Q560" s="186">
        <f t="shared" si="17"/>
        <v>0</v>
      </c>
    </row>
    <row r="561" spans="1:17" s="187" customFormat="1" ht="25" x14ac:dyDescent="0.35">
      <c r="A561" s="11" t="s">
        <v>93</v>
      </c>
      <c r="B561" s="163" t="s">
        <v>621</v>
      </c>
      <c r="C561" s="284"/>
      <c r="D561" s="284"/>
      <c r="E561" s="284"/>
      <c r="F561" s="181" t="s">
        <v>20</v>
      </c>
      <c r="G561" s="181"/>
      <c r="H561" s="60" t="s">
        <v>625</v>
      </c>
      <c r="I561" s="110" t="s">
        <v>468</v>
      </c>
      <c r="J561" s="182">
        <v>1</v>
      </c>
      <c r="K561" s="184">
        <v>10000</v>
      </c>
      <c r="L561" s="185">
        <f>J561*K561</f>
        <v>10000</v>
      </c>
      <c r="M561" s="183">
        <v>1</v>
      </c>
      <c r="N561" s="183">
        <v>1</v>
      </c>
      <c r="O561" s="422">
        <v>10000</v>
      </c>
      <c r="P561" s="186">
        <f t="shared" si="16"/>
        <v>10000</v>
      </c>
      <c r="Q561" s="186">
        <f t="shared" si="17"/>
        <v>10000</v>
      </c>
    </row>
    <row r="562" spans="1:17" s="187" customFormat="1" x14ac:dyDescent="0.35">
      <c r="A562" s="11" t="s">
        <v>93</v>
      </c>
      <c r="B562" s="163" t="s">
        <v>621</v>
      </c>
      <c r="C562" s="284"/>
      <c r="D562" s="284"/>
      <c r="E562" s="284"/>
      <c r="F562" s="181" t="s">
        <v>26</v>
      </c>
      <c r="G562" s="181"/>
      <c r="H562" s="188" t="s">
        <v>626</v>
      </c>
      <c r="I562" s="110" t="s">
        <v>627</v>
      </c>
      <c r="J562" s="189">
        <v>0.05</v>
      </c>
      <c r="K562" s="184">
        <f>K561</f>
        <v>10000</v>
      </c>
      <c r="L562" s="185">
        <f>J562*K562</f>
        <v>500</v>
      </c>
      <c r="M562" s="190">
        <v>0.05</v>
      </c>
      <c r="N562" s="190">
        <v>0.05</v>
      </c>
      <c r="O562" s="422">
        <f>O561</f>
        <v>10000</v>
      </c>
      <c r="P562" s="186">
        <f t="shared" si="16"/>
        <v>500</v>
      </c>
      <c r="Q562" s="186">
        <f t="shared" si="17"/>
        <v>500</v>
      </c>
    </row>
    <row r="563" spans="1:17" s="187" customFormat="1" x14ac:dyDescent="0.35">
      <c r="A563" s="11" t="s">
        <v>93</v>
      </c>
      <c r="B563" s="163" t="s">
        <v>621</v>
      </c>
      <c r="C563" s="284"/>
      <c r="D563" s="284"/>
      <c r="E563" s="284"/>
      <c r="F563" s="181" t="s">
        <v>29</v>
      </c>
      <c r="G563" s="181"/>
      <c r="H563" s="188" t="s">
        <v>628</v>
      </c>
      <c r="I563" s="110" t="s">
        <v>627</v>
      </c>
      <c r="J563" s="189">
        <v>0.1</v>
      </c>
      <c r="K563" s="184">
        <f>K562</f>
        <v>10000</v>
      </c>
      <c r="L563" s="185">
        <f>J563*K563</f>
        <v>1000</v>
      </c>
      <c r="M563" s="190">
        <v>0.1</v>
      </c>
      <c r="N563" s="190">
        <v>0.1</v>
      </c>
      <c r="O563" s="422">
        <f>O562</f>
        <v>10000</v>
      </c>
      <c r="P563" s="186">
        <f t="shared" si="16"/>
        <v>1000</v>
      </c>
      <c r="Q563" s="186">
        <f t="shared" si="17"/>
        <v>1000</v>
      </c>
    </row>
    <row r="564" spans="1:17" s="187" customFormat="1" ht="13" x14ac:dyDescent="0.35">
      <c r="A564" s="11" t="s">
        <v>93</v>
      </c>
      <c r="B564" s="163" t="s">
        <v>621</v>
      </c>
      <c r="C564" s="284"/>
      <c r="D564" s="284"/>
      <c r="E564" s="284"/>
      <c r="F564" s="181"/>
      <c r="G564" s="181"/>
      <c r="H564" s="57" t="s">
        <v>629</v>
      </c>
      <c r="I564" s="110"/>
      <c r="J564" s="182"/>
      <c r="K564" s="184"/>
      <c r="L564" s="185"/>
      <c r="M564" s="183"/>
      <c r="N564" s="183"/>
      <c r="O564" s="422"/>
      <c r="P564" s="186">
        <f t="shared" si="16"/>
        <v>0</v>
      </c>
      <c r="Q564" s="186">
        <f t="shared" si="17"/>
        <v>0</v>
      </c>
    </row>
    <row r="565" spans="1:17" s="187" customFormat="1" ht="25" x14ac:dyDescent="0.35">
      <c r="A565" s="11" t="s">
        <v>93</v>
      </c>
      <c r="B565" s="163" t="s">
        <v>621</v>
      </c>
      <c r="C565" s="284"/>
      <c r="D565" s="284"/>
      <c r="E565" s="284"/>
      <c r="F565" s="181" t="s">
        <v>32</v>
      </c>
      <c r="G565" s="181"/>
      <c r="H565" s="67" t="s">
        <v>630</v>
      </c>
      <c r="I565" s="110" t="s">
        <v>468</v>
      </c>
      <c r="J565" s="182">
        <v>1</v>
      </c>
      <c r="K565" s="184">
        <v>5000</v>
      </c>
      <c r="L565" s="185">
        <f>J565*K565</f>
        <v>5000</v>
      </c>
      <c r="M565" s="183">
        <v>1</v>
      </c>
      <c r="N565" s="183">
        <v>1</v>
      </c>
      <c r="O565" s="422">
        <v>5000</v>
      </c>
      <c r="P565" s="186">
        <f t="shared" si="16"/>
        <v>5000</v>
      </c>
      <c r="Q565" s="186">
        <f t="shared" si="17"/>
        <v>5000</v>
      </c>
    </row>
    <row r="566" spans="1:17" s="187" customFormat="1" x14ac:dyDescent="0.35">
      <c r="A566" s="11" t="s">
        <v>93</v>
      </c>
      <c r="B566" s="163" t="s">
        <v>621</v>
      </c>
      <c r="C566" s="284"/>
      <c r="D566" s="284"/>
      <c r="E566" s="284"/>
      <c r="F566" s="181" t="s">
        <v>36</v>
      </c>
      <c r="G566" s="181"/>
      <c r="H566" s="188" t="s">
        <v>626</v>
      </c>
      <c r="I566" s="110" t="s">
        <v>627</v>
      </c>
      <c r="J566" s="189">
        <v>0.05</v>
      </c>
      <c r="K566" s="184">
        <f>K565</f>
        <v>5000</v>
      </c>
      <c r="L566" s="185">
        <f>J566*K566</f>
        <v>250</v>
      </c>
      <c r="M566" s="190">
        <v>0.05</v>
      </c>
      <c r="N566" s="190">
        <v>0.05</v>
      </c>
      <c r="O566" s="422">
        <f>O565</f>
        <v>5000</v>
      </c>
      <c r="P566" s="186">
        <f t="shared" si="16"/>
        <v>250</v>
      </c>
      <c r="Q566" s="186">
        <f t="shared" si="17"/>
        <v>250</v>
      </c>
    </row>
    <row r="567" spans="1:17" s="187" customFormat="1" x14ac:dyDescent="0.35">
      <c r="A567" s="11" t="s">
        <v>93</v>
      </c>
      <c r="B567" s="163" t="s">
        <v>621</v>
      </c>
      <c r="C567" s="284"/>
      <c r="D567" s="284"/>
      <c r="E567" s="284"/>
      <c r="F567" s="181" t="s">
        <v>39</v>
      </c>
      <c r="G567" s="181"/>
      <c r="H567" s="188" t="s">
        <v>628</v>
      </c>
      <c r="I567" s="110" t="s">
        <v>627</v>
      </c>
      <c r="J567" s="189">
        <v>0.1</v>
      </c>
      <c r="K567" s="184">
        <f>K566</f>
        <v>5000</v>
      </c>
      <c r="L567" s="185">
        <f>J567*K567</f>
        <v>500</v>
      </c>
      <c r="M567" s="190">
        <v>0.1</v>
      </c>
      <c r="N567" s="190">
        <v>0.1</v>
      </c>
      <c r="O567" s="422">
        <f>O566</f>
        <v>5000</v>
      </c>
      <c r="P567" s="186">
        <f t="shared" si="16"/>
        <v>500</v>
      </c>
      <c r="Q567" s="186">
        <f t="shared" si="17"/>
        <v>500</v>
      </c>
    </row>
    <row r="568" spans="1:17" s="187" customFormat="1" ht="13" x14ac:dyDescent="0.35">
      <c r="A568" s="11" t="s">
        <v>93</v>
      </c>
      <c r="B568" s="163" t="s">
        <v>621</v>
      </c>
      <c r="C568" s="284"/>
      <c r="D568" s="284"/>
      <c r="E568" s="284"/>
      <c r="F568" s="181"/>
      <c r="G568" s="181"/>
      <c r="H568" s="57" t="s">
        <v>631</v>
      </c>
      <c r="I568" s="110"/>
      <c r="J568" s="182"/>
      <c r="K568" s="184"/>
      <c r="L568" s="185"/>
      <c r="M568" s="183"/>
      <c r="N568" s="183"/>
      <c r="O568" s="422"/>
      <c r="P568" s="186">
        <f t="shared" si="16"/>
        <v>0</v>
      </c>
      <c r="Q568" s="186">
        <f t="shared" si="17"/>
        <v>0</v>
      </c>
    </row>
    <row r="569" spans="1:17" s="187" customFormat="1" ht="25" x14ac:dyDescent="0.35">
      <c r="A569" s="11" t="s">
        <v>93</v>
      </c>
      <c r="B569" s="163" t="s">
        <v>621</v>
      </c>
      <c r="C569" s="284"/>
      <c r="D569" s="284"/>
      <c r="E569" s="284"/>
      <c r="F569" s="181" t="s">
        <v>42</v>
      </c>
      <c r="G569" s="181"/>
      <c r="H569" s="67" t="s">
        <v>632</v>
      </c>
      <c r="I569" s="110" t="s">
        <v>468</v>
      </c>
      <c r="J569" s="182">
        <v>1</v>
      </c>
      <c r="K569" s="184">
        <v>20000</v>
      </c>
      <c r="L569" s="185">
        <f>J569*K569</f>
        <v>20000</v>
      </c>
      <c r="M569" s="183">
        <v>1</v>
      </c>
      <c r="N569" s="183">
        <v>1</v>
      </c>
      <c r="O569" s="422">
        <v>20000</v>
      </c>
      <c r="P569" s="186">
        <f t="shared" si="16"/>
        <v>20000</v>
      </c>
      <c r="Q569" s="186">
        <f t="shared" si="17"/>
        <v>20000</v>
      </c>
    </row>
    <row r="570" spans="1:17" s="187" customFormat="1" x14ac:dyDescent="0.35">
      <c r="A570" s="11" t="s">
        <v>93</v>
      </c>
      <c r="B570" s="163" t="s">
        <v>621</v>
      </c>
      <c r="C570" s="284"/>
      <c r="D570" s="284"/>
      <c r="E570" s="284"/>
      <c r="F570" s="181" t="s">
        <v>45</v>
      </c>
      <c r="G570" s="181"/>
      <c r="H570" s="188" t="s">
        <v>626</v>
      </c>
      <c r="I570" s="110" t="s">
        <v>627</v>
      </c>
      <c r="J570" s="189">
        <v>0.05</v>
      </c>
      <c r="K570" s="184">
        <f>K569</f>
        <v>20000</v>
      </c>
      <c r="L570" s="185">
        <f>J570*K570</f>
        <v>1000</v>
      </c>
      <c r="M570" s="190">
        <v>0.05</v>
      </c>
      <c r="N570" s="190">
        <v>0.05</v>
      </c>
      <c r="O570" s="422">
        <f>O569</f>
        <v>20000</v>
      </c>
      <c r="P570" s="186">
        <f t="shared" si="16"/>
        <v>1000</v>
      </c>
      <c r="Q570" s="186">
        <f t="shared" si="17"/>
        <v>1000</v>
      </c>
    </row>
    <row r="571" spans="1:17" s="187" customFormat="1" x14ac:dyDescent="0.35">
      <c r="A571" s="11" t="s">
        <v>93</v>
      </c>
      <c r="B571" s="163" t="s">
        <v>621</v>
      </c>
      <c r="C571" s="284"/>
      <c r="D571" s="284"/>
      <c r="E571" s="284"/>
      <c r="F571" s="181" t="s">
        <v>48</v>
      </c>
      <c r="G571" s="181"/>
      <c r="H571" s="188" t="s">
        <v>628</v>
      </c>
      <c r="I571" s="110" t="s">
        <v>627</v>
      </c>
      <c r="J571" s="189">
        <v>0.1</v>
      </c>
      <c r="K571" s="184">
        <f>K570</f>
        <v>20000</v>
      </c>
      <c r="L571" s="185">
        <f>J571*K571</f>
        <v>2000</v>
      </c>
      <c r="M571" s="190">
        <v>0.1</v>
      </c>
      <c r="N571" s="190">
        <v>0.1</v>
      </c>
      <c r="O571" s="422">
        <f>O570</f>
        <v>20000</v>
      </c>
      <c r="P571" s="186">
        <f t="shared" si="16"/>
        <v>2000</v>
      </c>
      <c r="Q571" s="186">
        <f t="shared" si="17"/>
        <v>2000</v>
      </c>
    </row>
    <row r="572" spans="1:17" ht="13" x14ac:dyDescent="0.35">
      <c r="A572" s="11" t="s">
        <v>633</v>
      </c>
      <c r="B572" s="163" t="s">
        <v>94</v>
      </c>
      <c r="C572" s="284"/>
      <c r="D572" s="284"/>
      <c r="E572" s="284"/>
      <c r="F572" s="11"/>
      <c r="G572" s="11"/>
      <c r="H572" s="43" t="s">
        <v>634</v>
      </c>
      <c r="I572" s="44"/>
      <c r="J572" s="45"/>
      <c r="K572" s="47"/>
      <c r="L572" s="48"/>
      <c r="M572" s="46"/>
      <c r="N572" s="46"/>
      <c r="O572" s="407"/>
      <c r="P572" s="49">
        <f t="shared" si="16"/>
        <v>0</v>
      </c>
      <c r="Q572" s="49">
        <f t="shared" si="17"/>
        <v>0</v>
      </c>
    </row>
    <row r="573" spans="1:17" ht="13" x14ac:dyDescent="0.35">
      <c r="A573" s="11" t="s">
        <v>633</v>
      </c>
      <c r="B573" s="163" t="s">
        <v>94</v>
      </c>
      <c r="C573" s="284"/>
      <c r="D573" s="284"/>
      <c r="E573" s="284"/>
      <c r="F573" s="11"/>
      <c r="G573" s="11"/>
      <c r="H573" s="43" t="s">
        <v>635</v>
      </c>
      <c r="I573" s="44"/>
      <c r="J573" s="45"/>
      <c r="K573" s="47"/>
      <c r="L573" s="48"/>
      <c r="M573" s="46"/>
      <c r="N573" s="46"/>
      <c r="O573" s="407"/>
      <c r="P573" s="49">
        <f t="shared" si="16"/>
        <v>0</v>
      </c>
      <c r="Q573" s="49">
        <f t="shared" si="17"/>
        <v>0</v>
      </c>
    </row>
    <row r="574" spans="1:17" ht="13" x14ac:dyDescent="0.35">
      <c r="A574" s="11" t="s">
        <v>633</v>
      </c>
      <c r="B574" s="163" t="s">
        <v>94</v>
      </c>
      <c r="C574" s="284"/>
      <c r="D574" s="284"/>
      <c r="E574" s="284"/>
      <c r="F574" s="11"/>
      <c r="G574" s="11"/>
      <c r="H574" s="43" t="s">
        <v>97</v>
      </c>
      <c r="I574" s="44"/>
      <c r="J574" s="45"/>
      <c r="K574" s="47"/>
      <c r="L574" s="48"/>
      <c r="M574" s="46"/>
      <c r="N574" s="46"/>
      <c r="O574" s="407"/>
      <c r="P574" s="49">
        <f t="shared" si="16"/>
        <v>0</v>
      </c>
      <c r="Q574" s="49">
        <f t="shared" si="17"/>
        <v>0</v>
      </c>
    </row>
    <row r="575" spans="1:17" ht="13" x14ac:dyDescent="0.35">
      <c r="A575" s="11" t="s">
        <v>633</v>
      </c>
      <c r="B575" s="163" t="s">
        <v>94</v>
      </c>
      <c r="C575" s="284"/>
      <c r="D575" s="361"/>
      <c r="E575" s="361"/>
      <c r="F575" s="50"/>
      <c r="G575" s="50" t="s">
        <v>98</v>
      </c>
      <c r="H575" s="43" t="s">
        <v>99</v>
      </c>
      <c r="I575" s="51"/>
      <c r="J575" s="52"/>
      <c r="K575" s="54"/>
      <c r="L575" s="55"/>
      <c r="M575" s="53"/>
      <c r="N575" s="53"/>
      <c r="O575" s="408"/>
      <c r="P575" s="56">
        <f t="shared" si="16"/>
        <v>0</v>
      </c>
      <c r="Q575" s="56">
        <f t="shared" si="17"/>
        <v>0</v>
      </c>
    </row>
    <row r="576" spans="1:17" ht="13" x14ac:dyDescent="0.35">
      <c r="A576" s="11" t="s">
        <v>633</v>
      </c>
      <c r="B576" s="163" t="s">
        <v>94</v>
      </c>
      <c r="C576" s="284"/>
      <c r="D576" s="284"/>
      <c r="E576" s="284"/>
      <c r="F576" s="11"/>
      <c r="G576" s="11"/>
      <c r="H576" s="57" t="s">
        <v>100</v>
      </c>
      <c r="I576" s="44"/>
      <c r="J576" s="58"/>
      <c r="K576" s="47"/>
      <c r="L576" s="48"/>
      <c r="M576" s="59"/>
      <c r="N576" s="59"/>
      <c r="O576" s="407"/>
      <c r="P576" s="49">
        <f t="shared" si="16"/>
        <v>0</v>
      </c>
      <c r="Q576" s="49">
        <f t="shared" si="17"/>
        <v>0</v>
      </c>
    </row>
    <row r="577" spans="1:17" x14ac:dyDescent="0.35">
      <c r="A577" s="11" t="s">
        <v>633</v>
      </c>
      <c r="B577" s="163" t="s">
        <v>94</v>
      </c>
      <c r="C577" s="284"/>
      <c r="D577" s="284"/>
      <c r="E577" s="284"/>
      <c r="F577" s="11"/>
      <c r="G577" s="11"/>
      <c r="H577" s="60" t="s">
        <v>101</v>
      </c>
      <c r="I577" s="44"/>
      <c r="J577" s="58"/>
      <c r="K577" s="47"/>
      <c r="L577" s="48"/>
      <c r="M577" s="59"/>
      <c r="N577" s="59"/>
      <c r="O577" s="407"/>
      <c r="P577" s="49">
        <f t="shared" si="16"/>
        <v>0</v>
      </c>
      <c r="Q577" s="49">
        <f t="shared" si="17"/>
        <v>0</v>
      </c>
    </row>
    <row r="578" spans="1:17" ht="13" x14ac:dyDescent="0.35">
      <c r="A578" s="11" t="s">
        <v>633</v>
      </c>
      <c r="B578" s="163" t="s">
        <v>94</v>
      </c>
      <c r="C578" s="284"/>
      <c r="D578" s="284"/>
      <c r="E578" s="284"/>
      <c r="F578" s="11"/>
      <c r="G578" s="11"/>
      <c r="H578" s="57" t="s">
        <v>102</v>
      </c>
      <c r="I578" s="44"/>
      <c r="J578" s="58"/>
      <c r="K578" s="47"/>
      <c r="L578" s="48"/>
      <c r="M578" s="59"/>
      <c r="N578" s="59"/>
      <c r="O578" s="407"/>
      <c r="P578" s="49">
        <f t="shared" si="16"/>
        <v>0</v>
      </c>
      <c r="Q578" s="49">
        <f t="shared" si="17"/>
        <v>0</v>
      </c>
    </row>
    <row r="579" spans="1:17" ht="13" x14ac:dyDescent="0.35">
      <c r="A579" s="11" t="s">
        <v>633</v>
      </c>
      <c r="B579" s="163" t="s">
        <v>94</v>
      </c>
      <c r="C579" s="284"/>
      <c r="D579" s="284"/>
      <c r="E579" s="284"/>
      <c r="F579" s="11"/>
      <c r="G579" s="11"/>
      <c r="H579" s="57" t="s">
        <v>103</v>
      </c>
      <c r="I579" s="44"/>
      <c r="J579" s="58"/>
      <c r="K579" s="47"/>
      <c r="L579" s="48"/>
      <c r="M579" s="59"/>
      <c r="N579" s="59"/>
      <c r="O579" s="407"/>
      <c r="P579" s="49">
        <f t="shared" si="16"/>
        <v>0</v>
      </c>
      <c r="Q579" s="49">
        <f t="shared" si="17"/>
        <v>0</v>
      </c>
    </row>
    <row r="580" spans="1:17" ht="37.5" x14ac:dyDescent="0.35">
      <c r="A580" s="11" t="s">
        <v>633</v>
      </c>
      <c r="B580" s="163" t="s">
        <v>94</v>
      </c>
      <c r="C580" s="284"/>
      <c r="D580" s="284"/>
      <c r="E580" s="284"/>
      <c r="F580" s="11"/>
      <c r="G580" s="11"/>
      <c r="H580" s="60" t="s">
        <v>104</v>
      </c>
      <c r="I580" s="44"/>
      <c r="J580" s="58"/>
      <c r="K580" s="47"/>
      <c r="L580" s="48"/>
      <c r="M580" s="59"/>
      <c r="N580" s="59"/>
      <c r="O580" s="407"/>
      <c r="P580" s="49">
        <f t="shared" si="16"/>
        <v>0</v>
      </c>
      <c r="Q580" s="49">
        <f t="shared" si="17"/>
        <v>0</v>
      </c>
    </row>
    <row r="581" spans="1:17" ht="13" x14ac:dyDescent="0.35">
      <c r="A581" s="11" t="s">
        <v>633</v>
      </c>
      <c r="B581" s="163" t="s">
        <v>94</v>
      </c>
      <c r="C581" s="284"/>
      <c r="D581" s="284"/>
      <c r="E581" s="284"/>
      <c r="F581" s="11"/>
      <c r="G581" s="61" t="s">
        <v>105</v>
      </c>
      <c r="H581" s="57" t="s">
        <v>106</v>
      </c>
      <c r="I581" s="44"/>
      <c r="J581" s="58"/>
      <c r="K581" s="47"/>
      <c r="L581" s="48"/>
      <c r="M581" s="59"/>
      <c r="N581" s="59"/>
      <c r="O581" s="407"/>
      <c r="P581" s="49">
        <f t="shared" si="16"/>
        <v>0</v>
      </c>
      <c r="Q581" s="49">
        <f t="shared" si="17"/>
        <v>0</v>
      </c>
    </row>
    <row r="582" spans="1:17" x14ac:dyDescent="0.35">
      <c r="A582" s="11" t="s">
        <v>633</v>
      </c>
      <c r="B582" s="163" t="s">
        <v>94</v>
      </c>
      <c r="C582" s="284"/>
      <c r="D582" s="284"/>
      <c r="E582" s="284"/>
      <c r="F582" s="11"/>
      <c r="G582" s="11" t="s">
        <v>21</v>
      </c>
      <c r="H582" s="62" t="s">
        <v>107</v>
      </c>
      <c r="I582" s="44"/>
      <c r="J582" s="58"/>
      <c r="K582" s="47"/>
      <c r="L582" s="48"/>
      <c r="M582" s="59"/>
      <c r="N582" s="59"/>
      <c r="O582" s="407"/>
      <c r="P582" s="49">
        <f t="shared" si="16"/>
        <v>0</v>
      </c>
      <c r="Q582" s="49">
        <f t="shared" si="17"/>
        <v>0</v>
      </c>
    </row>
    <row r="583" spans="1:17" ht="25" x14ac:dyDescent="0.35">
      <c r="A583" s="11" t="s">
        <v>633</v>
      </c>
      <c r="B583" s="163" t="s">
        <v>94</v>
      </c>
      <c r="C583" s="284"/>
      <c r="D583" s="284"/>
      <c r="E583" s="284"/>
      <c r="F583" s="11" t="s">
        <v>20</v>
      </c>
      <c r="G583" s="11" t="s">
        <v>108</v>
      </c>
      <c r="H583" s="60" t="s">
        <v>109</v>
      </c>
      <c r="I583" s="44" t="s">
        <v>110</v>
      </c>
      <c r="J583" s="58">
        <v>459</v>
      </c>
      <c r="K583" s="47">
        <v>25</v>
      </c>
      <c r="L583" s="48">
        <f>K583*J583</f>
        <v>11475</v>
      </c>
      <c r="M583" s="59">
        <v>459</v>
      </c>
      <c r="N583" s="59">
        <v>459</v>
      </c>
      <c r="O583" s="407">
        <v>25</v>
      </c>
      <c r="P583" s="49">
        <f t="shared" si="16"/>
        <v>11475</v>
      </c>
      <c r="Q583" s="49">
        <f t="shared" si="17"/>
        <v>11475</v>
      </c>
    </row>
    <row r="584" spans="1:17" ht="14.5" x14ac:dyDescent="0.35">
      <c r="A584" s="11" t="s">
        <v>633</v>
      </c>
      <c r="B584" s="163" t="s">
        <v>94</v>
      </c>
      <c r="C584" s="284"/>
      <c r="D584" s="284"/>
      <c r="E584" s="284"/>
      <c r="F584" s="11" t="s">
        <v>26</v>
      </c>
      <c r="G584" s="11" t="s">
        <v>111</v>
      </c>
      <c r="H584" s="60" t="s">
        <v>112</v>
      </c>
      <c r="I584" s="44" t="s">
        <v>110</v>
      </c>
      <c r="J584" s="58">
        <f>J583</f>
        <v>459</v>
      </c>
      <c r="K584" s="47">
        <v>50</v>
      </c>
      <c r="L584" s="48">
        <f>K584*J584</f>
        <v>22950</v>
      </c>
      <c r="M584" s="59">
        <f>M583</f>
        <v>459</v>
      </c>
      <c r="N584" s="59">
        <f>N583</f>
        <v>459</v>
      </c>
      <c r="O584" s="407">
        <v>50</v>
      </c>
      <c r="P584" s="49">
        <f t="shared" si="16"/>
        <v>22950</v>
      </c>
      <c r="Q584" s="49">
        <f t="shared" si="17"/>
        <v>22950</v>
      </c>
    </row>
    <row r="585" spans="1:17" ht="13" x14ac:dyDescent="0.35">
      <c r="A585" s="11" t="s">
        <v>633</v>
      </c>
      <c r="B585" s="163" t="s">
        <v>94</v>
      </c>
      <c r="C585" s="284"/>
      <c r="D585" s="284"/>
      <c r="E585" s="284"/>
      <c r="F585" s="11"/>
      <c r="G585" s="11"/>
      <c r="H585" s="57" t="s">
        <v>113</v>
      </c>
      <c r="I585" s="44"/>
      <c r="J585" s="58"/>
      <c r="K585" s="47"/>
      <c r="L585" s="48"/>
      <c r="M585" s="59"/>
      <c r="N585" s="59"/>
      <c r="O585" s="407"/>
      <c r="P585" s="49">
        <f t="shared" si="16"/>
        <v>0</v>
      </c>
      <c r="Q585" s="49">
        <f t="shared" si="17"/>
        <v>0</v>
      </c>
    </row>
    <row r="586" spans="1:17" ht="13" x14ac:dyDescent="0.35">
      <c r="A586" s="11" t="s">
        <v>633</v>
      </c>
      <c r="B586" s="163" t="s">
        <v>94</v>
      </c>
      <c r="C586" s="284"/>
      <c r="D586" s="284"/>
      <c r="E586" s="284"/>
      <c r="F586" s="11"/>
      <c r="G586" s="61" t="s">
        <v>56</v>
      </c>
      <c r="H586" s="57" t="s">
        <v>114</v>
      </c>
      <c r="I586" s="44"/>
      <c r="J586" s="63"/>
      <c r="K586" s="47"/>
      <c r="L586" s="48"/>
      <c r="M586" s="64"/>
      <c r="N586" s="64"/>
      <c r="O586" s="407"/>
      <c r="P586" s="49">
        <f t="shared" ref="P586:P649" si="18">O586*M586</f>
        <v>0</v>
      </c>
      <c r="Q586" s="49">
        <f t="shared" ref="Q586:Q649" si="19">O586*N586</f>
        <v>0</v>
      </c>
    </row>
    <row r="587" spans="1:17" ht="14.5" x14ac:dyDescent="0.35">
      <c r="A587" s="11" t="s">
        <v>633</v>
      </c>
      <c r="B587" s="163" t="s">
        <v>94</v>
      </c>
      <c r="C587" s="284"/>
      <c r="D587" s="284"/>
      <c r="E587" s="284"/>
      <c r="F587" s="11" t="s">
        <v>29</v>
      </c>
      <c r="G587" s="61" t="s">
        <v>115</v>
      </c>
      <c r="H587" s="60" t="s">
        <v>116</v>
      </c>
      <c r="I587" s="44" t="s">
        <v>117</v>
      </c>
      <c r="J587" s="63">
        <v>201</v>
      </c>
      <c r="K587" s="47">
        <v>75</v>
      </c>
      <c r="L587" s="48">
        <f>J587*K587</f>
        <v>15075</v>
      </c>
      <c r="M587" s="64">
        <v>201</v>
      </c>
      <c r="N587" s="64">
        <v>201</v>
      </c>
      <c r="O587" s="407">
        <v>75</v>
      </c>
      <c r="P587" s="49">
        <f t="shared" si="18"/>
        <v>15075</v>
      </c>
      <c r="Q587" s="49">
        <f t="shared" si="19"/>
        <v>15075</v>
      </c>
    </row>
    <row r="588" spans="1:17" ht="13" x14ac:dyDescent="0.35">
      <c r="A588" s="11" t="s">
        <v>633</v>
      </c>
      <c r="B588" s="163" t="s">
        <v>94</v>
      </c>
      <c r="C588" s="284"/>
      <c r="D588" s="284"/>
      <c r="E588" s="284"/>
      <c r="F588" s="11"/>
      <c r="G588" s="61"/>
      <c r="H588" s="57" t="s">
        <v>118</v>
      </c>
      <c r="I588" s="44"/>
      <c r="J588" s="63"/>
      <c r="K588" s="47"/>
      <c r="L588" s="48"/>
      <c r="M588" s="64"/>
      <c r="N588" s="64"/>
      <c r="O588" s="407"/>
      <c r="P588" s="49">
        <f t="shared" si="18"/>
        <v>0</v>
      </c>
      <c r="Q588" s="49">
        <f t="shared" si="19"/>
        <v>0</v>
      </c>
    </row>
    <row r="589" spans="1:17" ht="14.5" x14ac:dyDescent="0.35">
      <c r="A589" s="11" t="s">
        <v>633</v>
      </c>
      <c r="B589" s="163" t="s">
        <v>94</v>
      </c>
      <c r="C589" s="284"/>
      <c r="D589" s="284"/>
      <c r="E589" s="284"/>
      <c r="F589" s="11" t="s">
        <v>32</v>
      </c>
      <c r="G589" s="61" t="s">
        <v>119</v>
      </c>
      <c r="H589" s="60" t="s">
        <v>120</v>
      </c>
      <c r="I589" s="44" t="s">
        <v>117</v>
      </c>
      <c r="J589" s="63">
        <f>J587*0.1</f>
        <v>20.100000000000001</v>
      </c>
      <c r="K589" s="47">
        <v>95</v>
      </c>
      <c r="L589" s="48">
        <f>J589*K589</f>
        <v>1909.5000000000002</v>
      </c>
      <c r="M589" s="64">
        <f>M587*0.1</f>
        <v>20.100000000000001</v>
      </c>
      <c r="N589" s="64">
        <f>N587*0.1</f>
        <v>20.100000000000001</v>
      </c>
      <c r="O589" s="407">
        <v>95</v>
      </c>
      <c r="P589" s="49">
        <f t="shared" si="18"/>
        <v>1909.5000000000002</v>
      </c>
      <c r="Q589" s="49">
        <f t="shared" si="19"/>
        <v>1909.5000000000002</v>
      </c>
    </row>
    <row r="590" spans="1:17" ht="14.5" x14ac:dyDescent="0.35">
      <c r="A590" s="11" t="s">
        <v>633</v>
      </c>
      <c r="B590" s="163" t="s">
        <v>94</v>
      </c>
      <c r="C590" s="284"/>
      <c r="D590" s="284"/>
      <c r="E590" s="284"/>
      <c r="F590" s="11" t="s">
        <v>36</v>
      </c>
      <c r="G590" s="61" t="s">
        <v>121</v>
      </c>
      <c r="H590" s="60" t="s">
        <v>122</v>
      </c>
      <c r="I590" s="44" t="s">
        <v>117</v>
      </c>
      <c r="J590" s="63">
        <f>J587*0.05</f>
        <v>10.050000000000001</v>
      </c>
      <c r="K590" s="47">
        <v>350</v>
      </c>
      <c r="L590" s="48">
        <f>J590*K590</f>
        <v>3517.5000000000005</v>
      </c>
      <c r="M590" s="64">
        <f>M587*0.05</f>
        <v>10.050000000000001</v>
      </c>
      <c r="N590" s="64">
        <f>N587*0.05</f>
        <v>10.050000000000001</v>
      </c>
      <c r="O590" s="407">
        <v>350</v>
      </c>
      <c r="P590" s="49">
        <f t="shared" si="18"/>
        <v>3517.5000000000005</v>
      </c>
      <c r="Q590" s="49">
        <f t="shared" si="19"/>
        <v>3517.5000000000005</v>
      </c>
    </row>
    <row r="591" spans="1:17" ht="13" x14ac:dyDescent="0.35">
      <c r="A591" s="11" t="s">
        <v>633</v>
      </c>
      <c r="B591" s="163" t="s">
        <v>94</v>
      </c>
      <c r="C591" s="284"/>
      <c r="D591" s="284"/>
      <c r="E591" s="284"/>
      <c r="F591" s="11"/>
      <c r="G591" s="11" t="s">
        <v>59</v>
      </c>
      <c r="H591" s="57" t="s">
        <v>123</v>
      </c>
      <c r="I591" s="44"/>
      <c r="J591" s="58"/>
      <c r="K591" s="47"/>
      <c r="L591" s="48"/>
      <c r="M591" s="59"/>
      <c r="N591" s="59"/>
      <c r="O591" s="407"/>
      <c r="P591" s="49">
        <f t="shared" si="18"/>
        <v>0</v>
      </c>
      <c r="Q591" s="49">
        <f t="shared" si="19"/>
        <v>0</v>
      </c>
    </row>
    <row r="592" spans="1:17" x14ac:dyDescent="0.35">
      <c r="A592" s="11" t="s">
        <v>633</v>
      </c>
      <c r="B592" s="163" t="s">
        <v>94</v>
      </c>
      <c r="C592" s="284"/>
      <c r="D592" s="284"/>
      <c r="E592" s="284"/>
      <c r="F592" s="11"/>
      <c r="G592" s="11" t="s">
        <v>124</v>
      </c>
      <c r="H592" s="60" t="s">
        <v>125</v>
      </c>
      <c r="I592" s="44"/>
      <c r="J592" s="58"/>
      <c r="K592" s="47"/>
      <c r="L592" s="48"/>
      <c r="M592" s="59"/>
      <c r="N592" s="59"/>
      <c r="O592" s="407"/>
      <c r="P592" s="49">
        <f t="shared" si="18"/>
        <v>0</v>
      </c>
      <c r="Q592" s="49">
        <f t="shared" si="19"/>
        <v>0</v>
      </c>
    </row>
    <row r="593" spans="1:17" ht="25" x14ac:dyDescent="0.35">
      <c r="A593" s="11" t="s">
        <v>633</v>
      </c>
      <c r="B593" s="163" t="s">
        <v>94</v>
      </c>
      <c r="C593" s="284"/>
      <c r="D593" s="284"/>
      <c r="E593" s="284"/>
      <c r="F593" s="11" t="s">
        <v>39</v>
      </c>
      <c r="G593" s="11"/>
      <c r="H593" s="60" t="s">
        <v>126</v>
      </c>
      <c r="I593" s="44" t="s">
        <v>117</v>
      </c>
      <c r="J593" s="58">
        <v>129</v>
      </c>
      <c r="K593" s="47">
        <v>300</v>
      </c>
      <c r="L593" s="48">
        <f>K593*J593</f>
        <v>38700</v>
      </c>
      <c r="M593" s="59">
        <v>129</v>
      </c>
      <c r="N593" s="59">
        <v>129</v>
      </c>
      <c r="O593" s="407">
        <v>300</v>
      </c>
      <c r="P593" s="49">
        <f t="shared" si="18"/>
        <v>38700</v>
      </c>
      <c r="Q593" s="49">
        <f t="shared" si="19"/>
        <v>38700</v>
      </c>
    </row>
    <row r="594" spans="1:17" ht="25" x14ac:dyDescent="0.35">
      <c r="A594" s="11" t="s">
        <v>633</v>
      </c>
      <c r="B594" s="163" t="s">
        <v>94</v>
      </c>
      <c r="C594" s="284"/>
      <c r="D594" s="284"/>
      <c r="E594" s="284"/>
      <c r="F594" s="11" t="s">
        <v>42</v>
      </c>
      <c r="G594" s="11"/>
      <c r="H594" s="60" t="s">
        <v>127</v>
      </c>
      <c r="I594" s="44" t="s">
        <v>117</v>
      </c>
      <c r="J594" s="58">
        <v>272</v>
      </c>
      <c r="K594" s="47">
        <v>300</v>
      </c>
      <c r="L594" s="48">
        <f>K594*J594</f>
        <v>81600</v>
      </c>
      <c r="M594" s="59">
        <v>272</v>
      </c>
      <c r="N594" s="59">
        <v>272</v>
      </c>
      <c r="O594" s="407">
        <v>300</v>
      </c>
      <c r="P594" s="49">
        <f t="shared" si="18"/>
        <v>81600</v>
      </c>
      <c r="Q594" s="49">
        <f t="shared" si="19"/>
        <v>81600</v>
      </c>
    </row>
    <row r="595" spans="1:17" x14ac:dyDescent="0.35">
      <c r="A595" s="11" t="s">
        <v>633</v>
      </c>
      <c r="B595" s="163" t="s">
        <v>94</v>
      </c>
      <c r="C595" s="284"/>
      <c r="D595" s="284"/>
      <c r="E595" s="284"/>
      <c r="F595" s="11" t="s">
        <v>45</v>
      </c>
      <c r="G595" s="61" t="s">
        <v>128</v>
      </c>
      <c r="H595" s="60" t="s">
        <v>129</v>
      </c>
      <c r="I595" s="44"/>
      <c r="J595" s="65"/>
      <c r="K595" s="47"/>
      <c r="L595" s="48"/>
      <c r="M595" s="66"/>
      <c r="N595" s="66"/>
      <c r="O595" s="407"/>
      <c r="P595" s="49">
        <f t="shared" si="18"/>
        <v>0</v>
      </c>
      <c r="Q595" s="49">
        <f t="shared" si="19"/>
        <v>0</v>
      </c>
    </row>
    <row r="596" spans="1:17" ht="14.5" x14ac:dyDescent="0.35">
      <c r="A596" s="11" t="s">
        <v>633</v>
      </c>
      <c r="B596" s="163" t="s">
        <v>94</v>
      </c>
      <c r="C596" s="284"/>
      <c r="D596" s="284"/>
      <c r="E596" s="284"/>
      <c r="F596" s="11" t="s">
        <v>48</v>
      </c>
      <c r="G596" s="61" t="s">
        <v>130</v>
      </c>
      <c r="H596" s="60" t="s">
        <v>131</v>
      </c>
      <c r="I596" s="44" t="s">
        <v>132</v>
      </c>
      <c r="J596" s="63">
        <f>J587*12</f>
        <v>2412</v>
      </c>
      <c r="K596" s="47">
        <v>8</v>
      </c>
      <c r="L596" s="48">
        <f>K596*J596</f>
        <v>19296</v>
      </c>
      <c r="M596" s="64">
        <f>M587*12</f>
        <v>2412</v>
      </c>
      <c r="N596" s="64">
        <f>N587*12</f>
        <v>2412</v>
      </c>
      <c r="O596" s="407">
        <v>8</v>
      </c>
      <c r="P596" s="49">
        <f t="shared" si="18"/>
        <v>19296</v>
      </c>
      <c r="Q596" s="49">
        <f t="shared" si="19"/>
        <v>19296</v>
      </c>
    </row>
    <row r="597" spans="1:17" ht="13" x14ac:dyDescent="0.35">
      <c r="A597" s="11" t="s">
        <v>633</v>
      </c>
      <c r="B597" s="163" t="s">
        <v>94</v>
      </c>
      <c r="C597" s="284"/>
      <c r="D597" s="284"/>
      <c r="E597" s="284"/>
      <c r="F597" s="11"/>
      <c r="G597" s="11"/>
      <c r="H597" s="57" t="s">
        <v>133</v>
      </c>
      <c r="I597" s="44"/>
      <c r="J597" s="58"/>
      <c r="K597" s="47"/>
      <c r="L597" s="48"/>
      <c r="M597" s="59"/>
      <c r="N597" s="59"/>
      <c r="O597" s="407"/>
      <c r="P597" s="49">
        <f t="shared" si="18"/>
        <v>0</v>
      </c>
      <c r="Q597" s="49">
        <f t="shared" si="19"/>
        <v>0</v>
      </c>
    </row>
    <row r="598" spans="1:17" x14ac:dyDescent="0.35">
      <c r="A598" s="11" t="s">
        <v>633</v>
      </c>
      <c r="B598" s="163" t="s">
        <v>94</v>
      </c>
      <c r="C598" s="284"/>
      <c r="D598" s="284"/>
      <c r="E598" s="284"/>
      <c r="F598" s="11"/>
      <c r="G598" s="11"/>
      <c r="H598" s="60" t="s">
        <v>134</v>
      </c>
      <c r="I598" s="44"/>
      <c r="J598" s="58"/>
      <c r="K598" s="47"/>
      <c r="L598" s="48"/>
      <c r="M598" s="59"/>
      <c r="N598" s="59"/>
      <c r="O598" s="407"/>
      <c r="P598" s="49">
        <f t="shared" si="18"/>
        <v>0</v>
      </c>
      <c r="Q598" s="49">
        <f t="shared" si="19"/>
        <v>0</v>
      </c>
    </row>
    <row r="599" spans="1:17" ht="37.5" x14ac:dyDescent="0.35">
      <c r="A599" s="11" t="s">
        <v>633</v>
      </c>
      <c r="B599" s="163" t="s">
        <v>94</v>
      </c>
      <c r="C599" s="284"/>
      <c r="D599" s="284"/>
      <c r="E599" s="284"/>
      <c r="F599" s="11" t="s">
        <v>51</v>
      </c>
      <c r="G599" s="11"/>
      <c r="H599" s="60" t="s">
        <v>135</v>
      </c>
      <c r="I599" s="44" t="s">
        <v>110</v>
      </c>
      <c r="J599" s="58">
        <v>678</v>
      </c>
      <c r="K599" s="47">
        <v>35</v>
      </c>
      <c r="L599" s="48">
        <f>K599*J599</f>
        <v>23730</v>
      </c>
      <c r="M599" s="59">
        <v>678</v>
      </c>
      <c r="N599" s="59">
        <v>678</v>
      </c>
      <c r="O599" s="407">
        <v>35</v>
      </c>
      <c r="P599" s="49">
        <f t="shared" si="18"/>
        <v>23730</v>
      </c>
      <c r="Q599" s="49">
        <f t="shared" si="19"/>
        <v>23730</v>
      </c>
    </row>
    <row r="600" spans="1:17" ht="13" x14ac:dyDescent="0.35">
      <c r="A600" s="11" t="s">
        <v>633</v>
      </c>
      <c r="B600" s="163" t="s">
        <v>136</v>
      </c>
      <c r="C600" s="284"/>
      <c r="D600" s="284"/>
      <c r="E600" s="284"/>
      <c r="F600" s="11"/>
      <c r="G600" s="11"/>
      <c r="H600" s="43" t="s">
        <v>634</v>
      </c>
      <c r="I600" s="44"/>
      <c r="J600" s="45"/>
      <c r="K600" s="47"/>
      <c r="L600" s="48"/>
      <c r="M600" s="46"/>
      <c r="N600" s="46"/>
      <c r="O600" s="407"/>
      <c r="P600" s="49">
        <f t="shared" si="18"/>
        <v>0</v>
      </c>
      <c r="Q600" s="49">
        <f t="shared" si="19"/>
        <v>0</v>
      </c>
    </row>
    <row r="601" spans="1:17" ht="13" x14ac:dyDescent="0.35">
      <c r="A601" s="11" t="s">
        <v>633</v>
      </c>
      <c r="B601" s="163" t="s">
        <v>136</v>
      </c>
      <c r="C601" s="284"/>
      <c r="D601" s="284"/>
      <c r="E601" s="284"/>
      <c r="F601" s="11"/>
      <c r="G601" s="11"/>
      <c r="H601" s="43" t="s">
        <v>635</v>
      </c>
      <c r="I601" s="44"/>
      <c r="J601" s="45"/>
      <c r="K601" s="47"/>
      <c r="L601" s="48"/>
      <c r="M601" s="46"/>
      <c r="N601" s="46"/>
      <c r="O601" s="407"/>
      <c r="P601" s="49">
        <f t="shared" si="18"/>
        <v>0</v>
      </c>
      <c r="Q601" s="49">
        <f t="shared" si="19"/>
        <v>0</v>
      </c>
    </row>
    <row r="602" spans="1:17" ht="13" x14ac:dyDescent="0.35">
      <c r="A602" s="11" t="s">
        <v>633</v>
      </c>
      <c r="B602" s="163" t="s">
        <v>136</v>
      </c>
      <c r="C602" s="284"/>
      <c r="D602" s="284"/>
      <c r="E602" s="284"/>
      <c r="F602" s="11"/>
      <c r="G602" s="11"/>
      <c r="H602" s="43" t="s">
        <v>137</v>
      </c>
      <c r="I602" s="44"/>
      <c r="J602" s="45"/>
      <c r="K602" s="47"/>
      <c r="L602" s="48"/>
      <c r="M602" s="46"/>
      <c r="N602" s="46"/>
      <c r="O602" s="407"/>
      <c r="P602" s="49">
        <f t="shared" si="18"/>
        <v>0</v>
      </c>
      <c r="Q602" s="49">
        <f t="shared" si="19"/>
        <v>0</v>
      </c>
    </row>
    <row r="603" spans="1:17" ht="13" x14ac:dyDescent="0.35">
      <c r="A603" s="11" t="s">
        <v>633</v>
      </c>
      <c r="B603" s="163" t="s">
        <v>136</v>
      </c>
      <c r="C603" s="284"/>
      <c r="D603" s="284"/>
      <c r="E603" s="284"/>
      <c r="F603" s="11"/>
      <c r="G603" s="50" t="s">
        <v>138</v>
      </c>
      <c r="H603" s="43" t="s">
        <v>139</v>
      </c>
      <c r="I603" s="44"/>
      <c r="J603" s="45"/>
      <c r="K603" s="47"/>
      <c r="L603" s="48"/>
      <c r="M603" s="46"/>
      <c r="N603" s="46"/>
      <c r="O603" s="407"/>
      <c r="P603" s="49">
        <f t="shared" si="18"/>
        <v>0</v>
      </c>
      <c r="Q603" s="49">
        <f t="shared" si="19"/>
        <v>0</v>
      </c>
    </row>
    <row r="604" spans="1:17" ht="13" x14ac:dyDescent="0.35">
      <c r="A604" s="11" t="s">
        <v>633</v>
      </c>
      <c r="B604" s="163" t="s">
        <v>136</v>
      </c>
      <c r="C604" s="284"/>
      <c r="D604" s="284"/>
      <c r="E604" s="284"/>
      <c r="F604" s="11"/>
      <c r="G604" s="11"/>
      <c r="H604" s="57" t="s">
        <v>100</v>
      </c>
      <c r="I604" s="44"/>
      <c r="J604" s="45"/>
      <c r="K604" s="47"/>
      <c r="L604" s="48"/>
      <c r="M604" s="46"/>
      <c r="N604" s="46"/>
      <c r="O604" s="407"/>
      <c r="P604" s="49">
        <f t="shared" si="18"/>
        <v>0</v>
      </c>
      <c r="Q604" s="49">
        <f t="shared" si="19"/>
        <v>0</v>
      </c>
    </row>
    <row r="605" spans="1:17" x14ac:dyDescent="0.35">
      <c r="A605" s="11" t="s">
        <v>633</v>
      </c>
      <c r="B605" s="163" t="s">
        <v>136</v>
      </c>
      <c r="C605" s="284"/>
      <c r="D605" s="284"/>
      <c r="E605" s="284"/>
      <c r="F605" s="11"/>
      <c r="G605" s="11"/>
      <c r="H605" s="60" t="s">
        <v>101</v>
      </c>
      <c r="I605" s="44"/>
      <c r="J605" s="45"/>
      <c r="K605" s="47"/>
      <c r="L605" s="48"/>
      <c r="M605" s="46"/>
      <c r="N605" s="46"/>
      <c r="O605" s="407"/>
      <c r="P605" s="49">
        <f t="shared" si="18"/>
        <v>0</v>
      </c>
      <c r="Q605" s="49">
        <f t="shared" si="19"/>
        <v>0</v>
      </c>
    </row>
    <row r="606" spans="1:17" ht="13" x14ac:dyDescent="0.35">
      <c r="A606" s="11" t="s">
        <v>633</v>
      </c>
      <c r="B606" s="163" t="s">
        <v>136</v>
      </c>
      <c r="C606" s="284"/>
      <c r="D606" s="284"/>
      <c r="E606" s="284"/>
      <c r="F606" s="11"/>
      <c r="G606" s="11"/>
      <c r="H606" s="57" t="s">
        <v>102</v>
      </c>
      <c r="I606" s="44"/>
      <c r="J606" s="45"/>
      <c r="K606" s="47"/>
      <c r="L606" s="48"/>
      <c r="M606" s="46"/>
      <c r="N606" s="46"/>
      <c r="O606" s="407"/>
      <c r="P606" s="49">
        <f t="shared" si="18"/>
        <v>0</v>
      </c>
      <c r="Q606" s="49">
        <f t="shared" si="19"/>
        <v>0</v>
      </c>
    </row>
    <row r="607" spans="1:17" ht="13" x14ac:dyDescent="0.35">
      <c r="A607" s="11" t="s">
        <v>633</v>
      </c>
      <c r="B607" s="163" t="s">
        <v>136</v>
      </c>
      <c r="C607" s="284"/>
      <c r="D607" s="284"/>
      <c r="E607" s="284"/>
      <c r="F607" s="11"/>
      <c r="G607" s="11"/>
      <c r="H607" s="57" t="s">
        <v>140</v>
      </c>
      <c r="I607" s="44"/>
      <c r="J607" s="45"/>
      <c r="K607" s="47"/>
      <c r="L607" s="48"/>
      <c r="M607" s="46"/>
      <c r="N607" s="46"/>
      <c r="O607" s="407"/>
      <c r="P607" s="49">
        <f t="shared" si="18"/>
        <v>0</v>
      </c>
      <c r="Q607" s="49">
        <f t="shared" si="19"/>
        <v>0</v>
      </c>
    </row>
    <row r="608" spans="1:17" ht="87.5" x14ac:dyDescent="0.35">
      <c r="A608" s="11" t="s">
        <v>633</v>
      </c>
      <c r="B608" s="163" t="s">
        <v>136</v>
      </c>
      <c r="C608" s="284"/>
      <c r="D608" s="284"/>
      <c r="E608" s="284"/>
      <c r="F608" s="11"/>
      <c r="G608" s="11"/>
      <c r="H608" s="60" t="s">
        <v>141</v>
      </c>
      <c r="I608" s="44"/>
      <c r="J608" s="45"/>
      <c r="K608" s="47"/>
      <c r="L608" s="48"/>
      <c r="M608" s="46"/>
      <c r="N608" s="46"/>
      <c r="O608" s="407"/>
      <c r="P608" s="49">
        <f t="shared" si="18"/>
        <v>0</v>
      </c>
      <c r="Q608" s="49">
        <f t="shared" si="19"/>
        <v>0</v>
      </c>
    </row>
    <row r="609" spans="1:17" ht="13" x14ac:dyDescent="0.35">
      <c r="A609" s="11" t="s">
        <v>633</v>
      </c>
      <c r="B609" s="163" t="s">
        <v>136</v>
      </c>
      <c r="C609" s="284"/>
      <c r="D609" s="284"/>
      <c r="E609" s="284"/>
      <c r="F609" s="11"/>
      <c r="G609" s="11"/>
      <c r="H609" s="57" t="s">
        <v>142</v>
      </c>
      <c r="I609" s="44"/>
      <c r="J609" s="45"/>
      <c r="K609" s="47"/>
      <c r="L609" s="48"/>
      <c r="M609" s="46"/>
      <c r="N609" s="46"/>
      <c r="O609" s="407"/>
      <c r="P609" s="49">
        <f t="shared" si="18"/>
        <v>0</v>
      </c>
      <c r="Q609" s="49">
        <f t="shared" si="19"/>
        <v>0</v>
      </c>
    </row>
    <row r="610" spans="1:17" ht="25" x14ac:dyDescent="0.35">
      <c r="A610" s="11" t="s">
        <v>633</v>
      </c>
      <c r="B610" s="163" t="s">
        <v>136</v>
      </c>
      <c r="C610" s="284"/>
      <c r="D610" s="284"/>
      <c r="E610" s="284"/>
      <c r="F610" s="11"/>
      <c r="G610" s="11"/>
      <c r="H610" s="60" t="s">
        <v>143</v>
      </c>
      <c r="I610" s="44"/>
      <c r="J610" s="45"/>
      <c r="K610" s="47"/>
      <c r="L610" s="48"/>
      <c r="M610" s="46"/>
      <c r="N610" s="46"/>
      <c r="O610" s="407"/>
      <c r="P610" s="49">
        <f t="shared" si="18"/>
        <v>0</v>
      </c>
      <c r="Q610" s="49">
        <f t="shared" si="19"/>
        <v>0</v>
      </c>
    </row>
    <row r="611" spans="1:17" ht="75" x14ac:dyDescent="0.35">
      <c r="A611" s="11" t="s">
        <v>633</v>
      </c>
      <c r="B611" s="163" t="s">
        <v>136</v>
      </c>
      <c r="C611" s="284"/>
      <c r="D611" s="284"/>
      <c r="E611" s="284"/>
      <c r="F611" s="11"/>
      <c r="G611" s="11"/>
      <c r="H611" s="60" t="s">
        <v>144</v>
      </c>
      <c r="I611" s="44"/>
      <c r="J611" s="45"/>
      <c r="K611" s="47"/>
      <c r="L611" s="48"/>
      <c r="M611" s="46"/>
      <c r="N611" s="46"/>
      <c r="O611" s="407"/>
      <c r="P611" s="49">
        <f t="shared" si="18"/>
        <v>0</v>
      </c>
      <c r="Q611" s="49">
        <f t="shared" si="19"/>
        <v>0</v>
      </c>
    </row>
    <row r="612" spans="1:17" x14ac:dyDescent="0.35">
      <c r="A612" s="11" t="s">
        <v>633</v>
      </c>
      <c r="B612" s="163" t="s">
        <v>136</v>
      </c>
      <c r="C612" s="284"/>
      <c r="D612" s="284"/>
      <c r="E612" s="284"/>
      <c r="F612" s="11"/>
      <c r="G612" s="11"/>
      <c r="H612" s="60" t="s">
        <v>145</v>
      </c>
      <c r="I612" s="44"/>
      <c r="J612" s="45"/>
      <c r="K612" s="47"/>
      <c r="L612" s="48"/>
      <c r="M612" s="46"/>
      <c r="N612" s="46"/>
      <c r="O612" s="407"/>
      <c r="P612" s="49">
        <f t="shared" si="18"/>
        <v>0</v>
      </c>
      <c r="Q612" s="49">
        <f t="shared" si="19"/>
        <v>0</v>
      </c>
    </row>
    <row r="613" spans="1:17" ht="25" x14ac:dyDescent="0.35">
      <c r="A613" s="11" t="s">
        <v>633</v>
      </c>
      <c r="B613" s="163" t="s">
        <v>136</v>
      </c>
      <c r="C613" s="284"/>
      <c r="D613" s="284"/>
      <c r="E613" s="284"/>
      <c r="F613" s="11"/>
      <c r="G613" s="11"/>
      <c r="H613" s="60" t="s">
        <v>146</v>
      </c>
      <c r="I613" s="44"/>
      <c r="J613" s="45"/>
      <c r="K613" s="47"/>
      <c r="L613" s="48"/>
      <c r="M613" s="46"/>
      <c r="N613" s="46"/>
      <c r="O613" s="407"/>
      <c r="P613" s="49">
        <f t="shared" si="18"/>
        <v>0</v>
      </c>
      <c r="Q613" s="49">
        <f t="shared" si="19"/>
        <v>0</v>
      </c>
    </row>
    <row r="614" spans="1:17" ht="13" x14ac:dyDescent="0.35">
      <c r="A614" s="11" t="s">
        <v>633</v>
      </c>
      <c r="B614" s="163" t="s">
        <v>136</v>
      </c>
      <c r="C614" s="284"/>
      <c r="D614" s="284"/>
      <c r="E614" s="284"/>
      <c r="F614" s="11"/>
      <c r="G614" s="11" t="s">
        <v>147</v>
      </c>
      <c r="H614" s="57" t="s">
        <v>148</v>
      </c>
      <c r="I614" s="44"/>
      <c r="J614" s="45"/>
      <c r="K614" s="47"/>
      <c r="L614" s="48"/>
      <c r="M614" s="46"/>
      <c r="N614" s="46"/>
      <c r="O614" s="407"/>
      <c r="P614" s="49">
        <f t="shared" si="18"/>
        <v>0</v>
      </c>
      <c r="Q614" s="49">
        <f t="shared" si="19"/>
        <v>0</v>
      </c>
    </row>
    <row r="615" spans="1:17" x14ac:dyDescent="0.35">
      <c r="A615" s="11" t="s">
        <v>633</v>
      </c>
      <c r="B615" s="163" t="s">
        <v>136</v>
      </c>
      <c r="C615" s="284"/>
      <c r="D615" s="284"/>
      <c r="E615" s="284"/>
      <c r="F615" s="11"/>
      <c r="G615" s="11" t="s">
        <v>149</v>
      </c>
      <c r="H615" s="62" t="s">
        <v>150</v>
      </c>
      <c r="I615" s="44"/>
      <c r="J615" s="45"/>
      <c r="K615" s="47"/>
      <c r="L615" s="48"/>
      <c r="M615" s="46"/>
      <c r="N615" s="46"/>
      <c r="O615" s="407"/>
      <c r="P615" s="49">
        <f t="shared" si="18"/>
        <v>0</v>
      </c>
      <c r="Q615" s="49">
        <f t="shared" si="19"/>
        <v>0</v>
      </c>
    </row>
    <row r="616" spans="1:17" ht="14.5" x14ac:dyDescent="0.35">
      <c r="A616" s="11" t="s">
        <v>633</v>
      </c>
      <c r="B616" s="163" t="s">
        <v>136</v>
      </c>
      <c r="C616" s="284"/>
      <c r="D616" s="284"/>
      <c r="E616" s="284"/>
      <c r="F616" s="11" t="s">
        <v>20</v>
      </c>
      <c r="G616" s="11"/>
      <c r="H616" s="67" t="s">
        <v>151</v>
      </c>
      <c r="I616" s="44" t="s">
        <v>110</v>
      </c>
      <c r="J616" s="45">
        <v>152</v>
      </c>
      <c r="K616" s="47">
        <v>285</v>
      </c>
      <c r="L616" s="48">
        <f>J616*K616</f>
        <v>43320</v>
      </c>
      <c r="M616" s="46">
        <v>152</v>
      </c>
      <c r="N616" s="46">
        <v>152</v>
      </c>
      <c r="O616" s="407">
        <v>285</v>
      </c>
      <c r="P616" s="49">
        <f t="shared" si="18"/>
        <v>43320</v>
      </c>
      <c r="Q616" s="49">
        <f t="shared" si="19"/>
        <v>43320</v>
      </c>
    </row>
    <row r="617" spans="1:17" ht="13" x14ac:dyDescent="0.35">
      <c r="A617" s="11" t="s">
        <v>633</v>
      </c>
      <c r="B617" s="163" t="s">
        <v>136</v>
      </c>
      <c r="C617" s="284"/>
      <c r="D617" s="284"/>
      <c r="E617" s="284"/>
      <c r="F617" s="11"/>
      <c r="G617" s="11">
        <v>8.3000000000000007</v>
      </c>
      <c r="H617" s="57" t="s">
        <v>152</v>
      </c>
      <c r="I617" s="44"/>
      <c r="J617" s="45"/>
      <c r="K617" s="47"/>
      <c r="L617" s="48"/>
      <c r="M617" s="46"/>
      <c r="N617" s="46"/>
      <c r="O617" s="407"/>
      <c r="P617" s="49">
        <f t="shared" si="18"/>
        <v>0</v>
      </c>
      <c r="Q617" s="49">
        <f t="shared" si="19"/>
        <v>0</v>
      </c>
    </row>
    <row r="618" spans="1:17" ht="13" x14ac:dyDescent="0.35">
      <c r="A618" s="11" t="s">
        <v>633</v>
      </c>
      <c r="B618" s="163" t="s">
        <v>136</v>
      </c>
      <c r="C618" s="284"/>
      <c r="D618" s="284"/>
      <c r="E618" s="284"/>
      <c r="F618" s="11"/>
      <c r="G618" s="11" t="s">
        <v>21</v>
      </c>
      <c r="H618" s="57" t="s">
        <v>153</v>
      </c>
      <c r="I618" s="44"/>
      <c r="J618" s="45"/>
      <c r="K618" s="47"/>
      <c r="L618" s="48"/>
      <c r="M618" s="46"/>
      <c r="N618" s="46"/>
      <c r="O618" s="407"/>
      <c r="P618" s="49">
        <f t="shared" si="18"/>
        <v>0</v>
      </c>
      <c r="Q618" s="49">
        <f t="shared" si="19"/>
        <v>0</v>
      </c>
    </row>
    <row r="619" spans="1:17" ht="13" x14ac:dyDescent="0.35">
      <c r="A619" s="11" t="s">
        <v>633</v>
      </c>
      <c r="B619" s="163" t="s">
        <v>136</v>
      </c>
      <c r="C619" s="284"/>
      <c r="D619" s="284"/>
      <c r="E619" s="284"/>
      <c r="F619" s="11"/>
      <c r="G619" s="11" t="s">
        <v>21</v>
      </c>
      <c r="H619" s="57" t="s">
        <v>154</v>
      </c>
      <c r="I619" s="44"/>
      <c r="J619" s="45"/>
      <c r="K619" s="47"/>
      <c r="L619" s="48"/>
      <c r="M619" s="46"/>
      <c r="N619" s="46"/>
      <c r="O619" s="407"/>
      <c r="P619" s="49">
        <f t="shared" si="18"/>
        <v>0</v>
      </c>
      <c r="Q619" s="49">
        <f t="shared" si="19"/>
        <v>0</v>
      </c>
    </row>
    <row r="620" spans="1:17" x14ac:dyDescent="0.35">
      <c r="A620" s="11" t="s">
        <v>633</v>
      </c>
      <c r="B620" s="163" t="s">
        <v>136</v>
      </c>
      <c r="C620" s="284"/>
      <c r="D620" s="284"/>
      <c r="E620" s="284"/>
      <c r="F620" s="11"/>
      <c r="G620" s="11"/>
      <c r="H620" s="60" t="s">
        <v>155</v>
      </c>
      <c r="I620" s="44"/>
      <c r="J620" s="45"/>
      <c r="K620" s="47"/>
      <c r="L620" s="48"/>
      <c r="M620" s="46"/>
      <c r="N620" s="46"/>
      <c r="O620" s="407"/>
      <c r="P620" s="49">
        <f t="shared" si="18"/>
        <v>0</v>
      </c>
      <c r="Q620" s="49">
        <f t="shared" si="19"/>
        <v>0</v>
      </c>
    </row>
    <row r="621" spans="1:17" x14ac:dyDescent="0.35">
      <c r="A621" s="11" t="s">
        <v>633</v>
      </c>
      <c r="B621" s="163" t="s">
        <v>136</v>
      </c>
      <c r="C621" s="284"/>
      <c r="D621" s="284"/>
      <c r="E621" s="284"/>
      <c r="F621" s="11" t="s">
        <v>26</v>
      </c>
      <c r="G621" s="11"/>
      <c r="H621" s="60" t="s">
        <v>156</v>
      </c>
      <c r="I621" s="44" t="s">
        <v>157</v>
      </c>
      <c r="J621" s="68">
        <v>1.0880000000000001</v>
      </c>
      <c r="K621" s="47">
        <v>19500</v>
      </c>
      <c r="L621" s="48">
        <f>J621*K621</f>
        <v>21216</v>
      </c>
      <c r="M621" s="69">
        <v>1.0880000000000001</v>
      </c>
      <c r="N621" s="69">
        <v>1.0880000000000001</v>
      </c>
      <c r="O621" s="407">
        <v>19500</v>
      </c>
      <c r="P621" s="49">
        <f t="shared" si="18"/>
        <v>21216</v>
      </c>
      <c r="Q621" s="49">
        <f t="shared" si="19"/>
        <v>21216</v>
      </c>
    </row>
    <row r="622" spans="1:17" x14ac:dyDescent="0.35">
      <c r="A622" s="11" t="s">
        <v>633</v>
      </c>
      <c r="B622" s="163" t="s">
        <v>136</v>
      </c>
      <c r="C622" s="284"/>
      <c r="D622" s="284"/>
      <c r="E622" s="284"/>
      <c r="F622" s="11"/>
      <c r="G622" s="11"/>
      <c r="H622" s="60" t="s">
        <v>158</v>
      </c>
      <c r="I622" s="44"/>
      <c r="J622" s="45"/>
      <c r="K622" s="47"/>
      <c r="L622" s="48"/>
      <c r="M622" s="46"/>
      <c r="N622" s="46"/>
      <c r="O622" s="407"/>
      <c r="P622" s="49">
        <f t="shared" si="18"/>
        <v>0</v>
      </c>
      <c r="Q622" s="49">
        <f t="shared" si="19"/>
        <v>0</v>
      </c>
    </row>
    <row r="623" spans="1:17" x14ac:dyDescent="0.35">
      <c r="A623" s="11" t="s">
        <v>633</v>
      </c>
      <c r="B623" s="163" t="s">
        <v>136</v>
      </c>
      <c r="C623" s="284"/>
      <c r="D623" s="284"/>
      <c r="E623" s="284"/>
      <c r="F623" s="11" t="s">
        <v>29</v>
      </c>
      <c r="G623" s="11"/>
      <c r="H623" s="60" t="s">
        <v>156</v>
      </c>
      <c r="I623" s="44" t="s">
        <v>157</v>
      </c>
      <c r="J623" s="68">
        <v>0.34</v>
      </c>
      <c r="K623" s="47">
        <v>19500</v>
      </c>
      <c r="L623" s="48">
        <f>J623*K623</f>
        <v>6630.0000000000009</v>
      </c>
      <c r="M623" s="69">
        <v>0.34</v>
      </c>
      <c r="N623" s="69">
        <v>0.34</v>
      </c>
      <c r="O623" s="407">
        <v>19500</v>
      </c>
      <c r="P623" s="49">
        <f t="shared" si="18"/>
        <v>6630.0000000000009</v>
      </c>
      <c r="Q623" s="49">
        <f t="shared" si="19"/>
        <v>6630.0000000000009</v>
      </c>
    </row>
    <row r="624" spans="1:17" ht="13" x14ac:dyDescent="0.35">
      <c r="A624" s="11" t="s">
        <v>633</v>
      </c>
      <c r="B624" s="163" t="s">
        <v>136</v>
      </c>
      <c r="C624" s="284"/>
      <c r="D624" s="284"/>
      <c r="E624" s="284"/>
      <c r="F624" s="11"/>
      <c r="G624" s="11" t="s">
        <v>159</v>
      </c>
      <c r="H624" s="57" t="s">
        <v>160</v>
      </c>
      <c r="I624" s="44"/>
      <c r="J624" s="45"/>
      <c r="K624" s="47"/>
      <c r="L624" s="48"/>
      <c r="M624" s="46"/>
      <c r="N624" s="46"/>
      <c r="O624" s="407"/>
      <c r="P624" s="49">
        <f t="shared" si="18"/>
        <v>0</v>
      </c>
      <c r="Q624" s="49">
        <f t="shared" si="19"/>
        <v>0</v>
      </c>
    </row>
    <row r="625" spans="1:17" ht="14.5" x14ac:dyDescent="0.35">
      <c r="A625" s="11" t="s">
        <v>633</v>
      </c>
      <c r="B625" s="163" t="s">
        <v>136</v>
      </c>
      <c r="C625" s="284"/>
      <c r="D625" s="284"/>
      <c r="E625" s="284"/>
      <c r="F625" s="11" t="s">
        <v>32</v>
      </c>
      <c r="G625" s="11"/>
      <c r="H625" s="60" t="s">
        <v>636</v>
      </c>
      <c r="I625" s="44" t="s">
        <v>110</v>
      </c>
      <c r="J625" s="45">
        <v>320</v>
      </c>
      <c r="K625" s="47">
        <v>145</v>
      </c>
      <c r="L625" s="48">
        <f>J625*K625</f>
        <v>46400</v>
      </c>
      <c r="M625" s="46">
        <v>320</v>
      </c>
      <c r="N625" s="46">
        <v>320</v>
      </c>
      <c r="O625" s="407">
        <v>145</v>
      </c>
      <c r="P625" s="49">
        <f t="shared" si="18"/>
        <v>46400</v>
      </c>
      <c r="Q625" s="49">
        <f t="shared" si="19"/>
        <v>46400</v>
      </c>
    </row>
    <row r="626" spans="1:17" ht="14.5" x14ac:dyDescent="0.35">
      <c r="A626" s="11" t="s">
        <v>633</v>
      </c>
      <c r="B626" s="163" t="s">
        <v>136</v>
      </c>
      <c r="C626" s="284"/>
      <c r="D626" s="284"/>
      <c r="E626" s="284"/>
      <c r="F626" s="11" t="s">
        <v>36</v>
      </c>
      <c r="G626" s="11"/>
      <c r="H626" s="60" t="s">
        <v>162</v>
      </c>
      <c r="I626" s="44" t="s">
        <v>110</v>
      </c>
      <c r="J626" s="45">
        <v>11</v>
      </c>
      <c r="K626" s="47">
        <v>145</v>
      </c>
      <c r="L626" s="48">
        <f>J626*K626</f>
        <v>1595</v>
      </c>
      <c r="M626" s="46">
        <v>11</v>
      </c>
      <c r="N626" s="46">
        <v>11</v>
      </c>
      <c r="O626" s="407">
        <v>145</v>
      </c>
      <c r="P626" s="49">
        <f t="shared" si="18"/>
        <v>1595</v>
      </c>
      <c r="Q626" s="49">
        <f t="shared" si="19"/>
        <v>1595</v>
      </c>
    </row>
    <row r="627" spans="1:17" ht="14.5" x14ac:dyDescent="0.35">
      <c r="A627" s="11" t="s">
        <v>633</v>
      </c>
      <c r="B627" s="163" t="s">
        <v>136</v>
      </c>
      <c r="C627" s="284"/>
      <c r="D627" s="284"/>
      <c r="E627" s="284"/>
      <c r="F627" s="11" t="s">
        <v>39</v>
      </c>
      <c r="G627" s="11"/>
      <c r="H627" s="60" t="s">
        <v>163</v>
      </c>
      <c r="I627" s="44" t="s">
        <v>110</v>
      </c>
      <c r="J627" s="45">
        <v>61</v>
      </c>
      <c r="K627" s="47">
        <v>145</v>
      </c>
      <c r="L627" s="48">
        <f>J627*K627</f>
        <v>8845</v>
      </c>
      <c r="M627" s="46">
        <v>61</v>
      </c>
      <c r="N627" s="46">
        <v>61</v>
      </c>
      <c r="O627" s="407">
        <v>145</v>
      </c>
      <c r="P627" s="49">
        <f t="shared" si="18"/>
        <v>8845</v>
      </c>
      <c r="Q627" s="49">
        <f t="shared" si="19"/>
        <v>8845</v>
      </c>
    </row>
    <row r="628" spans="1:17" ht="13" x14ac:dyDescent="0.35">
      <c r="A628" s="11" t="s">
        <v>633</v>
      </c>
      <c r="B628" s="163" t="s">
        <v>136</v>
      </c>
      <c r="C628" s="284"/>
      <c r="D628" s="284"/>
      <c r="E628" s="284"/>
      <c r="F628" s="11"/>
      <c r="G628" s="11" t="s">
        <v>164</v>
      </c>
      <c r="H628" s="57" t="s">
        <v>165</v>
      </c>
      <c r="I628" s="44"/>
      <c r="J628" s="45"/>
      <c r="K628" s="47"/>
      <c r="L628" s="48"/>
      <c r="M628" s="46"/>
      <c r="N628" s="46"/>
      <c r="O628" s="407"/>
      <c r="P628" s="49">
        <f t="shared" si="18"/>
        <v>0</v>
      </c>
      <c r="Q628" s="49">
        <f t="shared" si="19"/>
        <v>0</v>
      </c>
    </row>
    <row r="629" spans="1:17" ht="13" x14ac:dyDescent="0.35">
      <c r="A629" s="11" t="s">
        <v>633</v>
      </c>
      <c r="B629" s="163" t="s">
        <v>136</v>
      </c>
      <c r="C629" s="284"/>
      <c r="D629" s="284"/>
      <c r="E629" s="284"/>
      <c r="F629" s="11"/>
      <c r="G629" s="11" t="s">
        <v>65</v>
      </c>
      <c r="H629" s="57" t="s">
        <v>166</v>
      </c>
      <c r="I629" s="44"/>
      <c r="J629" s="58"/>
      <c r="K629" s="70"/>
      <c r="L629" s="48"/>
      <c r="M629" s="59"/>
      <c r="N629" s="59"/>
      <c r="O629" s="409"/>
      <c r="P629" s="49">
        <f t="shared" si="18"/>
        <v>0</v>
      </c>
      <c r="Q629" s="49">
        <f t="shared" si="19"/>
        <v>0</v>
      </c>
    </row>
    <row r="630" spans="1:17" ht="14.5" x14ac:dyDescent="0.35">
      <c r="A630" s="11" t="s">
        <v>633</v>
      </c>
      <c r="B630" s="163" t="s">
        <v>136</v>
      </c>
      <c r="C630" s="284"/>
      <c r="D630" s="284"/>
      <c r="E630" s="284"/>
      <c r="F630" s="11" t="s">
        <v>42</v>
      </c>
      <c r="G630" s="11"/>
      <c r="H630" s="60" t="s">
        <v>167</v>
      </c>
      <c r="I630" s="44" t="s">
        <v>117</v>
      </c>
      <c r="J630" s="58">
        <v>8</v>
      </c>
      <c r="K630" s="47">
        <v>2000</v>
      </c>
      <c r="L630" s="48">
        <f>J630*K630</f>
        <v>16000</v>
      </c>
      <c r="M630" s="59">
        <v>8</v>
      </c>
      <c r="N630" s="59">
        <v>8</v>
      </c>
      <c r="O630" s="407">
        <v>2000</v>
      </c>
      <c r="P630" s="49">
        <f t="shared" si="18"/>
        <v>16000</v>
      </c>
      <c r="Q630" s="49">
        <f t="shared" si="19"/>
        <v>16000</v>
      </c>
    </row>
    <row r="631" spans="1:17" ht="13" x14ac:dyDescent="0.35">
      <c r="A631" s="11" t="s">
        <v>633</v>
      </c>
      <c r="B631" s="163" t="s">
        <v>136</v>
      </c>
      <c r="C631" s="284"/>
      <c r="D631" s="284"/>
      <c r="E631" s="284"/>
      <c r="F631" s="11"/>
      <c r="G631" s="11"/>
      <c r="H631" s="57" t="s">
        <v>168</v>
      </c>
      <c r="I631" s="44"/>
      <c r="J631" s="45"/>
      <c r="K631" s="47"/>
      <c r="L631" s="48"/>
      <c r="M631" s="46"/>
      <c r="N631" s="46"/>
      <c r="O631" s="407"/>
      <c r="P631" s="49">
        <f t="shared" si="18"/>
        <v>0</v>
      </c>
      <c r="Q631" s="49">
        <f t="shared" si="19"/>
        <v>0</v>
      </c>
    </row>
    <row r="632" spans="1:17" ht="14.5" x14ac:dyDescent="0.35">
      <c r="A632" s="11" t="s">
        <v>633</v>
      </c>
      <c r="B632" s="163" t="s">
        <v>136</v>
      </c>
      <c r="C632" s="284"/>
      <c r="D632" s="284"/>
      <c r="E632" s="284"/>
      <c r="F632" s="11" t="s">
        <v>45</v>
      </c>
      <c r="G632" s="11"/>
      <c r="H632" s="60" t="s">
        <v>637</v>
      </c>
      <c r="I632" s="44" t="s">
        <v>117</v>
      </c>
      <c r="J632" s="45">
        <v>3</v>
      </c>
      <c r="K632" s="47">
        <v>2200</v>
      </c>
      <c r="L632" s="48">
        <f>J632*K632</f>
        <v>6600</v>
      </c>
      <c r="M632" s="46">
        <v>3</v>
      </c>
      <c r="N632" s="46">
        <v>3</v>
      </c>
      <c r="O632" s="407">
        <v>2200</v>
      </c>
      <c r="P632" s="49">
        <f t="shared" si="18"/>
        <v>6600</v>
      </c>
      <c r="Q632" s="49">
        <f t="shared" si="19"/>
        <v>6600</v>
      </c>
    </row>
    <row r="633" spans="1:17" ht="14.5" x14ac:dyDescent="0.35">
      <c r="A633" s="11" t="s">
        <v>633</v>
      </c>
      <c r="B633" s="163" t="s">
        <v>136</v>
      </c>
      <c r="C633" s="284"/>
      <c r="D633" s="284"/>
      <c r="E633" s="284"/>
      <c r="F633" s="11" t="s">
        <v>48</v>
      </c>
      <c r="G633" s="11"/>
      <c r="H633" s="60" t="s">
        <v>169</v>
      </c>
      <c r="I633" s="44" t="s">
        <v>117</v>
      </c>
      <c r="J633" s="45">
        <v>29</v>
      </c>
      <c r="K633" s="47">
        <v>2200</v>
      </c>
      <c r="L633" s="48">
        <f>J633*K633</f>
        <v>63800</v>
      </c>
      <c r="M633" s="46">
        <v>29</v>
      </c>
      <c r="N633" s="46">
        <v>29</v>
      </c>
      <c r="O633" s="407">
        <v>2200</v>
      </c>
      <c r="P633" s="49">
        <f t="shared" si="18"/>
        <v>63800</v>
      </c>
      <c r="Q633" s="49">
        <f t="shared" si="19"/>
        <v>63800</v>
      </c>
    </row>
    <row r="634" spans="1:17" ht="14.5" x14ac:dyDescent="0.35">
      <c r="A634" s="11" t="s">
        <v>633</v>
      </c>
      <c r="B634" s="163" t="s">
        <v>136</v>
      </c>
      <c r="C634" s="284"/>
      <c r="D634" s="284"/>
      <c r="E634" s="284"/>
      <c r="F634" s="11" t="s">
        <v>51</v>
      </c>
      <c r="G634" s="11"/>
      <c r="H634" s="60" t="s">
        <v>638</v>
      </c>
      <c r="I634" s="44" t="s">
        <v>117</v>
      </c>
      <c r="J634" s="45">
        <v>2</v>
      </c>
      <c r="K634" s="47">
        <v>2200</v>
      </c>
      <c r="L634" s="48">
        <f>J634*K634</f>
        <v>4400</v>
      </c>
      <c r="M634" s="46">
        <v>2</v>
      </c>
      <c r="N634" s="46">
        <v>2</v>
      </c>
      <c r="O634" s="407">
        <v>2200</v>
      </c>
      <c r="P634" s="49">
        <f t="shared" si="18"/>
        <v>4400</v>
      </c>
      <c r="Q634" s="49">
        <f t="shared" si="19"/>
        <v>4400</v>
      </c>
    </row>
    <row r="635" spans="1:17" ht="14.5" x14ac:dyDescent="0.35">
      <c r="A635" s="11" t="s">
        <v>633</v>
      </c>
      <c r="B635" s="163" t="s">
        <v>136</v>
      </c>
      <c r="C635" s="284"/>
      <c r="D635" s="284"/>
      <c r="E635" s="284"/>
      <c r="F635" s="11" t="s">
        <v>53</v>
      </c>
      <c r="G635" s="11"/>
      <c r="H635" s="60" t="s">
        <v>171</v>
      </c>
      <c r="I635" s="44" t="s">
        <v>117</v>
      </c>
      <c r="J635" s="45">
        <v>35</v>
      </c>
      <c r="K635" s="47">
        <v>2200</v>
      </c>
      <c r="L635" s="48">
        <f>J635*K635</f>
        <v>77000</v>
      </c>
      <c r="M635" s="46">
        <v>35</v>
      </c>
      <c r="N635" s="46">
        <v>35</v>
      </c>
      <c r="O635" s="407">
        <v>2200</v>
      </c>
      <c r="P635" s="49">
        <f t="shared" si="18"/>
        <v>77000</v>
      </c>
      <c r="Q635" s="49">
        <f t="shared" si="19"/>
        <v>77000</v>
      </c>
    </row>
    <row r="636" spans="1:17" ht="14.5" x14ac:dyDescent="0.35">
      <c r="A636" s="11" t="s">
        <v>633</v>
      </c>
      <c r="B636" s="163" t="s">
        <v>136</v>
      </c>
      <c r="C636" s="284"/>
      <c r="D636" s="284"/>
      <c r="E636" s="284"/>
      <c r="F636" s="11" t="s">
        <v>55</v>
      </c>
      <c r="G636" s="11"/>
      <c r="H636" s="60" t="s">
        <v>172</v>
      </c>
      <c r="I636" s="44" t="s">
        <v>117</v>
      </c>
      <c r="J636" s="45">
        <v>12</v>
      </c>
      <c r="K636" s="47">
        <v>2200</v>
      </c>
      <c r="L636" s="48">
        <f>J636*K636</f>
        <v>26400</v>
      </c>
      <c r="M636" s="46">
        <v>12</v>
      </c>
      <c r="N636" s="46">
        <v>12</v>
      </c>
      <c r="O636" s="407">
        <v>2200</v>
      </c>
      <c r="P636" s="49">
        <f t="shared" si="18"/>
        <v>26400</v>
      </c>
      <c r="Q636" s="49">
        <f t="shared" si="19"/>
        <v>26400</v>
      </c>
    </row>
    <row r="637" spans="1:17" ht="13" x14ac:dyDescent="0.35">
      <c r="A637" s="11" t="s">
        <v>633</v>
      </c>
      <c r="B637" s="163" t="s">
        <v>136</v>
      </c>
      <c r="C637" s="284"/>
      <c r="D637" s="284"/>
      <c r="E637" s="284"/>
      <c r="F637" s="11"/>
      <c r="G637" s="11"/>
      <c r="H637" s="57" t="s">
        <v>173</v>
      </c>
      <c r="I637" s="44"/>
      <c r="J637" s="45"/>
      <c r="K637" s="47"/>
      <c r="L637" s="48"/>
      <c r="M637" s="46"/>
      <c r="N637" s="46"/>
      <c r="O637" s="407"/>
      <c r="P637" s="49">
        <f t="shared" si="18"/>
        <v>0</v>
      </c>
      <c r="Q637" s="49">
        <f t="shared" si="19"/>
        <v>0</v>
      </c>
    </row>
    <row r="638" spans="1:17" ht="25" x14ac:dyDescent="0.35">
      <c r="A638" s="11" t="s">
        <v>633</v>
      </c>
      <c r="B638" s="163" t="s">
        <v>136</v>
      </c>
      <c r="C638" s="284"/>
      <c r="D638" s="284"/>
      <c r="E638" s="284"/>
      <c r="F638" s="11" t="s">
        <v>58</v>
      </c>
      <c r="G638" s="11"/>
      <c r="H638" s="60" t="s">
        <v>174</v>
      </c>
      <c r="I638" s="44" t="s">
        <v>175</v>
      </c>
      <c r="J638" s="45">
        <v>40</v>
      </c>
      <c r="K638" s="47">
        <v>650</v>
      </c>
      <c r="L638" s="48">
        <f>J638*K638</f>
        <v>26000</v>
      </c>
      <c r="M638" s="46">
        <v>40</v>
      </c>
      <c r="N638" s="46">
        <v>40</v>
      </c>
      <c r="O638" s="407">
        <v>650</v>
      </c>
      <c r="P638" s="49">
        <f t="shared" si="18"/>
        <v>26000</v>
      </c>
      <c r="Q638" s="49">
        <f t="shared" si="19"/>
        <v>26000</v>
      </c>
    </row>
    <row r="639" spans="1:17" ht="13" x14ac:dyDescent="0.35">
      <c r="A639" s="11" t="s">
        <v>633</v>
      </c>
      <c r="B639" s="163" t="s">
        <v>136</v>
      </c>
      <c r="C639" s="284"/>
      <c r="D639" s="284"/>
      <c r="E639" s="284"/>
      <c r="F639" s="11"/>
      <c r="G639" s="11" t="s">
        <v>82</v>
      </c>
      <c r="H639" s="57" t="s">
        <v>176</v>
      </c>
      <c r="I639" s="44"/>
      <c r="J639" s="58"/>
      <c r="K639" s="70"/>
      <c r="L639" s="48"/>
      <c r="M639" s="59"/>
      <c r="N639" s="59"/>
      <c r="O639" s="409"/>
      <c r="P639" s="49">
        <f t="shared" si="18"/>
        <v>0</v>
      </c>
      <c r="Q639" s="49">
        <f t="shared" si="19"/>
        <v>0</v>
      </c>
    </row>
    <row r="640" spans="1:17" ht="13" x14ac:dyDescent="0.35">
      <c r="A640" s="11" t="s">
        <v>633</v>
      </c>
      <c r="B640" s="163" t="s">
        <v>136</v>
      </c>
      <c r="C640" s="284"/>
      <c r="D640" s="284"/>
      <c r="E640" s="284"/>
      <c r="F640" s="11"/>
      <c r="G640" s="11" t="s">
        <v>177</v>
      </c>
      <c r="H640" s="57" t="s">
        <v>178</v>
      </c>
      <c r="I640" s="44"/>
      <c r="J640" s="58"/>
      <c r="K640" s="70"/>
      <c r="L640" s="48"/>
      <c r="M640" s="59"/>
      <c r="N640" s="59"/>
      <c r="O640" s="409"/>
      <c r="P640" s="49">
        <f t="shared" si="18"/>
        <v>0</v>
      </c>
      <c r="Q640" s="49">
        <f t="shared" si="19"/>
        <v>0</v>
      </c>
    </row>
    <row r="641" spans="1:17" ht="14.5" x14ac:dyDescent="0.35">
      <c r="A641" s="11" t="s">
        <v>633</v>
      </c>
      <c r="B641" s="163" t="s">
        <v>136</v>
      </c>
      <c r="C641" s="284"/>
      <c r="D641" s="284"/>
      <c r="E641" s="284"/>
      <c r="F641" s="11" t="s">
        <v>87</v>
      </c>
      <c r="G641" s="11"/>
      <c r="H641" s="60" t="s">
        <v>179</v>
      </c>
      <c r="I641" s="44" t="s">
        <v>110</v>
      </c>
      <c r="J641" s="58">
        <v>290</v>
      </c>
      <c r="K641" s="47">
        <v>15</v>
      </c>
      <c r="L641" s="48">
        <f>J641*K641</f>
        <v>4350</v>
      </c>
      <c r="M641" s="59">
        <v>290</v>
      </c>
      <c r="N641" s="59">
        <v>290</v>
      </c>
      <c r="O641" s="407">
        <v>15</v>
      </c>
      <c r="P641" s="49">
        <f t="shared" si="18"/>
        <v>4350</v>
      </c>
      <c r="Q641" s="49">
        <f t="shared" si="19"/>
        <v>4350</v>
      </c>
    </row>
    <row r="642" spans="1:17" ht="14.5" x14ac:dyDescent="0.35">
      <c r="A642" s="11" t="s">
        <v>633</v>
      </c>
      <c r="B642" s="163" t="s">
        <v>136</v>
      </c>
      <c r="C642" s="284"/>
      <c r="D642" s="284"/>
      <c r="E642" s="284"/>
      <c r="F642" s="11" t="s">
        <v>90</v>
      </c>
      <c r="G642" s="11"/>
      <c r="H642" s="60" t="s">
        <v>181</v>
      </c>
      <c r="I642" s="44" t="s">
        <v>110</v>
      </c>
      <c r="J642" s="58">
        <v>10</v>
      </c>
      <c r="K642" s="47">
        <v>15</v>
      </c>
      <c r="L642" s="48">
        <f>J642*K642</f>
        <v>150</v>
      </c>
      <c r="M642" s="59">
        <v>10</v>
      </c>
      <c r="N642" s="59">
        <v>10</v>
      </c>
      <c r="O642" s="407">
        <v>15</v>
      </c>
      <c r="P642" s="49">
        <f t="shared" si="18"/>
        <v>150</v>
      </c>
      <c r="Q642" s="49">
        <f t="shared" si="19"/>
        <v>150</v>
      </c>
    </row>
    <row r="643" spans="1:17" ht="14.5" x14ac:dyDescent="0.35">
      <c r="A643" s="11" t="s">
        <v>633</v>
      </c>
      <c r="B643" s="163" t="s">
        <v>136</v>
      </c>
      <c r="C643" s="284"/>
      <c r="D643" s="284"/>
      <c r="E643" s="284"/>
      <c r="F643" s="11" t="s">
        <v>187</v>
      </c>
      <c r="G643" s="11"/>
      <c r="H643" s="60" t="s">
        <v>182</v>
      </c>
      <c r="I643" s="44" t="s">
        <v>110</v>
      </c>
      <c r="J643" s="58">
        <v>78</v>
      </c>
      <c r="K643" s="47">
        <v>15</v>
      </c>
      <c r="L643" s="48">
        <f>J643*K643</f>
        <v>1170</v>
      </c>
      <c r="M643" s="59">
        <v>78</v>
      </c>
      <c r="N643" s="59">
        <v>78</v>
      </c>
      <c r="O643" s="407">
        <v>15</v>
      </c>
      <c r="P643" s="49">
        <f t="shared" si="18"/>
        <v>1170</v>
      </c>
      <c r="Q643" s="49">
        <f t="shared" si="19"/>
        <v>1170</v>
      </c>
    </row>
    <row r="644" spans="1:17" ht="13" x14ac:dyDescent="0.35">
      <c r="A644" s="11" t="s">
        <v>633</v>
      </c>
      <c r="B644" s="163" t="s">
        <v>136</v>
      </c>
      <c r="C644" s="284"/>
      <c r="D644" s="284"/>
      <c r="E644" s="284"/>
      <c r="F644" s="11"/>
      <c r="G644" s="11" t="s">
        <v>183</v>
      </c>
      <c r="H644" s="57" t="s">
        <v>184</v>
      </c>
      <c r="I644" s="44"/>
      <c r="J644" s="58"/>
      <c r="K644" s="47"/>
      <c r="L644" s="48"/>
      <c r="M644" s="59"/>
      <c r="N644" s="59"/>
      <c r="O644" s="407"/>
      <c r="P644" s="49">
        <f t="shared" si="18"/>
        <v>0</v>
      </c>
      <c r="Q644" s="49">
        <f t="shared" si="19"/>
        <v>0</v>
      </c>
    </row>
    <row r="645" spans="1:17" ht="37.5" x14ac:dyDescent="0.35">
      <c r="A645" s="11" t="s">
        <v>633</v>
      </c>
      <c r="B645" s="163" t="s">
        <v>136</v>
      </c>
      <c r="C645" s="284"/>
      <c r="D645" s="284"/>
      <c r="E645" s="284"/>
      <c r="F645" s="11" t="s">
        <v>484</v>
      </c>
      <c r="G645" s="11"/>
      <c r="H645" s="60" t="s">
        <v>185</v>
      </c>
      <c r="I645" s="44" t="s">
        <v>186</v>
      </c>
      <c r="J645" s="58">
        <v>58</v>
      </c>
      <c r="K645" s="47">
        <v>95</v>
      </c>
      <c r="L645" s="48">
        <f>J645*K645</f>
        <v>5510</v>
      </c>
      <c r="M645" s="59">
        <v>58</v>
      </c>
      <c r="N645" s="59">
        <v>58</v>
      </c>
      <c r="O645" s="407">
        <v>95</v>
      </c>
      <c r="P645" s="49">
        <f t="shared" si="18"/>
        <v>5510</v>
      </c>
      <c r="Q645" s="49">
        <f t="shared" si="19"/>
        <v>5510</v>
      </c>
    </row>
    <row r="646" spans="1:17" ht="25" x14ac:dyDescent="0.35">
      <c r="A646" s="11" t="s">
        <v>633</v>
      </c>
      <c r="B646" s="163" t="s">
        <v>136</v>
      </c>
      <c r="C646" s="284"/>
      <c r="D646" s="284"/>
      <c r="E646" s="284"/>
      <c r="F646" s="11" t="s">
        <v>487</v>
      </c>
      <c r="G646" s="11"/>
      <c r="H646" s="60" t="s">
        <v>188</v>
      </c>
      <c r="I646" s="44" t="s">
        <v>186</v>
      </c>
      <c r="J646" s="58">
        <v>58</v>
      </c>
      <c r="K646" s="47">
        <v>95</v>
      </c>
      <c r="L646" s="48">
        <f>J646*K646</f>
        <v>5510</v>
      </c>
      <c r="M646" s="59">
        <v>58</v>
      </c>
      <c r="N646" s="59">
        <v>58</v>
      </c>
      <c r="O646" s="407">
        <v>95</v>
      </c>
      <c r="P646" s="49">
        <f t="shared" si="18"/>
        <v>5510</v>
      </c>
      <c r="Q646" s="49">
        <f t="shared" si="19"/>
        <v>5510</v>
      </c>
    </row>
    <row r="647" spans="1:17" ht="13" x14ac:dyDescent="0.35">
      <c r="A647" s="11" t="s">
        <v>633</v>
      </c>
      <c r="B647" s="163" t="s">
        <v>189</v>
      </c>
      <c r="C647" s="284"/>
      <c r="D647" s="284"/>
      <c r="E647" s="284"/>
      <c r="F647" s="11"/>
      <c r="G647" s="11"/>
      <c r="H647" s="43" t="s">
        <v>634</v>
      </c>
      <c r="I647" s="44"/>
      <c r="J647" s="45"/>
      <c r="K647" s="47"/>
      <c r="L647" s="48"/>
      <c r="M647" s="46"/>
      <c r="N647" s="46"/>
      <c r="O647" s="407"/>
      <c r="P647" s="49">
        <f t="shared" si="18"/>
        <v>0</v>
      </c>
      <c r="Q647" s="49">
        <f t="shared" si="19"/>
        <v>0</v>
      </c>
    </row>
    <row r="648" spans="1:17" ht="13" x14ac:dyDescent="0.35">
      <c r="A648" s="11" t="s">
        <v>633</v>
      </c>
      <c r="B648" s="163" t="s">
        <v>189</v>
      </c>
      <c r="C648" s="284"/>
      <c r="D648" s="284"/>
      <c r="E648" s="284"/>
      <c r="F648" s="11"/>
      <c r="G648" s="11"/>
      <c r="H648" s="43" t="s">
        <v>635</v>
      </c>
      <c r="I648" s="44"/>
      <c r="J648" s="45"/>
      <c r="K648" s="47"/>
      <c r="L648" s="48"/>
      <c r="M648" s="46"/>
      <c r="N648" s="46"/>
      <c r="O648" s="407"/>
      <c r="P648" s="49">
        <f t="shared" si="18"/>
        <v>0</v>
      </c>
      <c r="Q648" s="49">
        <f t="shared" si="19"/>
        <v>0</v>
      </c>
    </row>
    <row r="649" spans="1:17" ht="13" x14ac:dyDescent="0.35">
      <c r="A649" s="11" t="s">
        <v>633</v>
      </c>
      <c r="B649" s="163" t="s">
        <v>189</v>
      </c>
      <c r="C649" s="284"/>
      <c r="D649" s="284"/>
      <c r="E649" s="284"/>
      <c r="F649" s="11"/>
      <c r="G649" s="11"/>
      <c r="H649" s="43" t="s">
        <v>190</v>
      </c>
      <c r="I649" s="44"/>
      <c r="J649" s="45"/>
      <c r="K649" s="47"/>
      <c r="L649" s="48"/>
      <c r="M649" s="46"/>
      <c r="N649" s="46"/>
      <c r="O649" s="407"/>
      <c r="P649" s="49">
        <f t="shared" si="18"/>
        <v>0</v>
      </c>
      <c r="Q649" s="49">
        <f t="shared" si="19"/>
        <v>0</v>
      </c>
    </row>
    <row r="650" spans="1:17" ht="13" x14ac:dyDescent="0.35">
      <c r="A650" s="11" t="s">
        <v>633</v>
      </c>
      <c r="B650" s="163" t="s">
        <v>189</v>
      </c>
      <c r="C650" s="284"/>
      <c r="D650" s="284"/>
      <c r="E650" s="284"/>
      <c r="F650" s="11"/>
      <c r="G650" s="11"/>
      <c r="H650" s="43" t="s">
        <v>191</v>
      </c>
      <c r="I650" s="44"/>
      <c r="J650" s="45"/>
      <c r="K650" s="47"/>
      <c r="L650" s="48"/>
      <c r="M650" s="46"/>
      <c r="N650" s="46"/>
      <c r="O650" s="407"/>
      <c r="P650" s="49">
        <f t="shared" ref="P650:P713" si="20">O650*M650</f>
        <v>0</v>
      </c>
      <c r="Q650" s="49">
        <f t="shared" ref="Q650:Q713" si="21">O650*N650</f>
        <v>0</v>
      </c>
    </row>
    <row r="651" spans="1:17" ht="13" x14ac:dyDescent="0.35">
      <c r="A651" s="11" t="s">
        <v>633</v>
      </c>
      <c r="B651" s="163" t="s">
        <v>189</v>
      </c>
      <c r="C651" s="284"/>
      <c r="D651" s="284"/>
      <c r="E651" s="284"/>
      <c r="F651" s="11"/>
      <c r="G651" s="11"/>
      <c r="H651" s="57" t="s">
        <v>100</v>
      </c>
      <c r="I651" s="44"/>
      <c r="J651" s="45"/>
      <c r="K651" s="47"/>
      <c r="L651" s="48"/>
      <c r="M651" s="46"/>
      <c r="N651" s="46"/>
      <c r="O651" s="407"/>
      <c r="P651" s="49">
        <f t="shared" si="20"/>
        <v>0</v>
      </c>
      <c r="Q651" s="49">
        <f t="shared" si="21"/>
        <v>0</v>
      </c>
    </row>
    <row r="652" spans="1:17" x14ac:dyDescent="0.35">
      <c r="A652" s="11" t="s">
        <v>633</v>
      </c>
      <c r="B652" s="163" t="s">
        <v>189</v>
      </c>
      <c r="C652" s="284"/>
      <c r="D652" s="284"/>
      <c r="E652" s="284"/>
      <c r="F652" s="11"/>
      <c r="G652" s="11"/>
      <c r="H652" s="60" t="s">
        <v>101</v>
      </c>
      <c r="I652" s="44"/>
      <c r="J652" s="45"/>
      <c r="K652" s="47"/>
      <c r="L652" s="48"/>
      <c r="M652" s="46"/>
      <c r="N652" s="46"/>
      <c r="O652" s="407"/>
      <c r="P652" s="49">
        <f t="shared" si="20"/>
        <v>0</v>
      </c>
      <c r="Q652" s="49">
        <f t="shared" si="21"/>
        <v>0</v>
      </c>
    </row>
    <row r="653" spans="1:17" ht="13" x14ac:dyDescent="0.35">
      <c r="A653" s="11" t="s">
        <v>633</v>
      </c>
      <c r="B653" s="163" t="s">
        <v>189</v>
      </c>
      <c r="C653" s="284"/>
      <c r="D653" s="284"/>
      <c r="E653" s="284"/>
      <c r="F653" s="11"/>
      <c r="G653" s="11"/>
      <c r="H653" s="57" t="s">
        <v>102</v>
      </c>
      <c r="I653" s="44"/>
      <c r="J653" s="45"/>
      <c r="K653" s="47"/>
      <c r="L653" s="48"/>
      <c r="M653" s="46"/>
      <c r="N653" s="46"/>
      <c r="O653" s="407"/>
      <c r="P653" s="49">
        <f t="shared" si="20"/>
        <v>0</v>
      </c>
      <c r="Q653" s="49">
        <f t="shared" si="21"/>
        <v>0</v>
      </c>
    </row>
    <row r="654" spans="1:17" ht="25" x14ac:dyDescent="0.35">
      <c r="A654" s="11" t="s">
        <v>633</v>
      </c>
      <c r="B654" s="163" t="s">
        <v>189</v>
      </c>
      <c r="C654" s="284"/>
      <c r="D654" s="284"/>
      <c r="E654" s="284"/>
      <c r="F654" s="11"/>
      <c r="G654" s="11"/>
      <c r="H654" s="60" t="s">
        <v>192</v>
      </c>
      <c r="I654" s="44"/>
      <c r="J654" s="45"/>
      <c r="K654" s="47"/>
      <c r="L654" s="48"/>
      <c r="M654" s="46"/>
      <c r="N654" s="46"/>
      <c r="O654" s="407"/>
      <c r="P654" s="49">
        <f t="shared" si="20"/>
        <v>0</v>
      </c>
      <c r="Q654" s="49">
        <f t="shared" si="21"/>
        <v>0</v>
      </c>
    </row>
    <row r="655" spans="1:17" x14ac:dyDescent="0.35">
      <c r="A655" s="11" t="s">
        <v>633</v>
      </c>
      <c r="B655" s="163" t="s">
        <v>189</v>
      </c>
      <c r="C655" s="284"/>
      <c r="D655" s="284"/>
      <c r="E655" s="284"/>
      <c r="F655" s="11"/>
      <c r="G655" s="11"/>
      <c r="H655" s="62" t="s">
        <v>193</v>
      </c>
      <c r="I655" s="44"/>
      <c r="J655" s="58"/>
      <c r="K655" s="47"/>
      <c r="L655" s="48"/>
      <c r="M655" s="59"/>
      <c r="N655" s="59"/>
      <c r="O655" s="407"/>
      <c r="P655" s="49">
        <f t="shared" si="20"/>
        <v>0</v>
      </c>
      <c r="Q655" s="49">
        <f t="shared" si="21"/>
        <v>0</v>
      </c>
    </row>
    <row r="656" spans="1:17" x14ac:dyDescent="0.35">
      <c r="A656" s="11" t="s">
        <v>633</v>
      </c>
      <c r="B656" s="163" t="s">
        <v>189</v>
      </c>
      <c r="C656" s="284"/>
      <c r="D656" s="284"/>
      <c r="E656" s="284"/>
      <c r="F656" s="11"/>
      <c r="G656" s="11"/>
      <c r="H656" s="60" t="s">
        <v>194</v>
      </c>
      <c r="I656" s="44"/>
      <c r="J656" s="58"/>
      <c r="K656" s="47"/>
      <c r="L656" s="48"/>
      <c r="M656" s="59"/>
      <c r="N656" s="59"/>
      <c r="O656" s="407"/>
      <c r="P656" s="49">
        <f t="shared" si="20"/>
        <v>0</v>
      </c>
      <c r="Q656" s="49">
        <f t="shared" si="21"/>
        <v>0</v>
      </c>
    </row>
    <row r="657" spans="1:17" x14ac:dyDescent="0.35">
      <c r="A657" s="11" t="s">
        <v>633</v>
      </c>
      <c r="B657" s="163" t="s">
        <v>189</v>
      </c>
      <c r="C657" s="284"/>
      <c r="D657" s="284"/>
      <c r="E657" s="284"/>
      <c r="F657" s="11"/>
      <c r="G657" s="11"/>
      <c r="H657" s="62" t="s">
        <v>195</v>
      </c>
      <c r="I657" s="44"/>
      <c r="J657" s="58"/>
      <c r="K657" s="47"/>
      <c r="L657" s="48"/>
      <c r="M657" s="59"/>
      <c r="N657" s="59"/>
      <c r="O657" s="407"/>
      <c r="P657" s="49">
        <f t="shared" si="20"/>
        <v>0</v>
      </c>
      <c r="Q657" s="49">
        <f t="shared" si="21"/>
        <v>0</v>
      </c>
    </row>
    <row r="658" spans="1:17" ht="37.5" x14ac:dyDescent="0.35">
      <c r="A658" s="11" t="s">
        <v>633</v>
      </c>
      <c r="B658" s="163" t="s">
        <v>189</v>
      </c>
      <c r="C658" s="284"/>
      <c r="D658" s="284"/>
      <c r="E658" s="284"/>
      <c r="F658" s="11"/>
      <c r="G658" s="11"/>
      <c r="H658" s="60" t="s">
        <v>196</v>
      </c>
      <c r="I658" s="44"/>
      <c r="J658" s="58"/>
      <c r="K658" s="47"/>
      <c r="L658" s="48"/>
      <c r="M658" s="59"/>
      <c r="N658" s="59"/>
      <c r="O658" s="407"/>
      <c r="P658" s="49">
        <f t="shared" si="20"/>
        <v>0</v>
      </c>
      <c r="Q658" s="49">
        <f t="shared" si="21"/>
        <v>0</v>
      </c>
    </row>
    <row r="659" spans="1:17" x14ac:dyDescent="0.35">
      <c r="A659" s="11" t="s">
        <v>633</v>
      </c>
      <c r="B659" s="163" t="s">
        <v>189</v>
      </c>
      <c r="C659" s="284"/>
      <c r="D659" s="284"/>
      <c r="E659" s="284"/>
      <c r="F659" s="11"/>
      <c r="G659" s="11"/>
      <c r="H659" s="62" t="s">
        <v>197</v>
      </c>
      <c r="I659" s="44"/>
      <c r="J659" s="45"/>
      <c r="K659" s="47"/>
      <c r="L659" s="48"/>
      <c r="M659" s="46"/>
      <c r="N659" s="46"/>
      <c r="O659" s="407"/>
      <c r="P659" s="49">
        <f t="shared" si="20"/>
        <v>0</v>
      </c>
      <c r="Q659" s="49">
        <f t="shared" si="21"/>
        <v>0</v>
      </c>
    </row>
    <row r="660" spans="1:17" ht="37.5" x14ac:dyDescent="0.35">
      <c r="A660" s="11" t="s">
        <v>633</v>
      </c>
      <c r="B660" s="163" t="s">
        <v>189</v>
      </c>
      <c r="C660" s="284"/>
      <c r="D660" s="284"/>
      <c r="E660" s="284"/>
      <c r="F660" s="11"/>
      <c r="G660" s="11"/>
      <c r="H660" s="60" t="s">
        <v>198</v>
      </c>
      <c r="I660" s="44"/>
      <c r="J660" s="45"/>
      <c r="K660" s="47"/>
      <c r="L660" s="48"/>
      <c r="M660" s="46"/>
      <c r="N660" s="46"/>
      <c r="O660" s="407"/>
      <c r="P660" s="49">
        <f t="shared" si="20"/>
        <v>0</v>
      </c>
      <c r="Q660" s="49">
        <f t="shared" si="21"/>
        <v>0</v>
      </c>
    </row>
    <row r="661" spans="1:17" ht="13" x14ac:dyDescent="0.35">
      <c r="A661" s="11" t="s">
        <v>633</v>
      </c>
      <c r="B661" s="163" t="s">
        <v>189</v>
      </c>
      <c r="C661" s="284"/>
      <c r="D661" s="284"/>
      <c r="E661" s="284"/>
      <c r="F661" s="11"/>
      <c r="G661" s="11"/>
      <c r="H661" s="57" t="s">
        <v>199</v>
      </c>
      <c r="I661" s="44"/>
      <c r="J661" s="45"/>
      <c r="K661" s="47"/>
      <c r="L661" s="48"/>
      <c r="M661" s="46"/>
      <c r="N661" s="46"/>
      <c r="O661" s="407"/>
      <c r="P661" s="49">
        <f t="shared" si="20"/>
        <v>0</v>
      </c>
      <c r="Q661" s="49">
        <f t="shared" si="21"/>
        <v>0</v>
      </c>
    </row>
    <row r="662" spans="1:17" ht="13" x14ac:dyDescent="0.35">
      <c r="A662" s="11" t="s">
        <v>633</v>
      </c>
      <c r="B662" s="163" t="s">
        <v>189</v>
      </c>
      <c r="C662" s="284"/>
      <c r="D662" s="284"/>
      <c r="E662" s="284"/>
      <c r="F662" s="11"/>
      <c r="G662" s="11"/>
      <c r="H662" s="57" t="s">
        <v>200</v>
      </c>
      <c r="I662" s="44"/>
      <c r="J662" s="45"/>
      <c r="K662" s="47"/>
      <c r="L662" s="48"/>
      <c r="M662" s="46"/>
      <c r="N662" s="46"/>
      <c r="O662" s="407"/>
      <c r="P662" s="49">
        <f t="shared" si="20"/>
        <v>0</v>
      </c>
      <c r="Q662" s="49">
        <f t="shared" si="21"/>
        <v>0</v>
      </c>
    </row>
    <row r="663" spans="1:17" ht="13" x14ac:dyDescent="0.35">
      <c r="A663" s="11" t="s">
        <v>633</v>
      </c>
      <c r="B663" s="163" t="s">
        <v>189</v>
      </c>
      <c r="C663" s="284"/>
      <c r="D663" s="284"/>
      <c r="E663" s="284"/>
      <c r="F663" s="11"/>
      <c r="G663" s="11"/>
      <c r="H663" s="57" t="s">
        <v>201</v>
      </c>
      <c r="I663" s="44"/>
      <c r="J663" s="45"/>
      <c r="K663" s="47"/>
      <c r="L663" s="48"/>
      <c r="M663" s="46"/>
      <c r="N663" s="46"/>
      <c r="O663" s="407"/>
      <c r="P663" s="49">
        <f t="shared" si="20"/>
        <v>0</v>
      </c>
      <c r="Q663" s="49">
        <f t="shared" si="21"/>
        <v>0</v>
      </c>
    </row>
    <row r="664" spans="1:17" ht="14.5" x14ac:dyDescent="0.35">
      <c r="A664" s="11" t="s">
        <v>633</v>
      </c>
      <c r="B664" s="163" t="s">
        <v>189</v>
      </c>
      <c r="C664" s="284"/>
      <c r="D664" s="284"/>
      <c r="E664" s="284"/>
      <c r="F664" s="11" t="s">
        <v>20</v>
      </c>
      <c r="G664" s="11"/>
      <c r="H664" s="60" t="s">
        <v>202</v>
      </c>
      <c r="I664" s="44" t="s">
        <v>117</v>
      </c>
      <c r="J664" s="45">
        <v>1</v>
      </c>
      <c r="K664" s="47">
        <v>295</v>
      </c>
      <c r="L664" s="48">
        <f>J664*K664</f>
        <v>295</v>
      </c>
      <c r="M664" s="46">
        <v>1</v>
      </c>
      <c r="N664" s="46">
        <v>1</v>
      </c>
      <c r="O664" s="407">
        <v>295</v>
      </c>
      <c r="P664" s="49">
        <f t="shared" si="20"/>
        <v>295</v>
      </c>
      <c r="Q664" s="49">
        <f t="shared" si="21"/>
        <v>295</v>
      </c>
    </row>
    <row r="665" spans="1:17" ht="14.5" x14ac:dyDescent="0.35">
      <c r="A665" s="11" t="s">
        <v>633</v>
      </c>
      <c r="B665" s="163" t="s">
        <v>189</v>
      </c>
      <c r="C665" s="284"/>
      <c r="D665" s="284"/>
      <c r="E665" s="284"/>
      <c r="F665" s="11" t="s">
        <v>26</v>
      </c>
      <c r="G665" s="11"/>
      <c r="H665" s="60" t="s">
        <v>203</v>
      </c>
      <c r="I665" s="44" t="s">
        <v>110</v>
      </c>
      <c r="J665" s="45">
        <v>39</v>
      </c>
      <c r="K665" s="47">
        <v>295</v>
      </c>
      <c r="L665" s="48">
        <f>J665*K665</f>
        <v>11505</v>
      </c>
      <c r="M665" s="46">
        <v>39</v>
      </c>
      <c r="N665" s="46">
        <v>39</v>
      </c>
      <c r="O665" s="407">
        <v>295</v>
      </c>
      <c r="P665" s="49">
        <f t="shared" si="20"/>
        <v>11505</v>
      </c>
      <c r="Q665" s="49">
        <f t="shared" si="21"/>
        <v>11505</v>
      </c>
    </row>
    <row r="666" spans="1:17" ht="14.5" x14ac:dyDescent="0.35">
      <c r="A666" s="11" t="s">
        <v>633</v>
      </c>
      <c r="B666" s="163" t="s">
        <v>189</v>
      </c>
      <c r="C666" s="284"/>
      <c r="D666" s="284"/>
      <c r="E666" s="284"/>
      <c r="F666" s="11" t="s">
        <v>29</v>
      </c>
      <c r="G666" s="11"/>
      <c r="H666" s="60" t="s">
        <v>204</v>
      </c>
      <c r="I666" s="44" t="s">
        <v>110</v>
      </c>
      <c r="J666" s="45">
        <v>14</v>
      </c>
      <c r="K666" s="47">
        <v>245</v>
      </c>
      <c r="L666" s="48">
        <f>J666*K666</f>
        <v>3430</v>
      </c>
      <c r="M666" s="46">
        <v>14</v>
      </c>
      <c r="N666" s="46">
        <v>14</v>
      </c>
      <c r="O666" s="407">
        <v>245</v>
      </c>
      <c r="P666" s="49">
        <f t="shared" si="20"/>
        <v>3430</v>
      </c>
      <c r="Q666" s="49">
        <f t="shared" si="21"/>
        <v>3430</v>
      </c>
    </row>
    <row r="667" spans="1:17" ht="25" x14ac:dyDescent="0.35">
      <c r="A667" s="11" t="s">
        <v>633</v>
      </c>
      <c r="B667" s="163" t="s">
        <v>189</v>
      </c>
      <c r="C667" s="284"/>
      <c r="D667" s="284"/>
      <c r="E667" s="284"/>
      <c r="F667" s="11" t="s">
        <v>32</v>
      </c>
      <c r="G667" s="11"/>
      <c r="H667" s="60" t="s">
        <v>639</v>
      </c>
      <c r="I667" s="44" t="s">
        <v>110</v>
      </c>
      <c r="J667" s="45">
        <v>11</v>
      </c>
      <c r="K667" s="47">
        <v>450</v>
      </c>
      <c r="L667" s="48">
        <f>J667*K667</f>
        <v>4950</v>
      </c>
      <c r="M667" s="46">
        <v>11</v>
      </c>
      <c r="N667" s="46">
        <v>11</v>
      </c>
      <c r="O667" s="407">
        <v>450</v>
      </c>
      <c r="P667" s="49">
        <f t="shared" si="20"/>
        <v>4950</v>
      </c>
      <c r="Q667" s="49">
        <f t="shared" si="21"/>
        <v>4950</v>
      </c>
    </row>
    <row r="668" spans="1:17" ht="13" x14ac:dyDescent="0.35">
      <c r="A668" s="11" t="s">
        <v>633</v>
      </c>
      <c r="B668" s="163" t="s">
        <v>189</v>
      </c>
      <c r="C668" s="284"/>
      <c r="D668" s="284"/>
      <c r="E668" s="284"/>
      <c r="F668" s="11"/>
      <c r="G668" s="11"/>
      <c r="H668" s="57" t="s">
        <v>205</v>
      </c>
      <c r="I668" s="44"/>
      <c r="J668" s="45"/>
      <c r="K668" s="47"/>
      <c r="L668" s="48"/>
      <c r="M668" s="46"/>
      <c r="N668" s="46"/>
      <c r="O668" s="407"/>
      <c r="P668" s="49">
        <f t="shared" si="20"/>
        <v>0</v>
      </c>
      <c r="Q668" s="49">
        <f t="shared" si="21"/>
        <v>0</v>
      </c>
    </row>
    <row r="669" spans="1:17" ht="13" x14ac:dyDescent="0.35">
      <c r="A669" s="11" t="s">
        <v>633</v>
      </c>
      <c r="B669" s="163" t="s">
        <v>189</v>
      </c>
      <c r="C669" s="284"/>
      <c r="D669" s="284"/>
      <c r="E669" s="284"/>
      <c r="F669" s="11"/>
      <c r="G669" s="11"/>
      <c r="H669" s="57" t="s">
        <v>201</v>
      </c>
      <c r="I669" s="44"/>
      <c r="J669" s="45"/>
      <c r="K669" s="47"/>
      <c r="L669" s="48"/>
      <c r="M669" s="46"/>
      <c r="N669" s="46"/>
      <c r="O669" s="407"/>
      <c r="P669" s="49">
        <f t="shared" si="20"/>
        <v>0</v>
      </c>
      <c r="Q669" s="49">
        <f t="shared" si="21"/>
        <v>0</v>
      </c>
    </row>
    <row r="670" spans="1:17" ht="14.5" x14ac:dyDescent="0.35">
      <c r="A670" s="11" t="s">
        <v>633</v>
      </c>
      <c r="B670" s="163" t="s">
        <v>189</v>
      </c>
      <c r="C670" s="284"/>
      <c r="D670" s="284"/>
      <c r="E670" s="284"/>
      <c r="F670" s="11" t="s">
        <v>36</v>
      </c>
      <c r="G670" s="11"/>
      <c r="H670" s="60" t="s">
        <v>202</v>
      </c>
      <c r="I670" s="44" t="s">
        <v>117</v>
      </c>
      <c r="J670" s="45">
        <v>5</v>
      </c>
      <c r="K670" s="47">
        <v>295</v>
      </c>
      <c r="L670" s="48">
        <f>J670*K670</f>
        <v>1475</v>
      </c>
      <c r="M670" s="46">
        <v>5</v>
      </c>
      <c r="N670" s="46">
        <v>5</v>
      </c>
      <c r="O670" s="407">
        <v>295</v>
      </c>
      <c r="P670" s="49">
        <f t="shared" si="20"/>
        <v>1475</v>
      </c>
      <c r="Q670" s="49">
        <f t="shared" si="21"/>
        <v>1475</v>
      </c>
    </row>
    <row r="671" spans="1:17" ht="14.5" x14ac:dyDescent="0.35">
      <c r="A671" s="11" t="s">
        <v>633</v>
      </c>
      <c r="B671" s="163" t="s">
        <v>189</v>
      </c>
      <c r="C671" s="284"/>
      <c r="D671" s="284"/>
      <c r="E671" s="284"/>
      <c r="F671" s="11" t="s">
        <v>39</v>
      </c>
      <c r="G671" s="11"/>
      <c r="H671" s="60" t="s">
        <v>203</v>
      </c>
      <c r="I671" s="44" t="s">
        <v>110</v>
      </c>
      <c r="J671" s="45">
        <v>339</v>
      </c>
      <c r="K671" s="47">
        <v>285</v>
      </c>
      <c r="L671" s="48">
        <f>J671*K671</f>
        <v>96615</v>
      </c>
      <c r="M671" s="46">
        <v>339</v>
      </c>
      <c r="N671" s="46">
        <v>339</v>
      </c>
      <c r="O671" s="407">
        <v>285</v>
      </c>
      <c r="P671" s="49">
        <f t="shared" si="20"/>
        <v>96615</v>
      </c>
      <c r="Q671" s="49">
        <f t="shared" si="21"/>
        <v>96615</v>
      </c>
    </row>
    <row r="672" spans="1:17" ht="14.5" x14ac:dyDescent="0.35">
      <c r="A672" s="11" t="s">
        <v>633</v>
      </c>
      <c r="B672" s="163" t="s">
        <v>189</v>
      </c>
      <c r="C672" s="284"/>
      <c r="D672" s="284"/>
      <c r="E672" s="284"/>
      <c r="F672" s="11" t="s">
        <v>42</v>
      </c>
      <c r="G672" s="11"/>
      <c r="H672" s="60" t="s">
        <v>206</v>
      </c>
      <c r="I672" s="44" t="s">
        <v>110</v>
      </c>
      <c r="J672" s="45">
        <v>29</v>
      </c>
      <c r="K672" s="47">
        <v>285</v>
      </c>
      <c r="L672" s="48">
        <f>J672*K672</f>
        <v>8265</v>
      </c>
      <c r="M672" s="46">
        <v>29</v>
      </c>
      <c r="N672" s="46">
        <v>29</v>
      </c>
      <c r="O672" s="407">
        <v>285</v>
      </c>
      <c r="P672" s="49">
        <f t="shared" si="20"/>
        <v>8265</v>
      </c>
      <c r="Q672" s="49">
        <f t="shared" si="21"/>
        <v>8265</v>
      </c>
    </row>
    <row r="673" spans="1:17" ht="14.5" x14ac:dyDescent="0.35">
      <c r="A673" s="11" t="s">
        <v>633</v>
      </c>
      <c r="B673" s="163" t="s">
        <v>189</v>
      </c>
      <c r="C673" s="284"/>
      <c r="D673" s="284"/>
      <c r="E673" s="284"/>
      <c r="F673" s="11" t="s">
        <v>45</v>
      </c>
      <c r="G673" s="11"/>
      <c r="H673" s="60" t="s">
        <v>204</v>
      </c>
      <c r="I673" s="44" t="s">
        <v>110</v>
      </c>
      <c r="J673" s="45">
        <v>153</v>
      </c>
      <c r="K673" s="47">
        <v>245</v>
      </c>
      <c r="L673" s="48">
        <f>J673*K673</f>
        <v>37485</v>
      </c>
      <c r="M673" s="46">
        <v>153</v>
      </c>
      <c r="N673" s="46">
        <v>153</v>
      </c>
      <c r="O673" s="407">
        <v>245</v>
      </c>
      <c r="P673" s="49">
        <f t="shared" si="20"/>
        <v>37485</v>
      </c>
      <c r="Q673" s="49">
        <f t="shared" si="21"/>
        <v>37485</v>
      </c>
    </row>
    <row r="674" spans="1:17" ht="25" x14ac:dyDescent="0.35">
      <c r="A674" s="11" t="s">
        <v>633</v>
      </c>
      <c r="B674" s="163" t="s">
        <v>189</v>
      </c>
      <c r="C674" s="284"/>
      <c r="D674" s="284"/>
      <c r="E674" s="284"/>
      <c r="F674" s="11" t="s">
        <v>48</v>
      </c>
      <c r="G674" s="11"/>
      <c r="H674" s="60" t="s">
        <v>639</v>
      </c>
      <c r="I674" s="44" t="s">
        <v>110</v>
      </c>
      <c r="J674" s="45">
        <v>40</v>
      </c>
      <c r="K674" s="47">
        <v>450</v>
      </c>
      <c r="L674" s="48">
        <f>J674*K674</f>
        <v>18000</v>
      </c>
      <c r="M674" s="46">
        <v>40</v>
      </c>
      <c r="N674" s="46">
        <v>40</v>
      </c>
      <c r="O674" s="407">
        <v>450</v>
      </c>
      <c r="P674" s="49">
        <f t="shared" si="20"/>
        <v>18000</v>
      </c>
      <c r="Q674" s="49">
        <f t="shared" si="21"/>
        <v>18000</v>
      </c>
    </row>
    <row r="675" spans="1:17" ht="26" x14ac:dyDescent="0.35">
      <c r="A675" s="11" t="s">
        <v>633</v>
      </c>
      <c r="B675" s="163" t="s">
        <v>189</v>
      </c>
      <c r="C675" s="284"/>
      <c r="D675" s="284"/>
      <c r="E675" s="284"/>
      <c r="F675" s="11"/>
      <c r="G675" s="11"/>
      <c r="H675" s="57" t="s">
        <v>207</v>
      </c>
      <c r="I675" s="44"/>
      <c r="J675" s="45"/>
      <c r="K675" s="47"/>
      <c r="L675" s="48"/>
      <c r="M675" s="46"/>
      <c r="N675" s="46"/>
      <c r="O675" s="407"/>
      <c r="P675" s="49">
        <f t="shared" si="20"/>
        <v>0</v>
      </c>
      <c r="Q675" s="49">
        <f t="shared" si="21"/>
        <v>0</v>
      </c>
    </row>
    <row r="676" spans="1:17" x14ac:dyDescent="0.35">
      <c r="A676" s="11" t="s">
        <v>633</v>
      </c>
      <c r="B676" s="163" t="s">
        <v>189</v>
      </c>
      <c r="C676" s="284"/>
      <c r="D676" s="284"/>
      <c r="E676" s="284"/>
      <c r="F676" s="11" t="s">
        <v>51</v>
      </c>
      <c r="G676" s="11"/>
      <c r="H676" s="60" t="s">
        <v>208</v>
      </c>
      <c r="I676" s="44" t="s">
        <v>186</v>
      </c>
      <c r="J676" s="45">
        <v>68</v>
      </c>
      <c r="K676" s="47">
        <v>95</v>
      </c>
      <c r="L676" s="48">
        <f>J676*K676</f>
        <v>6460</v>
      </c>
      <c r="M676" s="46">
        <v>68</v>
      </c>
      <c r="N676" s="46">
        <v>68</v>
      </c>
      <c r="O676" s="407">
        <v>95</v>
      </c>
      <c r="P676" s="49">
        <f t="shared" si="20"/>
        <v>6460</v>
      </c>
      <c r="Q676" s="49">
        <f t="shared" si="21"/>
        <v>6460</v>
      </c>
    </row>
    <row r="677" spans="1:17" ht="26" x14ac:dyDescent="0.35">
      <c r="A677" s="11" t="s">
        <v>633</v>
      </c>
      <c r="B677" s="163" t="s">
        <v>189</v>
      </c>
      <c r="C677" s="284"/>
      <c r="D677" s="284"/>
      <c r="E677" s="284"/>
      <c r="F677" s="11"/>
      <c r="G677" s="11"/>
      <c r="H677" s="57" t="s">
        <v>209</v>
      </c>
      <c r="I677" s="44"/>
      <c r="J677" s="58"/>
      <c r="K677" s="47"/>
      <c r="L677" s="48"/>
      <c r="M677" s="59"/>
      <c r="N677" s="59"/>
      <c r="O677" s="407"/>
      <c r="P677" s="49">
        <f t="shared" si="20"/>
        <v>0</v>
      </c>
      <c r="Q677" s="49">
        <f t="shared" si="21"/>
        <v>0</v>
      </c>
    </row>
    <row r="678" spans="1:17" ht="25" x14ac:dyDescent="0.35">
      <c r="A678" s="11" t="s">
        <v>633</v>
      </c>
      <c r="B678" s="163" t="s">
        <v>189</v>
      </c>
      <c r="C678" s="284"/>
      <c r="D678" s="284"/>
      <c r="E678" s="284"/>
      <c r="F678" s="11" t="s">
        <v>53</v>
      </c>
      <c r="G678" s="11"/>
      <c r="H678" s="60" t="s">
        <v>211</v>
      </c>
      <c r="I678" s="44" t="s">
        <v>186</v>
      </c>
      <c r="J678" s="58">
        <v>68</v>
      </c>
      <c r="K678" s="47">
        <v>95</v>
      </c>
      <c r="L678" s="48">
        <f>J678*K678</f>
        <v>6460</v>
      </c>
      <c r="M678" s="59">
        <v>68</v>
      </c>
      <c r="N678" s="59">
        <v>68</v>
      </c>
      <c r="O678" s="407">
        <v>95</v>
      </c>
      <c r="P678" s="49">
        <f t="shared" si="20"/>
        <v>6460</v>
      </c>
      <c r="Q678" s="49">
        <f t="shared" si="21"/>
        <v>6460</v>
      </c>
    </row>
    <row r="679" spans="1:17" ht="13" x14ac:dyDescent="0.35">
      <c r="A679" s="11" t="s">
        <v>633</v>
      </c>
      <c r="B679" s="163" t="s">
        <v>189</v>
      </c>
      <c r="C679" s="284"/>
      <c r="D679" s="284"/>
      <c r="E679" s="284"/>
      <c r="F679" s="11"/>
      <c r="G679" s="11"/>
      <c r="H679" s="57" t="s">
        <v>212</v>
      </c>
      <c r="I679" s="44"/>
      <c r="J679" s="58"/>
      <c r="K679" s="47"/>
      <c r="L679" s="48"/>
      <c r="M679" s="59"/>
      <c r="N679" s="59"/>
      <c r="O679" s="407"/>
      <c r="P679" s="49">
        <f t="shared" si="20"/>
        <v>0</v>
      </c>
      <c r="Q679" s="49">
        <f t="shared" si="21"/>
        <v>0</v>
      </c>
    </row>
    <row r="680" spans="1:17" x14ac:dyDescent="0.35">
      <c r="A680" s="11" t="s">
        <v>633</v>
      </c>
      <c r="B680" s="163" t="s">
        <v>189</v>
      </c>
      <c r="C680" s="284"/>
      <c r="D680" s="284"/>
      <c r="E680" s="284"/>
      <c r="F680" s="11" t="s">
        <v>55</v>
      </c>
      <c r="G680" s="11"/>
      <c r="H680" s="60" t="s">
        <v>213</v>
      </c>
      <c r="I680" s="44" t="s">
        <v>186</v>
      </c>
      <c r="J680" s="58">
        <v>108</v>
      </c>
      <c r="K680" s="47">
        <v>50</v>
      </c>
      <c r="L680" s="48">
        <f>J680*K680</f>
        <v>5400</v>
      </c>
      <c r="M680" s="59">
        <v>108</v>
      </c>
      <c r="N680" s="59">
        <v>108</v>
      </c>
      <c r="O680" s="407">
        <v>50</v>
      </c>
      <c r="P680" s="49">
        <f t="shared" si="20"/>
        <v>5400</v>
      </c>
      <c r="Q680" s="49">
        <f t="shared" si="21"/>
        <v>5400</v>
      </c>
    </row>
    <row r="681" spans="1:17" ht="13" x14ac:dyDescent="0.35">
      <c r="A681" s="11" t="s">
        <v>633</v>
      </c>
      <c r="B681" s="163" t="s">
        <v>189</v>
      </c>
      <c r="C681" s="284"/>
      <c r="D681" s="284"/>
      <c r="E681" s="284"/>
      <c r="F681" s="11"/>
      <c r="G681" s="11"/>
      <c r="H681" s="57" t="s">
        <v>214</v>
      </c>
      <c r="I681" s="44"/>
      <c r="J681" s="45"/>
      <c r="K681" s="47"/>
      <c r="L681" s="48"/>
      <c r="M681" s="46"/>
      <c r="N681" s="46"/>
      <c r="O681" s="407"/>
      <c r="P681" s="49">
        <f t="shared" si="20"/>
        <v>0</v>
      </c>
      <c r="Q681" s="49">
        <f t="shared" si="21"/>
        <v>0</v>
      </c>
    </row>
    <row r="682" spans="1:17" x14ac:dyDescent="0.35">
      <c r="A682" s="11" t="s">
        <v>633</v>
      </c>
      <c r="B682" s="163" t="s">
        <v>189</v>
      </c>
      <c r="C682" s="284"/>
      <c r="D682" s="284"/>
      <c r="E682" s="284"/>
      <c r="F682" s="11"/>
      <c r="G682" s="11"/>
      <c r="H682" s="62" t="s">
        <v>215</v>
      </c>
      <c r="I682" s="44"/>
      <c r="J682" s="45"/>
      <c r="K682" s="47"/>
      <c r="L682" s="48"/>
      <c r="M682" s="46"/>
      <c r="N682" s="46"/>
      <c r="O682" s="407"/>
      <c r="P682" s="49">
        <f t="shared" si="20"/>
        <v>0</v>
      </c>
      <c r="Q682" s="49">
        <f t="shared" si="21"/>
        <v>0</v>
      </c>
    </row>
    <row r="683" spans="1:17" ht="13" x14ac:dyDescent="0.35">
      <c r="A683" s="11" t="s">
        <v>633</v>
      </c>
      <c r="B683" s="163" t="s">
        <v>189</v>
      </c>
      <c r="C683" s="284"/>
      <c r="D683" s="284"/>
      <c r="E683" s="284"/>
      <c r="F683" s="11"/>
      <c r="G683" s="11"/>
      <c r="H683" s="57" t="s">
        <v>216</v>
      </c>
      <c r="I683" s="44"/>
      <c r="J683" s="45"/>
      <c r="K683" s="47"/>
      <c r="L683" s="48"/>
      <c r="M683" s="46"/>
      <c r="N683" s="46"/>
      <c r="O683" s="407"/>
      <c r="P683" s="49">
        <f t="shared" si="20"/>
        <v>0</v>
      </c>
      <c r="Q683" s="49">
        <f t="shared" si="21"/>
        <v>0</v>
      </c>
    </row>
    <row r="684" spans="1:17" ht="14.5" x14ac:dyDescent="0.35">
      <c r="A684" s="11" t="s">
        <v>633</v>
      </c>
      <c r="B684" s="163" t="s">
        <v>189</v>
      </c>
      <c r="C684" s="284"/>
      <c r="D684" s="284"/>
      <c r="E684" s="284"/>
      <c r="F684" s="11" t="s">
        <v>58</v>
      </c>
      <c r="G684" s="11"/>
      <c r="H684" s="60" t="s">
        <v>217</v>
      </c>
      <c r="I684" s="44" t="s">
        <v>110</v>
      </c>
      <c r="J684" s="45">
        <v>23</v>
      </c>
      <c r="K684" s="47">
        <v>550</v>
      </c>
      <c r="L684" s="48">
        <f>J684*K684</f>
        <v>12650</v>
      </c>
      <c r="M684" s="46">
        <v>23</v>
      </c>
      <c r="N684" s="46">
        <v>23</v>
      </c>
      <c r="O684" s="407">
        <v>550</v>
      </c>
      <c r="P684" s="49">
        <f t="shared" si="20"/>
        <v>12650</v>
      </c>
      <c r="Q684" s="49">
        <f t="shared" si="21"/>
        <v>12650</v>
      </c>
    </row>
    <row r="685" spans="1:17" ht="14.5" x14ac:dyDescent="0.35">
      <c r="A685" s="11" t="s">
        <v>633</v>
      </c>
      <c r="B685" s="163" t="s">
        <v>189</v>
      </c>
      <c r="C685" s="284"/>
      <c r="D685" s="284"/>
      <c r="E685" s="284"/>
      <c r="F685" s="11" t="s">
        <v>87</v>
      </c>
      <c r="G685" s="11"/>
      <c r="H685" s="60" t="s">
        <v>218</v>
      </c>
      <c r="I685" s="44" t="s">
        <v>110</v>
      </c>
      <c r="J685" s="45">
        <v>226</v>
      </c>
      <c r="K685" s="47">
        <v>550</v>
      </c>
      <c r="L685" s="48">
        <f>J685*K685</f>
        <v>124300</v>
      </c>
      <c r="M685" s="46">
        <v>226</v>
      </c>
      <c r="N685" s="46">
        <v>226</v>
      </c>
      <c r="O685" s="407">
        <v>550</v>
      </c>
      <c r="P685" s="49">
        <f t="shared" si="20"/>
        <v>124300</v>
      </c>
      <c r="Q685" s="49">
        <f t="shared" si="21"/>
        <v>124300</v>
      </c>
    </row>
    <row r="686" spans="1:17" x14ac:dyDescent="0.35">
      <c r="A686" s="11" t="s">
        <v>633</v>
      </c>
      <c r="B686" s="163" t="s">
        <v>189</v>
      </c>
      <c r="C686" s="284"/>
      <c r="D686" s="284"/>
      <c r="E686" s="284"/>
      <c r="F686" s="11" t="s">
        <v>90</v>
      </c>
      <c r="G686" s="11"/>
      <c r="H686" s="60" t="s">
        <v>219</v>
      </c>
      <c r="I686" s="44" t="s">
        <v>186</v>
      </c>
      <c r="J686" s="45">
        <v>53</v>
      </c>
      <c r="K686" s="47">
        <v>285</v>
      </c>
      <c r="L686" s="48">
        <f>J686*K686</f>
        <v>15105</v>
      </c>
      <c r="M686" s="46">
        <v>53</v>
      </c>
      <c r="N686" s="46">
        <v>53</v>
      </c>
      <c r="O686" s="407">
        <v>285</v>
      </c>
      <c r="P686" s="49">
        <f t="shared" si="20"/>
        <v>15105</v>
      </c>
      <c r="Q686" s="49">
        <f t="shared" si="21"/>
        <v>15105</v>
      </c>
    </row>
    <row r="687" spans="1:17" ht="13" x14ac:dyDescent="0.35">
      <c r="A687" s="11" t="s">
        <v>633</v>
      </c>
      <c r="B687" s="163" t="s">
        <v>189</v>
      </c>
      <c r="C687" s="284"/>
      <c r="D687" s="284"/>
      <c r="E687" s="284"/>
      <c r="F687" s="11"/>
      <c r="G687" s="11"/>
      <c r="H687" s="57" t="s">
        <v>220</v>
      </c>
      <c r="I687" s="44"/>
      <c r="J687" s="45"/>
      <c r="K687" s="47"/>
      <c r="L687" s="48"/>
      <c r="M687" s="46"/>
      <c r="N687" s="46"/>
      <c r="O687" s="407"/>
      <c r="P687" s="49">
        <f t="shared" si="20"/>
        <v>0</v>
      </c>
      <c r="Q687" s="49">
        <f t="shared" si="21"/>
        <v>0</v>
      </c>
    </row>
    <row r="688" spans="1:17" ht="13" x14ac:dyDescent="0.35">
      <c r="A688" s="11" t="s">
        <v>633</v>
      </c>
      <c r="B688" s="163" t="s">
        <v>189</v>
      </c>
      <c r="C688" s="284"/>
      <c r="D688" s="284"/>
      <c r="E688" s="284"/>
      <c r="F688" s="11"/>
      <c r="G688" s="11"/>
      <c r="H688" s="57" t="s">
        <v>221</v>
      </c>
      <c r="I688" s="44"/>
      <c r="J688" s="45"/>
      <c r="K688" s="47"/>
      <c r="L688" s="48"/>
      <c r="M688" s="46"/>
      <c r="N688" s="46"/>
      <c r="O688" s="407"/>
      <c r="P688" s="49">
        <f t="shared" si="20"/>
        <v>0</v>
      </c>
      <c r="Q688" s="49">
        <f t="shared" si="21"/>
        <v>0</v>
      </c>
    </row>
    <row r="689" spans="1:17" x14ac:dyDescent="0.35">
      <c r="A689" s="11" t="s">
        <v>633</v>
      </c>
      <c r="B689" s="163" t="s">
        <v>189</v>
      </c>
      <c r="C689" s="284"/>
      <c r="D689" s="284"/>
      <c r="E689" s="284"/>
      <c r="F689" s="11" t="s">
        <v>187</v>
      </c>
      <c r="G689" s="11"/>
      <c r="H689" s="60" t="s">
        <v>222</v>
      </c>
      <c r="I689" s="44" t="s">
        <v>186</v>
      </c>
      <c r="J689" s="45">
        <v>387</v>
      </c>
      <c r="K689" s="47">
        <v>10</v>
      </c>
      <c r="L689" s="48">
        <f>J689*K689</f>
        <v>3870</v>
      </c>
      <c r="M689" s="46">
        <v>387</v>
      </c>
      <c r="N689" s="46">
        <v>387</v>
      </c>
      <c r="O689" s="407">
        <v>10</v>
      </c>
      <c r="P689" s="49">
        <f t="shared" si="20"/>
        <v>3870</v>
      </c>
      <c r="Q689" s="49">
        <f t="shared" si="21"/>
        <v>3870</v>
      </c>
    </row>
    <row r="690" spans="1:17" x14ac:dyDescent="0.35">
      <c r="A690" s="11" t="s">
        <v>633</v>
      </c>
      <c r="B690" s="163" t="s">
        <v>189</v>
      </c>
      <c r="C690" s="284"/>
      <c r="D690" s="284"/>
      <c r="E690" s="284"/>
      <c r="F690" s="11" t="s">
        <v>484</v>
      </c>
      <c r="G690" s="11"/>
      <c r="H690" s="60" t="s">
        <v>223</v>
      </c>
      <c r="I690" s="44" t="s">
        <v>186</v>
      </c>
      <c r="J690" s="45">
        <v>2276</v>
      </c>
      <c r="K690" s="47">
        <v>15</v>
      </c>
      <c r="L690" s="48">
        <f>J690*K690</f>
        <v>34140</v>
      </c>
      <c r="M690" s="46">
        <v>2276</v>
      </c>
      <c r="N690" s="46">
        <v>2276</v>
      </c>
      <c r="O690" s="407">
        <v>15</v>
      </c>
      <c r="P690" s="49">
        <f t="shared" si="20"/>
        <v>34140</v>
      </c>
      <c r="Q690" s="49">
        <f t="shared" si="21"/>
        <v>34140</v>
      </c>
    </row>
    <row r="691" spans="1:17" x14ac:dyDescent="0.35">
      <c r="A691" s="11" t="s">
        <v>633</v>
      </c>
      <c r="B691" s="163" t="s">
        <v>189</v>
      </c>
      <c r="C691" s="284"/>
      <c r="D691" s="284"/>
      <c r="E691" s="284"/>
      <c r="F691" s="11" t="s">
        <v>487</v>
      </c>
      <c r="G691" s="11"/>
      <c r="H691" s="60" t="s">
        <v>640</v>
      </c>
      <c r="I691" s="44" t="s">
        <v>186</v>
      </c>
      <c r="J691" s="45">
        <v>200</v>
      </c>
      <c r="K691" s="47">
        <v>15</v>
      </c>
      <c r="L691" s="48">
        <f>J691*K691</f>
        <v>3000</v>
      </c>
      <c r="M691" s="46">
        <v>200</v>
      </c>
      <c r="N691" s="46">
        <v>200</v>
      </c>
      <c r="O691" s="407">
        <v>15</v>
      </c>
      <c r="P691" s="49">
        <f t="shared" si="20"/>
        <v>3000</v>
      </c>
      <c r="Q691" s="49">
        <f t="shared" si="21"/>
        <v>3000</v>
      </c>
    </row>
    <row r="692" spans="1:17" s="71" customFormat="1" ht="13" x14ac:dyDescent="0.35">
      <c r="A692" s="11" t="s">
        <v>633</v>
      </c>
      <c r="B692" s="163" t="s">
        <v>224</v>
      </c>
      <c r="C692" s="284"/>
      <c r="D692" s="284"/>
      <c r="E692" s="284"/>
      <c r="F692" s="11"/>
      <c r="G692" s="11"/>
      <c r="H692" s="43" t="s">
        <v>634</v>
      </c>
      <c r="I692" s="44"/>
      <c r="J692" s="45"/>
      <c r="K692" s="47"/>
      <c r="L692" s="48"/>
      <c r="M692" s="46"/>
      <c r="N692" s="46"/>
      <c r="O692" s="407"/>
      <c r="P692" s="49">
        <f t="shared" si="20"/>
        <v>0</v>
      </c>
      <c r="Q692" s="49">
        <f t="shared" si="21"/>
        <v>0</v>
      </c>
    </row>
    <row r="693" spans="1:17" s="71" customFormat="1" ht="13" x14ac:dyDescent="0.35">
      <c r="A693" s="11" t="s">
        <v>633</v>
      </c>
      <c r="B693" s="163" t="s">
        <v>224</v>
      </c>
      <c r="C693" s="284"/>
      <c r="D693" s="284"/>
      <c r="E693" s="284"/>
      <c r="F693" s="11"/>
      <c r="G693" s="11"/>
      <c r="H693" s="43" t="s">
        <v>635</v>
      </c>
      <c r="I693" s="44"/>
      <c r="J693" s="45"/>
      <c r="K693" s="47"/>
      <c r="L693" s="48"/>
      <c r="M693" s="46"/>
      <c r="N693" s="46"/>
      <c r="O693" s="407"/>
      <c r="P693" s="49">
        <f t="shared" si="20"/>
        <v>0</v>
      </c>
      <c r="Q693" s="49">
        <f t="shared" si="21"/>
        <v>0</v>
      </c>
    </row>
    <row r="694" spans="1:17" s="71" customFormat="1" ht="13" x14ac:dyDescent="0.35">
      <c r="A694" s="11" t="s">
        <v>633</v>
      </c>
      <c r="B694" s="163" t="s">
        <v>224</v>
      </c>
      <c r="C694" s="284"/>
      <c r="D694" s="284"/>
      <c r="E694" s="284"/>
      <c r="F694" s="11"/>
      <c r="G694" s="11"/>
      <c r="H694" s="43" t="s">
        <v>225</v>
      </c>
      <c r="I694" s="44"/>
      <c r="J694" s="45"/>
      <c r="K694" s="47"/>
      <c r="L694" s="48"/>
      <c r="M694" s="46"/>
      <c r="N694" s="46"/>
      <c r="O694" s="407"/>
      <c r="P694" s="49">
        <f t="shared" si="20"/>
        <v>0</v>
      </c>
      <c r="Q694" s="49">
        <f t="shared" si="21"/>
        <v>0</v>
      </c>
    </row>
    <row r="695" spans="1:17" s="71" customFormat="1" ht="13" x14ac:dyDescent="0.35">
      <c r="A695" s="11" t="s">
        <v>633</v>
      </c>
      <c r="B695" s="163" t="s">
        <v>224</v>
      </c>
      <c r="C695" s="284"/>
      <c r="D695" s="284"/>
      <c r="E695" s="284"/>
      <c r="F695" s="11"/>
      <c r="G695" s="11"/>
      <c r="H695" s="43" t="s">
        <v>226</v>
      </c>
      <c r="I695" s="44"/>
      <c r="J695" s="45"/>
      <c r="K695" s="47"/>
      <c r="L695" s="48"/>
      <c r="M695" s="46"/>
      <c r="N695" s="46"/>
      <c r="O695" s="407"/>
      <c r="P695" s="49">
        <f t="shared" si="20"/>
        <v>0</v>
      </c>
      <c r="Q695" s="49">
        <f t="shared" si="21"/>
        <v>0</v>
      </c>
    </row>
    <row r="696" spans="1:17" ht="13" x14ac:dyDescent="0.35">
      <c r="A696" s="11" t="s">
        <v>633</v>
      </c>
      <c r="B696" s="163" t="s">
        <v>224</v>
      </c>
      <c r="C696" s="284"/>
      <c r="D696" s="284"/>
      <c r="E696" s="284"/>
      <c r="F696" s="11"/>
      <c r="G696" s="11"/>
      <c r="H696" s="57" t="s">
        <v>100</v>
      </c>
      <c r="I696" s="44"/>
      <c r="J696" s="45"/>
      <c r="K696" s="47"/>
      <c r="L696" s="48"/>
      <c r="M696" s="46"/>
      <c r="N696" s="46"/>
      <c r="O696" s="407"/>
      <c r="P696" s="49">
        <f t="shared" si="20"/>
        <v>0</v>
      </c>
      <c r="Q696" s="49">
        <f t="shared" si="21"/>
        <v>0</v>
      </c>
    </row>
    <row r="697" spans="1:17" x14ac:dyDescent="0.35">
      <c r="A697" s="11" t="s">
        <v>633</v>
      </c>
      <c r="B697" s="163" t="s">
        <v>224</v>
      </c>
      <c r="C697" s="284"/>
      <c r="D697" s="284"/>
      <c r="E697" s="284"/>
      <c r="F697" s="11"/>
      <c r="G697" s="11"/>
      <c r="H697" s="60" t="s">
        <v>101</v>
      </c>
      <c r="I697" s="44"/>
      <c r="J697" s="45"/>
      <c r="K697" s="47"/>
      <c r="L697" s="48"/>
      <c r="M697" s="46"/>
      <c r="N697" s="46"/>
      <c r="O697" s="407"/>
      <c r="P697" s="49">
        <f t="shared" si="20"/>
        <v>0</v>
      </c>
      <c r="Q697" s="49">
        <f t="shared" si="21"/>
        <v>0</v>
      </c>
    </row>
    <row r="698" spans="1:17" s="71" customFormat="1" ht="13" x14ac:dyDescent="0.35">
      <c r="A698" s="11" t="s">
        <v>633</v>
      </c>
      <c r="B698" s="163" t="s">
        <v>224</v>
      </c>
      <c r="C698" s="284"/>
      <c r="D698" s="284"/>
      <c r="E698" s="284"/>
      <c r="F698" s="11"/>
      <c r="G698" s="11"/>
      <c r="H698" s="57" t="s">
        <v>102</v>
      </c>
      <c r="I698" s="44"/>
      <c r="J698" s="45"/>
      <c r="K698" s="47"/>
      <c r="L698" s="48"/>
      <c r="M698" s="46"/>
      <c r="N698" s="46"/>
      <c r="O698" s="407"/>
      <c r="P698" s="49">
        <f t="shared" si="20"/>
        <v>0</v>
      </c>
      <c r="Q698" s="49">
        <f t="shared" si="21"/>
        <v>0</v>
      </c>
    </row>
    <row r="699" spans="1:17" ht="62.5" x14ac:dyDescent="0.35">
      <c r="A699" s="11" t="s">
        <v>633</v>
      </c>
      <c r="B699" s="163" t="s">
        <v>224</v>
      </c>
      <c r="C699" s="284"/>
      <c r="D699" s="284"/>
      <c r="E699" s="284"/>
      <c r="F699" s="11"/>
      <c r="G699" s="11"/>
      <c r="H699" s="60" t="s">
        <v>227</v>
      </c>
      <c r="I699" s="44"/>
      <c r="J699" s="45"/>
      <c r="K699" s="47"/>
      <c r="L699" s="48"/>
      <c r="M699" s="46"/>
      <c r="N699" s="46"/>
      <c r="O699" s="407"/>
      <c r="P699" s="49">
        <f t="shared" si="20"/>
        <v>0</v>
      </c>
      <c r="Q699" s="49">
        <f t="shared" si="21"/>
        <v>0</v>
      </c>
    </row>
    <row r="700" spans="1:17" ht="25" x14ac:dyDescent="0.35">
      <c r="A700" s="11" t="s">
        <v>633</v>
      </c>
      <c r="B700" s="163" t="s">
        <v>224</v>
      </c>
      <c r="C700" s="284"/>
      <c r="D700" s="284"/>
      <c r="E700" s="284"/>
      <c r="F700" s="11"/>
      <c r="G700" s="11"/>
      <c r="H700" s="60" t="s">
        <v>228</v>
      </c>
      <c r="I700" s="44"/>
      <c r="J700" s="45"/>
      <c r="K700" s="47"/>
      <c r="L700" s="48"/>
      <c r="M700" s="46"/>
      <c r="N700" s="46"/>
      <c r="O700" s="407"/>
      <c r="P700" s="49">
        <f t="shared" si="20"/>
        <v>0</v>
      </c>
      <c r="Q700" s="49">
        <f t="shared" si="21"/>
        <v>0</v>
      </c>
    </row>
    <row r="701" spans="1:17" ht="13" x14ac:dyDescent="0.35">
      <c r="A701" s="11" t="s">
        <v>633</v>
      </c>
      <c r="B701" s="163" t="s">
        <v>224</v>
      </c>
      <c r="C701" s="284"/>
      <c r="D701" s="284"/>
      <c r="E701" s="284"/>
      <c r="F701" s="11"/>
      <c r="G701" s="11"/>
      <c r="H701" s="57" t="s">
        <v>229</v>
      </c>
      <c r="I701" s="44"/>
      <c r="J701" s="45"/>
      <c r="K701" s="47"/>
      <c r="L701" s="48"/>
      <c r="M701" s="46"/>
      <c r="N701" s="46"/>
      <c r="O701" s="407"/>
      <c r="P701" s="49">
        <f t="shared" si="20"/>
        <v>0</v>
      </c>
      <c r="Q701" s="49">
        <f t="shared" si="21"/>
        <v>0</v>
      </c>
    </row>
    <row r="702" spans="1:17" ht="26" x14ac:dyDescent="0.35">
      <c r="A702" s="11" t="s">
        <v>633</v>
      </c>
      <c r="B702" s="163" t="s">
        <v>224</v>
      </c>
      <c r="C702" s="284"/>
      <c r="D702" s="284"/>
      <c r="E702" s="284"/>
      <c r="F702" s="11"/>
      <c r="G702" s="11"/>
      <c r="H702" s="57" t="s">
        <v>230</v>
      </c>
      <c r="I702" s="44"/>
      <c r="J702" s="45"/>
      <c r="K702" s="47"/>
      <c r="L702" s="48"/>
      <c r="M702" s="46"/>
      <c r="N702" s="46"/>
      <c r="O702" s="407"/>
      <c r="P702" s="49">
        <f t="shared" si="20"/>
        <v>0</v>
      </c>
      <c r="Q702" s="49">
        <f t="shared" si="21"/>
        <v>0</v>
      </c>
    </row>
    <row r="703" spans="1:17" ht="14.5" x14ac:dyDescent="0.35">
      <c r="A703" s="11" t="s">
        <v>633</v>
      </c>
      <c r="B703" s="163" t="s">
        <v>224</v>
      </c>
      <c r="C703" s="284"/>
      <c r="D703" s="284"/>
      <c r="E703" s="284"/>
      <c r="F703" s="11" t="s">
        <v>20</v>
      </c>
      <c r="G703" s="11"/>
      <c r="H703" s="60" t="s">
        <v>231</v>
      </c>
      <c r="I703" s="44" t="s">
        <v>110</v>
      </c>
      <c r="J703" s="45">
        <v>173</v>
      </c>
      <c r="K703" s="47">
        <v>65</v>
      </c>
      <c r="L703" s="48">
        <f>J703*K703</f>
        <v>11245</v>
      </c>
      <c r="M703" s="46">
        <v>173</v>
      </c>
      <c r="N703" s="46">
        <v>173</v>
      </c>
      <c r="O703" s="407">
        <v>65</v>
      </c>
      <c r="P703" s="49">
        <f t="shared" si="20"/>
        <v>11245</v>
      </c>
      <c r="Q703" s="49">
        <f t="shared" si="21"/>
        <v>11245</v>
      </c>
    </row>
    <row r="704" spans="1:17" ht="39" x14ac:dyDescent="0.35">
      <c r="A704" s="11" t="s">
        <v>633</v>
      </c>
      <c r="B704" s="163" t="s">
        <v>224</v>
      </c>
      <c r="C704" s="284"/>
      <c r="D704" s="284"/>
      <c r="E704" s="284"/>
      <c r="F704" s="11"/>
      <c r="G704" s="11"/>
      <c r="H704" s="57" t="s">
        <v>232</v>
      </c>
      <c r="I704" s="44"/>
      <c r="J704" s="45"/>
      <c r="K704" s="47"/>
      <c r="L704" s="48"/>
      <c r="M704" s="46"/>
      <c r="N704" s="46"/>
      <c r="O704" s="407"/>
      <c r="P704" s="49">
        <f t="shared" si="20"/>
        <v>0</v>
      </c>
      <c r="Q704" s="49">
        <f t="shared" si="21"/>
        <v>0</v>
      </c>
    </row>
    <row r="705" spans="1:17" ht="14.5" x14ac:dyDescent="0.35">
      <c r="A705" s="11" t="s">
        <v>633</v>
      </c>
      <c r="B705" s="163" t="s">
        <v>224</v>
      </c>
      <c r="C705" s="284"/>
      <c r="D705" s="284"/>
      <c r="E705" s="284"/>
      <c r="F705" s="11" t="s">
        <v>26</v>
      </c>
      <c r="G705" s="11"/>
      <c r="H705" s="60" t="s">
        <v>641</v>
      </c>
      <c r="I705" s="44" t="s">
        <v>110</v>
      </c>
      <c r="J705" s="45">
        <v>295</v>
      </c>
      <c r="K705" s="47">
        <v>65</v>
      </c>
      <c r="L705" s="48">
        <f>J705*K705</f>
        <v>19175</v>
      </c>
      <c r="M705" s="46">
        <v>295</v>
      </c>
      <c r="N705" s="46">
        <v>295</v>
      </c>
      <c r="O705" s="407">
        <v>65</v>
      </c>
      <c r="P705" s="49">
        <f t="shared" si="20"/>
        <v>19175</v>
      </c>
      <c r="Q705" s="49">
        <f t="shared" si="21"/>
        <v>19175</v>
      </c>
    </row>
    <row r="706" spans="1:17" ht="14.5" x14ac:dyDescent="0.35">
      <c r="A706" s="11" t="s">
        <v>633</v>
      </c>
      <c r="B706" s="163" t="s">
        <v>224</v>
      </c>
      <c r="C706" s="284"/>
      <c r="D706" s="284"/>
      <c r="E706" s="284"/>
      <c r="F706" s="11" t="s">
        <v>29</v>
      </c>
      <c r="G706" s="11"/>
      <c r="H706" s="60" t="s">
        <v>642</v>
      </c>
      <c r="I706" s="44" t="s">
        <v>110</v>
      </c>
      <c r="J706" s="45">
        <v>78</v>
      </c>
      <c r="K706" s="47">
        <v>65</v>
      </c>
      <c r="L706" s="48">
        <f>J706*K706</f>
        <v>5070</v>
      </c>
      <c r="M706" s="46">
        <v>78</v>
      </c>
      <c r="N706" s="46">
        <v>78</v>
      </c>
      <c r="O706" s="407">
        <v>65</v>
      </c>
      <c r="P706" s="49">
        <f t="shared" si="20"/>
        <v>5070</v>
      </c>
      <c r="Q706" s="49">
        <f t="shared" si="21"/>
        <v>5070</v>
      </c>
    </row>
    <row r="707" spans="1:17" ht="13" x14ac:dyDescent="0.35">
      <c r="A707" s="11" t="s">
        <v>633</v>
      </c>
      <c r="B707" s="163" t="s">
        <v>235</v>
      </c>
      <c r="C707" s="284"/>
      <c r="D707" s="284"/>
      <c r="E707" s="284"/>
      <c r="F707" s="11"/>
      <c r="G707" s="11"/>
      <c r="H707" s="43" t="s">
        <v>634</v>
      </c>
      <c r="I707" s="44"/>
      <c r="J707" s="58"/>
      <c r="K707" s="47"/>
      <c r="L707" s="48"/>
      <c r="M707" s="59"/>
      <c r="N707" s="59"/>
      <c r="O707" s="407"/>
      <c r="P707" s="49">
        <f t="shared" si="20"/>
        <v>0</v>
      </c>
      <c r="Q707" s="49">
        <f t="shared" si="21"/>
        <v>0</v>
      </c>
    </row>
    <row r="708" spans="1:17" ht="13" x14ac:dyDescent="0.35">
      <c r="A708" s="11" t="s">
        <v>633</v>
      </c>
      <c r="B708" s="163" t="s">
        <v>235</v>
      </c>
      <c r="C708" s="284"/>
      <c r="D708" s="284"/>
      <c r="E708" s="284"/>
      <c r="F708" s="11"/>
      <c r="G708" s="11"/>
      <c r="H708" s="43" t="s">
        <v>635</v>
      </c>
      <c r="I708" s="44"/>
      <c r="J708" s="58"/>
      <c r="K708" s="47"/>
      <c r="L708" s="48"/>
      <c r="M708" s="59"/>
      <c r="N708" s="59"/>
      <c r="O708" s="407"/>
      <c r="P708" s="49">
        <f t="shared" si="20"/>
        <v>0</v>
      </c>
      <c r="Q708" s="49">
        <f t="shared" si="21"/>
        <v>0</v>
      </c>
    </row>
    <row r="709" spans="1:17" ht="13" x14ac:dyDescent="0.35">
      <c r="A709" s="11" t="s">
        <v>633</v>
      </c>
      <c r="B709" s="163" t="s">
        <v>235</v>
      </c>
      <c r="C709" s="284"/>
      <c r="D709" s="284"/>
      <c r="E709" s="284"/>
      <c r="F709" s="11"/>
      <c r="G709" s="11"/>
      <c r="H709" s="43" t="s">
        <v>236</v>
      </c>
      <c r="I709" s="44"/>
      <c r="J709" s="58"/>
      <c r="K709" s="47"/>
      <c r="L709" s="48"/>
      <c r="M709" s="59"/>
      <c r="N709" s="59"/>
      <c r="O709" s="407"/>
      <c r="P709" s="49">
        <f t="shared" si="20"/>
        <v>0</v>
      </c>
      <c r="Q709" s="49">
        <f t="shared" si="21"/>
        <v>0</v>
      </c>
    </row>
    <row r="710" spans="1:17" ht="13" x14ac:dyDescent="0.35">
      <c r="A710" s="11" t="s">
        <v>633</v>
      </c>
      <c r="B710" s="163" t="s">
        <v>235</v>
      </c>
      <c r="C710" s="284"/>
      <c r="D710" s="284"/>
      <c r="E710" s="284"/>
      <c r="F710" s="11"/>
      <c r="G710" s="11"/>
      <c r="H710" s="43" t="s">
        <v>237</v>
      </c>
      <c r="I710" s="44"/>
      <c r="J710" s="58"/>
      <c r="K710" s="47"/>
      <c r="L710" s="48"/>
      <c r="M710" s="59"/>
      <c r="N710" s="59"/>
      <c r="O710" s="407"/>
      <c r="P710" s="49">
        <f t="shared" si="20"/>
        <v>0</v>
      </c>
      <c r="Q710" s="49">
        <f t="shared" si="21"/>
        <v>0</v>
      </c>
    </row>
    <row r="711" spans="1:17" ht="13" x14ac:dyDescent="0.35">
      <c r="A711" s="11" t="s">
        <v>633</v>
      </c>
      <c r="B711" s="163" t="s">
        <v>235</v>
      </c>
      <c r="C711" s="284"/>
      <c r="D711" s="284"/>
      <c r="E711" s="284"/>
      <c r="F711" s="50"/>
      <c r="G711" s="50"/>
      <c r="H711" s="57" t="s">
        <v>100</v>
      </c>
      <c r="I711" s="51"/>
      <c r="J711" s="72"/>
      <c r="K711" s="54"/>
      <c r="L711" s="55"/>
      <c r="M711" s="73"/>
      <c r="N711" s="73"/>
      <c r="O711" s="408"/>
      <c r="P711" s="56">
        <f t="shared" si="20"/>
        <v>0</v>
      </c>
      <c r="Q711" s="56">
        <f t="shared" si="21"/>
        <v>0</v>
      </c>
    </row>
    <row r="712" spans="1:17" ht="13" x14ac:dyDescent="0.35">
      <c r="A712" s="11" t="s">
        <v>633</v>
      </c>
      <c r="B712" s="163" t="s">
        <v>235</v>
      </c>
      <c r="C712" s="284"/>
      <c r="D712" s="284"/>
      <c r="E712" s="284"/>
      <c r="F712" s="50"/>
      <c r="G712" s="50"/>
      <c r="H712" s="60" t="s">
        <v>101</v>
      </c>
      <c r="I712" s="51"/>
      <c r="J712" s="74"/>
      <c r="K712" s="54"/>
      <c r="L712" s="55"/>
      <c r="M712" s="75"/>
      <c r="N712" s="75"/>
      <c r="O712" s="408"/>
      <c r="P712" s="56">
        <f t="shared" si="20"/>
        <v>0</v>
      </c>
      <c r="Q712" s="56">
        <f t="shared" si="21"/>
        <v>0</v>
      </c>
    </row>
    <row r="713" spans="1:17" ht="13" x14ac:dyDescent="0.35">
      <c r="A713" s="11" t="s">
        <v>633</v>
      </c>
      <c r="B713" s="163" t="s">
        <v>235</v>
      </c>
      <c r="C713" s="284"/>
      <c r="D713" s="284"/>
      <c r="E713" s="284"/>
      <c r="F713" s="11"/>
      <c r="G713" s="11"/>
      <c r="H713" s="57" t="s">
        <v>643</v>
      </c>
      <c r="I713" s="44"/>
      <c r="J713" s="58"/>
      <c r="K713" s="47"/>
      <c r="L713" s="48"/>
      <c r="M713" s="59"/>
      <c r="N713" s="59"/>
      <c r="O713" s="407"/>
      <c r="P713" s="49">
        <f t="shared" si="20"/>
        <v>0</v>
      </c>
      <c r="Q713" s="49">
        <f t="shared" si="21"/>
        <v>0</v>
      </c>
    </row>
    <row r="714" spans="1:17" ht="14.5" x14ac:dyDescent="0.35">
      <c r="A714" s="11" t="s">
        <v>633</v>
      </c>
      <c r="B714" s="163" t="s">
        <v>235</v>
      </c>
      <c r="C714" s="284"/>
      <c r="D714" s="284"/>
      <c r="E714" s="284"/>
      <c r="F714" s="11" t="s">
        <v>20</v>
      </c>
      <c r="G714" s="11"/>
      <c r="H714" s="60" t="s">
        <v>644</v>
      </c>
      <c r="I714" s="44" t="s">
        <v>110</v>
      </c>
      <c r="J714" s="58">
        <v>295</v>
      </c>
      <c r="K714" s="47">
        <v>395</v>
      </c>
      <c r="L714" s="48">
        <f>J714*K714</f>
        <v>116525</v>
      </c>
      <c r="M714" s="59">
        <v>295</v>
      </c>
      <c r="N714" s="59">
        <v>295</v>
      </c>
      <c r="O714" s="407">
        <v>395</v>
      </c>
      <c r="P714" s="49">
        <f t="shared" ref="P714:P777" si="22">O714*M714</f>
        <v>116525</v>
      </c>
      <c r="Q714" s="49">
        <f t="shared" ref="Q714:Q777" si="23">O714*N714</f>
        <v>116525</v>
      </c>
    </row>
    <row r="715" spans="1:17" s="84" customFormat="1" ht="13" x14ac:dyDescent="0.35">
      <c r="A715" s="11" t="s">
        <v>633</v>
      </c>
      <c r="B715" s="163" t="s">
        <v>235</v>
      </c>
      <c r="C715" s="284"/>
      <c r="D715" s="284"/>
      <c r="E715" s="284"/>
      <c r="F715" s="76"/>
      <c r="G715" s="77"/>
      <c r="H715" s="87" t="s">
        <v>243</v>
      </c>
      <c r="I715" s="78"/>
      <c r="J715" s="79"/>
      <c r="K715" s="81"/>
      <c r="L715" s="82"/>
      <c r="M715" s="80"/>
      <c r="N715" s="80"/>
      <c r="O715" s="410"/>
      <c r="P715" s="83">
        <f t="shared" si="22"/>
        <v>0</v>
      </c>
      <c r="Q715" s="83">
        <f t="shared" si="23"/>
        <v>0</v>
      </c>
    </row>
    <row r="716" spans="1:17" s="84" customFormat="1" x14ac:dyDescent="0.35">
      <c r="A716" s="11" t="s">
        <v>633</v>
      </c>
      <c r="B716" s="163" t="s">
        <v>235</v>
      </c>
      <c r="C716" s="284"/>
      <c r="D716" s="284"/>
      <c r="E716" s="284"/>
      <c r="F716" s="11" t="s">
        <v>26</v>
      </c>
      <c r="G716" s="77"/>
      <c r="H716" s="88" t="s">
        <v>244</v>
      </c>
      <c r="I716" s="78" t="s">
        <v>245</v>
      </c>
      <c r="J716" s="79">
        <v>295</v>
      </c>
      <c r="K716" s="81">
        <v>145</v>
      </c>
      <c r="L716" s="82">
        <f>J716*K716</f>
        <v>42775</v>
      </c>
      <c r="M716" s="80">
        <v>295</v>
      </c>
      <c r="N716" s="80">
        <v>295</v>
      </c>
      <c r="O716" s="410">
        <v>145</v>
      </c>
      <c r="P716" s="83">
        <f t="shared" si="22"/>
        <v>42775</v>
      </c>
      <c r="Q716" s="83">
        <f t="shared" si="23"/>
        <v>42775</v>
      </c>
    </row>
    <row r="717" spans="1:17" ht="13" x14ac:dyDescent="0.35">
      <c r="A717" s="11" t="s">
        <v>633</v>
      </c>
      <c r="B717" s="163" t="s">
        <v>235</v>
      </c>
      <c r="C717" s="284"/>
      <c r="D717" s="284"/>
      <c r="E717" s="284"/>
      <c r="F717" s="11"/>
      <c r="G717" s="11"/>
      <c r="H717" s="57" t="s">
        <v>241</v>
      </c>
      <c r="I717" s="44"/>
      <c r="J717" s="58"/>
      <c r="K717" s="47"/>
      <c r="L717" s="48"/>
      <c r="M717" s="59"/>
      <c r="N717" s="59"/>
      <c r="O717" s="407"/>
      <c r="P717" s="49">
        <f t="shared" si="22"/>
        <v>0</v>
      </c>
      <c r="Q717" s="49">
        <f t="shared" si="23"/>
        <v>0</v>
      </c>
    </row>
    <row r="718" spans="1:17" x14ac:dyDescent="0.35">
      <c r="A718" s="11" t="s">
        <v>633</v>
      </c>
      <c r="B718" s="163" t="s">
        <v>235</v>
      </c>
      <c r="C718" s="284"/>
      <c r="D718" s="284"/>
      <c r="E718" s="284"/>
      <c r="F718" s="11" t="s">
        <v>29</v>
      </c>
      <c r="G718" s="11"/>
      <c r="H718" s="60" t="s">
        <v>242</v>
      </c>
      <c r="I718" s="44" t="s">
        <v>186</v>
      </c>
      <c r="J718" s="85">
        <v>74</v>
      </c>
      <c r="K718" s="47">
        <v>185</v>
      </c>
      <c r="L718" s="48">
        <f>K718*J718</f>
        <v>13690</v>
      </c>
      <c r="M718" s="86">
        <v>74</v>
      </c>
      <c r="N718" s="86">
        <v>74</v>
      </c>
      <c r="O718" s="407">
        <v>185</v>
      </c>
      <c r="P718" s="49">
        <f t="shared" si="22"/>
        <v>13690</v>
      </c>
      <c r="Q718" s="49">
        <f t="shared" si="23"/>
        <v>13690</v>
      </c>
    </row>
    <row r="719" spans="1:17" ht="13" x14ac:dyDescent="0.35">
      <c r="A719" s="11" t="s">
        <v>633</v>
      </c>
      <c r="B719" s="163" t="s">
        <v>246</v>
      </c>
      <c r="C719" s="284"/>
      <c r="D719" s="284"/>
      <c r="E719" s="284"/>
      <c r="F719" s="11"/>
      <c r="G719" s="11"/>
      <c r="H719" s="43" t="s">
        <v>634</v>
      </c>
      <c r="I719" s="44"/>
      <c r="J719" s="45"/>
      <c r="K719" s="47"/>
      <c r="L719" s="48"/>
      <c r="M719" s="46"/>
      <c r="N719" s="46"/>
      <c r="O719" s="407"/>
      <c r="P719" s="49">
        <f t="shared" si="22"/>
        <v>0</v>
      </c>
      <c r="Q719" s="49">
        <f t="shared" si="23"/>
        <v>0</v>
      </c>
    </row>
    <row r="720" spans="1:17" ht="13" x14ac:dyDescent="0.35">
      <c r="A720" s="11" t="s">
        <v>633</v>
      </c>
      <c r="B720" s="163" t="s">
        <v>246</v>
      </c>
      <c r="C720" s="284"/>
      <c r="D720" s="284"/>
      <c r="E720" s="284"/>
      <c r="F720" s="11"/>
      <c r="G720" s="11"/>
      <c r="H720" s="43" t="s">
        <v>635</v>
      </c>
      <c r="I720" s="44"/>
      <c r="J720" s="45"/>
      <c r="K720" s="47"/>
      <c r="L720" s="48"/>
      <c r="M720" s="46"/>
      <c r="N720" s="46"/>
      <c r="O720" s="407"/>
      <c r="P720" s="49">
        <f t="shared" si="22"/>
        <v>0</v>
      </c>
      <c r="Q720" s="49">
        <f t="shared" si="23"/>
        <v>0</v>
      </c>
    </row>
    <row r="721" spans="1:17" ht="13" x14ac:dyDescent="0.35">
      <c r="A721" s="11" t="s">
        <v>633</v>
      </c>
      <c r="B721" s="163" t="s">
        <v>246</v>
      </c>
      <c r="C721" s="284"/>
      <c r="D721" s="284"/>
      <c r="E721" s="284"/>
      <c r="F721" s="11"/>
      <c r="G721" s="11"/>
      <c r="H721" s="43" t="s">
        <v>247</v>
      </c>
      <c r="I721" s="44"/>
      <c r="J721" s="45"/>
      <c r="K721" s="47"/>
      <c r="L721" s="48"/>
      <c r="M721" s="46"/>
      <c r="N721" s="46"/>
      <c r="O721" s="407"/>
      <c r="P721" s="49">
        <f t="shared" si="22"/>
        <v>0</v>
      </c>
      <c r="Q721" s="49">
        <f t="shared" si="23"/>
        <v>0</v>
      </c>
    </row>
    <row r="722" spans="1:17" ht="13" x14ac:dyDescent="0.35">
      <c r="A722" s="11" t="s">
        <v>633</v>
      </c>
      <c r="B722" s="163" t="s">
        <v>246</v>
      </c>
      <c r="C722" s="284"/>
      <c r="D722" s="284"/>
      <c r="E722" s="284"/>
      <c r="F722" s="11"/>
      <c r="G722" s="11"/>
      <c r="H722" s="43" t="s">
        <v>248</v>
      </c>
      <c r="I722" s="44"/>
      <c r="J722" s="45"/>
      <c r="K722" s="47"/>
      <c r="L722" s="48"/>
      <c r="M722" s="46"/>
      <c r="N722" s="46"/>
      <c r="O722" s="407"/>
      <c r="P722" s="49">
        <f t="shared" si="22"/>
        <v>0</v>
      </c>
      <c r="Q722" s="49">
        <f t="shared" si="23"/>
        <v>0</v>
      </c>
    </row>
    <row r="723" spans="1:17" ht="13" x14ac:dyDescent="0.35">
      <c r="A723" s="11" t="s">
        <v>633</v>
      </c>
      <c r="B723" s="163" t="s">
        <v>246</v>
      </c>
      <c r="C723" s="284"/>
      <c r="D723" s="284"/>
      <c r="E723" s="284"/>
      <c r="F723" s="11"/>
      <c r="G723" s="11"/>
      <c r="H723" s="57" t="s">
        <v>100</v>
      </c>
      <c r="I723" s="44"/>
      <c r="J723" s="45"/>
      <c r="K723" s="47"/>
      <c r="L723" s="48"/>
      <c r="M723" s="46"/>
      <c r="N723" s="46"/>
      <c r="O723" s="407"/>
      <c r="P723" s="49">
        <f t="shared" si="22"/>
        <v>0</v>
      </c>
      <c r="Q723" s="49">
        <f t="shared" si="23"/>
        <v>0</v>
      </c>
    </row>
    <row r="724" spans="1:17" x14ac:dyDescent="0.35">
      <c r="A724" s="11" t="s">
        <v>633</v>
      </c>
      <c r="B724" s="163" t="s">
        <v>246</v>
      </c>
      <c r="C724" s="284"/>
      <c r="D724" s="284"/>
      <c r="E724" s="284"/>
      <c r="F724" s="11"/>
      <c r="G724" s="11"/>
      <c r="H724" s="60" t="s">
        <v>101</v>
      </c>
      <c r="I724" s="44"/>
      <c r="J724" s="45"/>
      <c r="K724" s="47"/>
      <c r="L724" s="48"/>
      <c r="M724" s="46"/>
      <c r="N724" s="46"/>
      <c r="O724" s="407"/>
      <c r="P724" s="49">
        <f t="shared" si="22"/>
        <v>0</v>
      </c>
      <c r="Q724" s="49">
        <f t="shared" si="23"/>
        <v>0</v>
      </c>
    </row>
    <row r="725" spans="1:17" ht="13" x14ac:dyDescent="0.35">
      <c r="A725" s="11" t="s">
        <v>633</v>
      </c>
      <c r="B725" s="163" t="s">
        <v>246</v>
      </c>
      <c r="C725" s="284"/>
      <c r="D725" s="284"/>
      <c r="E725" s="284"/>
      <c r="F725" s="11"/>
      <c r="G725" s="11"/>
      <c r="H725" s="57" t="s">
        <v>102</v>
      </c>
      <c r="I725" s="44"/>
      <c r="J725" s="45"/>
      <c r="K725" s="47"/>
      <c r="L725" s="48"/>
      <c r="M725" s="46"/>
      <c r="N725" s="46"/>
      <c r="O725" s="407"/>
      <c r="P725" s="49">
        <f t="shared" si="22"/>
        <v>0</v>
      </c>
      <c r="Q725" s="49">
        <f t="shared" si="23"/>
        <v>0</v>
      </c>
    </row>
    <row r="726" spans="1:17" x14ac:dyDescent="0.35">
      <c r="A726" s="11" t="s">
        <v>633</v>
      </c>
      <c r="B726" s="163" t="s">
        <v>246</v>
      </c>
      <c r="C726" s="284"/>
      <c r="D726" s="284"/>
      <c r="E726" s="284"/>
      <c r="F726" s="11"/>
      <c r="G726" s="11"/>
      <c r="H726" s="62" t="s">
        <v>249</v>
      </c>
      <c r="I726" s="44"/>
      <c r="J726" s="45"/>
      <c r="K726" s="47"/>
      <c r="L726" s="48"/>
      <c r="M726" s="46"/>
      <c r="N726" s="46"/>
      <c r="O726" s="407"/>
      <c r="P726" s="49">
        <f t="shared" si="22"/>
        <v>0</v>
      </c>
      <c r="Q726" s="49">
        <f t="shared" si="23"/>
        <v>0</v>
      </c>
    </row>
    <row r="727" spans="1:17" ht="25" x14ac:dyDescent="0.35">
      <c r="A727" s="11" t="s">
        <v>633</v>
      </c>
      <c r="B727" s="163" t="s">
        <v>246</v>
      </c>
      <c r="C727" s="284"/>
      <c r="D727" s="284"/>
      <c r="E727" s="284"/>
      <c r="F727" s="11"/>
      <c r="G727" s="11"/>
      <c r="H727" s="60" t="s">
        <v>250</v>
      </c>
      <c r="I727" s="44"/>
      <c r="J727" s="45"/>
      <c r="K727" s="47"/>
      <c r="L727" s="48"/>
      <c r="M727" s="46"/>
      <c r="N727" s="46"/>
      <c r="O727" s="407"/>
      <c r="P727" s="49">
        <f t="shared" si="22"/>
        <v>0</v>
      </c>
      <c r="Q727" s="49">
        <f t="shared" si="23"/>
        <v>0</v>
      </c>
    </row>
    <row r="728" spans="1:17" ht="37.5" x14ac:dyDescent="0.35">
      <c r="A728" s="11" t="s">
        <v>633</v>
      </c>
      <c r="B728" s="163" t="s">
        <v>246</v>
      </c>
      <c r="C728" s="284"/>
      <c r="D728" s="284"/>
      <c r="E728" s="284"/>
      <c r="F728" s="11"/>
      <c r="G728" s="11"/>
      <c r="H728" s="60" t="s">
        <v>251</v>
      </c>
      <c r="I728" s="44"/>
      <c r="J728" s="45"/>
      <c r="K728" s="47"/>
      <c r="L728" s="48"/>
      <c r="M728" s="46"/>
      <c r="N728" s="46"/>
      <c r="O728" s="407"/>
      <c r="P728" s="49">
        <f t="shared" si="22"/>
        <v>0</v>
      </c>
      <c r="Q728" s="49">
        <f t="shared" si="23"/>
        <v>0</v>
      </c>
    </row>
    <row r="729" spans="1:17" x14ac:dyDescent="0.35">
      <c r="A729" s="11" t="s">
        <v>633</v>
      </c>
      <c r="B729" s="163" t="s">
        <v>246</v>
      </c>
      <c r="C729" s="284"/>
      <c r="D729" s="284"/>
      <c r="E729" s="284"/>
      <c r="F729" s="11"/>
      <c r="G729" s="11"/>
      <c r="H729" s="62" t="s">
        <v>252</v>
      </c>
      <c r="I729" s="44"/>
      <c r="J729" s="45"/>
      <c r="K729" s="47"/>
      <c r="L729" s="48"/>
      <c r="M729" s="46"/>
      <c r="N729" s="46"/>
      <c r="O729" s="407"/>
      <c r="P729" s="49">
        <f t="shared" si="22"/>
        <v>0</v>
      </c>
      <c r="Q729" s="49">
        <f t="shared" si="23"/>
        <v>0</v>
      </c>
    </row>
    <row r="730" spans="1:17" ht="25" x14ac:dyDescent="0.35">
      <c r="A730" s="11" t="s">
        <v>633</v>
      </c>
      <c r="B730" s="163" t="s">
        <v>246</v>
      </c>
      <c r="C730" s="284"/>
      <c r="D730" s="284"/>
      <c r="E730" s="284"/>
      <c r="F730" s="11"/>
      <c r="G730" s="11"/>
      <c r="H730" s="60" t="s">
        <v>253</v>
      </c>
      <c r="I730" s="44"/>
      <c r="J730" s="45"/>
      <c r="K730" s="47"/>
      <c r="L730" s="48"/>
      <c r="M730" s="46"/>
      <c r="N730" s="46"/>
      <c r="O730" s="407"/>
      <c r="P730" s="49">
        <f t="shared" si="22"/>
        <v>0</v>
      </c>
      <c r="Q730" s="49">
        <f t="shared" si="23"/>
        <v>0</v>
      </c>
    </row>
    <row r="731" spans="1:17" ht="25" x14ac:dyDescent="0.35">
      <c r="A731" s="11" t="s">
        <v>633</v>
      </c>
      <c r="B731" s="163" t="s">
        <v>246</v>
      </c>
      <c r="C731" s="284"/>
      <c r="D731" s="284"/>
      <c r="E731" s="284"/>
      <c r="F731" s="11"/>
      <c r="G731" s="11"/>
      <c r="H731" s="60" t="s">
        <v>254</v>
      </c>
      <c r="I731" s="44"/>
      <c r="J731" s="45"/>
      <c r="K731" s="47"/>
      <c r="L731" s="48"/>
      <c r="M731" s="46"/>
      <c r="N731" s="46"/>
      <c r="O731" s="407"/>
      <c r="P731" s="49">
        <f t="shared" si="22"/>
        <v>0</v>
      </c>
      <c r="Q731" s="49">
        <f t="shared" si="23"/>
        <v>0</v>
      </c>
    </row>
    <row r="732" spans="1:17" x14ac:dyDescent="0.35">
      <c r="A732" s="11" t="s">
        <v>633</v>
      </c>
      <c r="B732" s="163" t="s">
        <v>246</v>
      </c>
      <c r="C732" s="284"/>
      <c r="D732" s="284"/>
      <c r="E732" s="284"/>
      <c r="F732" s="11"/>
      <c r="G732" s="11"/>
      <c r="H732" s="62" t="s">
        <v>255</v>
      </c>
      <c r="I732" s="44"/>
      <c r="J732" s="45"/>
      <c r="K732" s="47"/>
      <c r="L732" s="48"/>
      <c r="M732" s="46"/>
      <c r="N732" s="46"/>
      <c r="O732" s="407"/>
      <c r="P732" s="49">
        <f t="shared" si="22"/>
        <v>0</v>
      </c>
      <c r="Q732" s="49">
        <f t="shared" si="23"/>
        <v>0</v>
      </c>
    </row>
    <row r="733" spans="1:17" ht="25" x14ac:dyDescent="0.35">
      <c r="A733" s="11" t="s">
        <v>633</v>
      </c>
      <c r="B733" s="163" t="s">
        <v>246</v>
      </c>
      <c r="C733" s="284"/>
      <c r="D733" s="284"/>
      <c r="E733" s="284"/>
      <c r="F733" s="11"/>
      <c r="G733" s="11"/>
      <c r="H733" s="60" t="s">
        <v>256</v>
      </c>
      <c r="I733" s="44"/>
      <c r="J733" s="45"/>
      <c r="K733" s="47"/>
      <c r="L733" s="48"/>
      <c r="M733" s="46"/>
      <c r="N733" s="46"/>
      <c r="O733" s="407"/>
      <c r="P733" s="49">
        <f t="shared" si="22"/>
        <v>0</v>
      </c>
      <c r="Q733" s="49">
        <f t="shared" si="23"/>
        <v>0</v>
      </c>
    </row>
    <row r="734" spans="1:17" ht="37.5" x14ac:dyDescent="0.35">
      <c r="A734" s="11" t="s">
        <v>633</v>
      </c>
      <c r="B734" s="163" t="s">
        <v>246</v>
      </c>
      <c r="C734" s="284"/>
      <c r="D734" s="284"/>
      <c r="E734" s="284"/>
      <c r="F734" s="11"/>
      <c r="G734" s="11"/>
      <c r="H734" s="60" t="s">
        <v>257</v>
      </c>
      <c r="I734" s="44"/>
      <c r="J734" s="45"/>
      <c r="K734" s="47"/>
      <c r="L734" s="48"/>
      <c r="M734" s="46"/>
      <c r="N734" s="46"/>
      <c r="O734" s="407"/>
      <c r="P734" s="49">
        <f t="shared" si="22"/>
        <v>0</v>
      </c>
      <c r="Q734" s="49">
        <f t="shared" si="23"/>
        <v>0</v>
      </c>
    </row>
    <row r="735" spans="1:17" ht="13" x14ac:dyDescent="0.35">
      <c r="A735" s="11" t="s">
        <v>633</v>
      </c>
      <c r="B735" s="163" t="s">
        <v>246</v>
      </c>
      <c r="C735" s="284"/>
      <c r="D735" s="284"/>
      <c r="E735" s="284"/>
      <c r="F735" s="11"/>
      <c r="G735" s="11"/>
      <c r="H735" s="57" t="s">
        <v>258</v>
      </c>
      <c r="I735" s="44"/>
      <c r="J735" s="45"/>
      <c r="K735" s="47"/>
      <c r="L735" s="48"/>
      <c r="M735" s="46"/>
      <c r="N735" s="46"/>
      <c r="O735" s="407"/>
      <c r="P735" s="49">
        <f t="shared" si="22"/>
        <v>0</v>
      </c>
      <c r="Q735" s="49">
        <f t="shared" si="23"/>
        <v>0</v>
      </c>
    </row>
    <row r="736" spans="1:17" ht="26" x14ac:dyDescent="0.35">
      <c r="A736" s="11" t="s">
        <v>633</v>
      </c>
      <c r="B736" s="163" t="s">
        <v>246</v>
      </c>
      <c r="C736" s="284"/>
      <c r="D736" s="284"/>
      <c r="E736" s="284"/>
      <c r="F736" s="11"/>
      <c r="G736" s="11"/>
      <c r="H736" s="57" t="s">
        <v>259</v>
      </c>
      <c r="I736" s="44"/>
      <c r="J736" s="63"/>
      <c r="K736" s="47"/>
      <c r="L736" s="48"/>
      <c r="M736" s="64"/>
      <c r="N736" s="64"/>
      <c r="O736" s="407"/>
      <c r="P736" s="49">
        <f t="shared" si="22"/>
        <v>0</v>
      </c>
      <c r="Q736" s="49">
        <f t="shared" si="23"/>
        <v>0</v>
      </c>
    </row>
    <row r="737" spans="1:17" x14ac:dyDescent="0.35">
      <c r="A737" s="11" t="s">
        <v>633</v>
      </c>
      <c r="B737" s="163" t="s">
        <v>246</v>
      </c>
      <c r="C737" s="284"/>
      <c r="D737" s="284"/>
      <c r="E737" s="284"/>
      <c r="F737" s="11" t="s">
        <v>20</v>
      </c>
      <c r="G737" s="11"/>
      <c r="H737" s="60" t="s">
        <v>260</v>
      </c>
      <c r="I737" s="44" t="s">
        <v>186</v>
      </c>
      <c r="J737" s="63">
        <v>106</v>
      </c>
      <c r="K737" s="47">
        <v>75</v>
      </c>
      <c r="L737" s="48">
        <f>J737*K737</f>
        <v>7950</v>
      </c>
      <c r="M737" s="64">
        <v>106</v>
      </c>
      <c r="N737" s="64">
        <v>106</v>
      </c>
      <c r="O737" s="407">
        <v>75</v>
      </c>
      <c r="P737" s="49">
        <f t="shared" si="22"/>
        <v>7950</v>
      </c>
      <c r="Q737" s="49">
        <f t="shared" si="23"/>
        <v>7950</v>
      </c>
    </row>
    <row r="738" spans="1:17" ht="13" x14ac:dyDescent="0.35">
      <c r="A738" s="11" t="s">
        <v>633</v>
      </c>
      <c r="B738" s="163" t="s">
        <v>246</v>
      </c>
      <c r="C738" s="284"/>
      <c r="D738" s="284"/>
      <c r="E738" s="284"/>
      <c r="F738" s="11"/>
      <c r="G738" s="11"/>
      <c r="H738" s="57" t="s">
        <v>261</v>
      </c>
      <c r="I738" s="44"/>
      <c r="J738" s="45"/>
      <c r="K738" s="47"/>
      <c r="L738" s="48"/>
      <c r="M738" s="46"/>
      <c r="N738" s="46"/>
      <c r="O738" s="407"/>
      <c r="P738" s="49">
        <f t="shared" si="22"/>
        <v>0</v>
      </c>
      <c r="Q738" s="49">
        <f t="shared" si="23"/>
        <v>0</v>
      </c>
    </row>
    <row r="739" spans="1:17" ht="13" x14ac:dyDescent="0.35">
      <c r="A739" s="11" t="s">
        <v>633</v>
      </c>
      <c r="B739" s="163" t="s">
        <v>246</v>
      </c>
      <c r="C739" s="284"/>
      <c r="D739" s="284"/>
      <c r="E739" s="284"/>
      <c r="F739" s="11"/>
      <c r="G739" s="11"/>
      <c r="H739" s="57" t="s">
        <v>262</v>
      </c>
      <c r="I739" s="44"/>
      <c r="J739" s="58"/>
      <c r="K739" s="47"/>
      <c r="L739" s="48"/>
      <c r="M739" s="59"/>
      <c r="N739" s="59"/>
      <c r="O739" s="407"/>
      <c r="P739" s="49">
        <f t="shared" si="22"/>
        <v>0</v>
      </c>
      <c r="Q739" s="49">
        <f t="shared" si="23"/>
        <v>0</v>
      </c>
    </row>
    <row r="740" spans="1:17" ht="25" x14ac:dyDescent="0.35">
      <c r="A740" s="11" t="s">
        <v>633</v>
      </c>
      <c r="B740" s="163" t="s">
        <v>246</v>
      </c>
      <c r="C740" s="284"/>
      <c r="D740" s="284"/>
      <c r="E740" s="284"/>
      <c r="F740" s="11" t="s">
        <v>26</v>
      </c>
      <c r="G740" s="11"/>
      <c r="H740" s="60" t="s">
        <v>645</v>
      </c>
      <c r="I740" s="44" t="s">
        <v>175</v>
      </c>
      <c r="J740" s="58">
        <v>2</v>
      </c>
      <c r="K740" s="47">
        <v>2000</v>
      </c>
      <c r="L740" s="48">
        <f>J740*K740</f>
        <v>4000</v>
      </c>
      <c r="M740" s="59">
        <v>2</v>
      </c>
      <c r="N740" s="59">
        <v>2</v>
      </c>
      <c r="O740" s="407">
        <v>2000</v>
      </c>
      <c r="P740" s="49">
        <f t="shared" si="22"/>
        <v>4000</v>
      </c>
      <c r="Q740" s="49">
        <f t="shared" si="23"/>
        <v>4000</v>
      </c>
    </row>
    <row r="741" spans="1:17" ht="25" x14ac:dyDescent="0.35">
      <c r="A741" s="11" t="s">
        <v>633</v>
      </c>
      <c r="B741" s="163" t="s">
        <v>246</v>
      </c>
      <c r="C741" s="284"/>
      <c r="D741" s="284"/>
      <c r="E741" s="284"/>
      <c r="F741" s="11" t="s">
        <v>29</v>
      </c>
      <c r="G741" s="11"/>
      <c r="H741" s="60" t="s">
        <v>264</v>
      </c>
      <c r="I741" s="44" t="s">
        <v>175</v>
      </c>
      <c r="J741" s="58">
        <v>13</v>
      </c>
      <c r="K741" s="47">
        <v>2000</v>
      </c>
      <c r="L741" s="48">
        <f>J741*K741</f>
        <v>26000</v>
      </c>
      <c r="M741" s="59">
        <v>13</v>
      </c>
      <c r="N741" s="59">
        <v>13</v>
      </c>
      <c r="O741" s="407">
        <v>2000</v>
      </c>
      <c r="P741" s="49">
        <f t="shared" si="22"/>
        <v>26000</v>
      </c>
      <c r="Q741" s="49">
        <f t="shared" si="23"/>
        <v>26000</v>
      </c>
    </row>
    <row r="742" spans="1:17" ht="25" x14ac:dyDescent="0.35">
      <c r="A742" s="11" t="s">
        <v>633</v>
      </c>
      <c r="B742" s="163" t="s">
        <v>246</v>
      </c>
      <c r="C742" s="284"/>
      <c r="D742" s="284"/>
      <c r="E742" s="284"/>
      <c r="F742" s="11" t="s">
        <v>32</v>
      </c>
      <c r="G742" s="11"/>
      <c r="H742" s="60" t="s">
        <v>646</v>
      </c>
      <c r="I742" s="44" t="s">
        <v>175</v>
      </c>
      <c r="J742" s="58">
        <v>1</v>
      </c>
      <c r="K742" s="47">
        <v>2000</v>
      </c>
      <c r="L742" s="48">
        <f>J742*K742</f>
        <v>2000</v>
      </c>
      <c r="M742" s="59">
        <v>1</v>
      </c>
      <c r="N742" s="59">
        <v>1</v>
      </c>
      <c r="O742" s="407">
        <v>2000</v>
      </c>
      <c r="P742" s="49">
        <f t="shared" si="22"/>
        <v>2000</v>
      </c>
      <c r="Q742" s="49">
        <f t="shared" si="23"/>
        <v>2000</v>
      </c>
    </row>
    <row r="743" spans="1:17" ht="13" x14ac:dyDescent="0.35">
      <c r="A743" s="11" t="s">
        <v>633</v>
      </c>
      <c r="B743" s="163" t="s">
        <v>246</v>
      </c>
      <c r="C743" s="284"/>
      <c r="D743" s="284"/>
      <c r="E743" s="284"/>
      <c r="F743" s="11"/>
      <c r="G743" s="11"/>
      <c r="H743" s="57" t="s">
        <v>265</v>
      </c>
      <c r="I743" s="44"/>
      <c r="J743" s="58"/>
      <c r="K743" s="47"/>
      <c r="L743" s="48"/>
      <c r="M743" s="59"/>
      <c r="N743" s="59"/>
      <c r="O743" s="407"/>
      <c r="P743" s="49">
        <f t="shared" si="22"/>
        <v>0</v>
      </c>
      <c r="Q743" s="49">
        <f t="shared" si="23"/>
        <v>0</v>
      </c>
    </row>
    <row r="744" spans="1:17" ht="13" x14ac:dyDescent="0.35">
      <c r="A744" s="11" t="s">
        <v>633</v>
      </c>
      <c r="B744" s="163" t="s">
        <v>246</v>
      </c>
      <c r="C744" s="284"/>
      <c r="D744" s="284"/>
      <c r="E744" s="284"/>
      <c r="F744" s="11"/>
      <c r="G744" s="11"/>
      <c r="H744" s="57" t="s">
        <v>266</v>
      </c>
      <c r="I744" s="44"/>
      <c r="J744" s="58"/>
      <c r="K744" s="47"/>
      <c r="L744" s="48"/>
      <c r="M744" s="59"/>
      <c r="N744" s="59"/>
      <c r="O744" s="407"/>
      <c r="P744" s="49">
        <f t="shared" si="22"/>
        <v>0</v>
      </c>
      <c r="Q744" s="49">
        <f t="shared" si="23"/>
        <v>0</v>
      </c>
    </row>
    <row r="745" spans="1:17" ht="75" x14ac:dyDescent="0.35">
      <c r="A745" s="11" t="s">
        <v>633</v>
      </c>
      <c r="B745" s="163" t="s">
        <v>246</v>
      </c>
      <c r="C745" s="284"/>
      <c r="D745" s="284"/>
      <c r="E745" s="284"/>
      <c r="F745" s="11" t="s">
        <v>36</v>
      </c>
      <c r="G745" s="11"/>
      <c r="H745" s="60" t="s">
        <v>267</v>
      </c>
      <c r="I745" s="44" t="s">
        <v>186</v>
      </c>
      <c r="J745" s="58">
        <v>345</v>
      </c>
      <c r="K745" s="47">
        <v>75</v>
      </c>
      <c r="L745" s="48">
        <f>J745*K745</f>
        <v>25875</v>
      </c>
      <c r="M745" s="59">
        <v>345</v>
      </c>
      <c r="N745" s="59">
        <v>345</v>
      </c>
      <c r="O745" s="407">
        <v>75</v>
      </c>
      <c r="P745" s="49">
        <f t="shared" si="22"/>
        <v>25875</v>
      </c>
      <c r="Q745" s="49">
        <f t="shared" si="23"/>
        <v>25875</v>
      </c>
    </row>
    <row r="746" spans="1:17" ht="13" x14ac:dyDescent="0.35">
      <c r="A746" s="11" t="s">
        <v>633</v>
      </c>
      <c r="B746" s="163" t="s">
        <v>246</v>
      </c>
      <c r="C746" s="284"/>
      <c r="D746" s="284"/>
      <c r="E746" s="284"/>
      <c r="F746" s="89"/>
      <c r="G746" s="89"/>
      <c r="H746" s="90" t="s">
        <v>268</v>
      </c>
      <c r="I746" s="91"/>
      <c r="J746" s="92"/>
      <c r="K746" s="94"/>
      <c r="L746" s="95"/>
      <c r="M746" s="93"/>
      <c r="N746" s="93"/>
      <c r="O746" s="411"/>
      <c r="P746" s="96">
        <f t="shared" si="22"/>
        <v>0</v>
      </c>
      <c r="Q746" s="96">
        <f t="shared" si="23"/>
        <v>0</v>
      </c>
    </row>
    <row r="747" spans="1:17" ht="25" x14ac:dyDescent="0.35">
      <c r="A747" s="11" t="s">
        <v>633</v>
      </c>
      <c r="B747" s="163" t="s">
        <v>246</v>
      </c>
      <c r="C747" s="284"/>
      <c r="D747" s="284"/>
      <c r="E747" s="284"/>
      <c r="F747" s="89" t="s">
        <v>39</v>
      </c>
      <c r="G747" s="89"/>
      <c r="H747" s="98" t="s">
        <v>647</v>
      </c>
      <c r="I747" s="91" t="s">
        <v>468</v>
      </c>
      <c r="J747" s="92">
        <v>1</v>
      </c>
      <c r="K747" s="94">
        <v>45000</v>
      </c>
      <c r="L747" s="95">
        <f>J747*K747</f>
        <v>45000</v>
      </c>
      <c r="M747" s="93">
        <v>1</v>
      </c>
      <c r="N747" s="93">
        <v>1</v>
      </c>
      <c r="O747" s="411">
        <v>45000</v>
      </c>
      <c r="P747" s="96">
        <f t="shared" si="22"/>
        <v>45000</v>
      </c>
      <c r="Q747" s="96">
        <f t="shared" si="23"/>
        <v>45000</v>
      </c>
    </row>
    <row r="748" spans="1:17" ht="13" x14ac:dyDescent="0.35">
      <c r="A748" s="11" t="s">
        <v>633</v>
      </c>
      <c r="B748" s="163" t="s">
        <v>277</v>
      </c>
      <c r="C748" s="284"/>
      <c r="D748" s="284"/>
      <c r="E748" s="284"/>
      <c r="F748" s="11"/>
      <c r="G748" s="11"/>
      <c r="H748" s="43" t="s">
        <v>634</v>
      </c>
      <c r="I748" s="44"/>
      <c r="J748" s="45"/>
      <c r="K748" s="47"/>
      <c r="L748" s="48"/>
      <c r="M748" s="46"/>
      <c r="N748" s="46"/>
      <c r="O748" s="407"/>
      <c r="P748" s="49">
        <f t="shared" si="22"/>
        <v>0</v>
      </c>
      <c r="Q748" s="49">
        <f t="shared" si="23"/>
        <v>0</v>
      </c>
    </row>
    <row r="749" spans="1:17" ht="13" x14ac:dyDescent="0.35">
      <c r="A749" s="11" t="s">
        <v>633</v>
      </c>
      <c r="B749" s="163" t="s">
        <v>277</v>
      </c>
      <c r="C749" s="284"/>
      <c r="D749" s="284"/>
      <c r="E749" s="284"/>
      <c r="F749" s="11"/>
      <c r="G749" s="11"/>
      <c r="H749" s="43" t="s">
        <v>635</v>
      </c>
      <c r="I749" s="44"/>
      <c r="J749" s="45"/>
      <c r="K749" s="47"/>
      <c r="L749" s="48"/>
      <c r="M749" s="46"/>
      <c r="N749" s="46"/>
      <c r="O749" s="407"/>
      <c r="P749" s="49">
        <f t="shared" si="22"/>
        <v>0</v>
      </c>
      <c r="Q749" s="49">
        <f t="shared" si="23"/>
        <v>0</v>
      </c>
    </row>
    <row r="750" spans="1:17" ht="13" x14ac:dyDescent="0.35">
      <c r="A750" s="11" t="s">
        <v>633</v>
      </c>
      <c r="B750" s="163" t="s">
        <v>277</v>
      </c>
      <c r="C750" s="284"/>
      <c r="D750" s="284"/>
      <c r="E750" s="284"/>
      <c r="F750" s="11"/>
      <c r="G750" s="11"/>
      <c r="H750" s="43" t="s">
        <v>278</v>
      </c>
      <c r="I750" s="44"/>
      <c r="J750" s="45"/>
      <c r="K750" s="47"/>
      <c r="L750" s="48"/>
      <c r="M750" s="46"/>
      <c r="N750" s="46"/>
      <c r="O750" s="407"/>
      <c r="P750" s="49">
        <f t="shared" si="22"/>
        <v>0</v>
      </c>
      <c r="Q750" s="49">
        <f t="shared" si="23"/>
        <v>0</v>
      </c>
    </row>
    <row r="751" spans="1:17" ht="13" x14ac:dyDescent="0.35">
      <c r="A751" s="11" t="s">
        <v>633</v>
      </c>
      <c r="B751" s="163" t="s">
        <v>277</v>
      </c>
      <c r="C751" s="284"/>
      <c r="D751" s="284"/>
      <c r="E751" s="284"/>
      <c r="F751" s="11"/>
      <c r="G751" s="11"/>
      <c r="H751" s="43" t="s">
        <v>279</v>
      </c>
      <c r="I751" s="44"/>
      <c r="J751" s="45"/>
      <c r="K751" s="47"/>
      <c r="L751" s="48"/>
      <c r="M751" s="46"/>
      <c r="N751" s="46"/>
      <c r="O751" s="407"/>
      <c r="P751" s="49">
        <f t="shared" si="22"/>
        <v>0</v>
      </c>
      <c r="Q751" s="49">
        <f t="shared" si="23"/>
        <v>0</v>
      </c>
    </row>
    <row r="752" spans="1:17" ht="13" x14ac:dyDescent="0.35">
      <c r="A752" s="11" t="s">
        <v>633</v>
      </c>
      <c r="B752" s="163" t="s">
        <v>277</v>
      </c>
      <c r="C752" s="284"/>
      <c r="D752" s="284"/>
      <c r="E752" s="284"/>
      <c r="F752" s="11"/>
      <c r="G752" s="11"/>
      <c r="H752" s="57" t="s">
        <v>100</v>
      </c>
      <c r="I752" s="44"/>
      <c r="J752" s="45"/>
      <c r="K752" s="47"/>
      <c r="L752" s="48"/>
      <c r="M752" s="46"/>
      <c r="N752" s="46"/>
      <c r="O752" s="407"/>
      <c r="P752" s="49">
        <f t="shared" si="22"/>
        <v>0</v>
      </c>
      <c r="Q752" s="49">
        <f t="shared" si="23"/>
        <v>0</v>
      </c>
    </row>
    <row r="753" spans="1:17" x14ac:dyDescent="0.35">
      <c r="A753" s="11" t="s">
        <v>633</v>
      </c>
      <c r="B753" s="163" t="s">
        <v>277</v>
      </c>
      <c r="C753" s="284"/>
      <c r="D753" s="284"/>
      <c r="E753" s="284"/>
      <c r="F753" s="11"/>
      <c r="G753" s="11"/>
      <c r="H753" s="60" t="s">
        <v>101</v>
      </c>
      <c r="I753" s="44"/>
      <c r="J753" s="45"/>
      <c r="K753" s="47"/>
      <c r="L753" s="48"/>
      <c r="M753" s="46"/>
      <c r="N753" s="46"/>
      <c r="O753" s="407"/>
      <c r="P753" s="49">
        <f t="shared" si="22"/>
        <v>0</v>
      </c>
      <c r="Q753" s="49">
        <f t="shared" si="23"/>
        <v>0</v>
      </c>
    </row>
    <row r="754" spans="1:17" ht="13" x14ac:dyDescent="0.35">
      <c r="A754" s="11" t="s">
        <v>633</v>
      </c>
      <c r="B754" s="163" t="s">
        <v>277</v>
      </c>
      <c r="C754" s="284"/>
      <c r="D754" s="284"/>
      <c r="E754" s="284"/>
      <c r="F754" s="11"/>
      <c r="G754" s="11"/>
      <c r="H754" s="57" t="s">
        <v>102</v>
      </c>
      <c r="I754" s="44"/>
      <c r="J754" s="45"/>
      <c r="K754" s="47"/>
      <c r="L754" s="48"/>
      <c r="M754" s="46"/>
      <c r="N754" s="46"/>
      <c r="O754" s="407"/>
      <c r="P754" s="49">
        <f t="shared" si="22"/>
        <v>0</v>
      </c>
      <c r="Q754" s="49">
        <f t="shared" si="23"/>
        <v>0</v>
      </c>
    </row>
    <row r="755" spans="1:17" x14ac:dyDescent="0.35">
      <c r="A755" s="11" t="s">
        <v>633</v>
      </c>
      <c r="B755" s="163" t="s">
        <v>277</v>
      </c>
      <c r="C755" s="284"/>
      <c r="D755" s="284"/>
      <c r="E755" s="284"/>
      <c r="F755" s="11"/>
      <c r="G755" s="11"/>
      <c r="H755" s="62" t="s">
        <v>280</v>
      </c>
      <c r="I755" s="44"/>
      <c r="J755" s="45"/>
      <c r="K755" s="47"/>
      <c r="L755" s="48"/>
      <c r="M755" s="46"/>
      <c r="N755" s="46"/>
      <c r="O755" s="407"/>
      <c r="P755" s="49">
        <f t="shared" si="22"/>
        <v>0</v>
      </c>
      <c r="Q755" s="49">
        <f t="shared" si="23"/>
        <v>0</v>
      </c>
    </row>
    <row r="756" spans="1:17" ht="25" x14ac:dyDescent="0.35">
      <c r="A756" s="11" t="s">
        <v>633</v>
      </c>
      <c r="B756" s="163" t="s">
        <v>277</v>
      </c>
      <c r="C756" s="284"/>
      <c r="D756" s="284"/>
      <c r="E756" s="284"/>
      <c r="F756" s="11"/>
      <c r="G756" s="11"/>
      <c r="H756" s="60" t="s">
        <v>281</v>
      </c>
      <c r="I756" s="44"/>
      <c r="J756" s="45"/>
      <c r="K756" s="47"/>
      <c r="L756" s="48"/>
      <c r="M756" s="46"/>
      <c r="N756" s="46"/>
      <c r="O756" s="407"/>
      <c r="P756" s="49">
        <f t="shared" si="22"/>
        <v>0</v>
      </c>
      <c r="Q756" s="49">
        <f t="shared" si="23"/>
        <v>0</v>
      </c>
    </row>
    <row r="757" spans="1:17" ht="37.5" x14ac:dyDescent="0.35">
      <c r="A757" s="11" t="s">
        <v>633</v>
      </c>
      <c r="B757" s="163" t="s">
        <v>277</v>
      </c>
      <c r="C757" s="284"/>
      <c r="D757" s="284"/>
      <c r="E757" s="284"/>
      <c r="F757" s="11"/>
      <c r="G757" s="11"/>
      <c r="H757" s="60" t="s">
        <v>282</v>
      </c>
      <c r="I757" s="44"/>
      <c r="J757" s="45"/>
      <c r="K757" s="47"/>
      <c r="L757" s="48"/>
      <c r="M757" s="46"/>
      <c r="N757" s="46"/>
      <c r="O757" s="407"/>
      <c r="P757" s="49">
        <f t="shared" si="22"/>
        <v>0</v>
      </c>
      <c r="Q757" s="49">
        <f t="shared" si="23"/>
        <v>0</v>
      </c>
    </row>
    <row r="758" spans="1:17" x14ac:dyDescent="0.35">
      <c r="A758" s="11" t="s">
        <v>633</v>
      </c>
      <c r="B758" s="163" t="s">
        <v>277</v>
      </c>
      <c r="C758" s="284"/>
      <c r="D758" s="284"/>
      <c r="E758" s="284"/>
      <c r="F758" s="11"/>
      <c r="G758" s="11"/>
      <c r="H758" s="62" t="s">
        <v>283</v>
      </c>
      <c r="I758" s="44"/>
      <c r="J758" s="45"/>
      <c r="K758" s="47"/>
      <c r="L758" s="48"/>
      <c r="M758" s="46"/>
      <c r="N758" s="46"/>
      <c r="O758" s="407"/>
      <c r="P758" s="49">
        <f t="shared" si="22"/>
        <v>0</v>
      </c>
      <c r="Q758" s="49">
        <f t="shared" si="23"/>
        <v>0</v>
      </c>
    </row>
    <row r="759" spans="1:17" x14ac:dyDescent="0.35">
      <c r="A759" s="11" t="s">
        <v>633</v>
      </c>
      <c r="B759" s="163" t="s">
        <v>277</v>
      </c>
      <c r="C759" s="284"/>
      <c r="D759" s="284"/>
      <c r="E759" s="284"/>
      <c r="F759" s="11"/>
      <c r="G759" s="11"/>
      <c r="H759" s="60" t="s">
        <v>284</v>
      </c>
      <c r="I759" s="44"/>
      <c r="J759" s="45"/>
      <c r="K759" s="47"/>
      <c r="L759" s="48"/>
      <c r="M759" s="46"/>
      <c r="N759" s="46"/>
      <c r="O759" s="407"/>
      <c r="P759" s="49">
        <f t="shared" si="22"/>
        <v>0</v>
      </c>
      <c r="Q759" s="49">
        <f t="shared" si="23"/>
        <v>0</v>
      </c>
    </row>
    <row r="760" spans="1:17" ht="62.5" x14ac:dyDescent="0.35">
      <c r="A760" s="11" t="s">
        <v>633</v>
      </c>
      <c r="B760" s="163" t="s">
        <v>277</v>
      </c>
      <c r="C760" s="284"/>
      <c r="D760" s="284"/>
      <c r="E760" s="284"/>
      <c r="F760" s="11"/>
      <c r="G760" s="11"/>
      <c r="H760" s="60" t="s">
        <v>285</v>
      </c>
      <c r="I760" s="44"/>
      <c r="J760" s="45"/>
      <c r="K760" s="47"/>
      <c r="L760" s="48"/>
      <c r="M760" s="46"/>
      <c r="N760" s="46"/>
      <c r="O760" s="407"/>
      <c r="P760" s="49">
        <f t="shared" si="22"/>
        <v>0</v>
      </c>
      <c r="Q760" s="49">
        <f t="shared" si="23"/>
        <v>0</v>
      </c>
    </row>
    <row r="761" spans="1:17" x14ac:dyDescent="0.35">
      <c r="A761" s="11" t="s">
        <v>633</v>
      </c>
      <c r="B761" s="163" t="s">
        <v>277</v>
      </c>
      <c r="C761" s="284"/>
      <c r="D761" s="284"/>
      <c r="E761" s="284"/>
      <c r="F761" s="11"/>
      <c r="G761" s="11"/>
      <c r="H761" s="62" t="s">
        <v>286</v>
      </c>
      <c r="I761" s="44"/>
      <c r="J761" s="45"/>
      <c r="K761" s="47"/>
      <c r="L761" s="48"/>
      <c r="M761" s="46"/>
      <c r="N761" s="46"/>
      <c r="O761" s="407"/>
      <c r="P761" s="49">
        <f t="shared" si="22"/>
        <v>0</v>
      </c>
      <c r="Q761" s="49">
        <f t="shared" si="23"/>
        <v>0</v>
      </c>
    </row>
    <row r="762" spans="1:17" ht="25" x14ac:dyDescent="0.35">
      <c r="A762" s="11" t="s">
        <v>633</v>
      </c>
      <c r="B762" s="163" t="s">
        <v>277</v>
      </c>
      <c r="C762" s="284"/>
      <c r="D762" s="284"/>
      <c r="E762" s="284"/>
      <c r="F762" s="11"/>
      <c r="G762" s="11"/>
      <c r="H762" s="60" t="s">
        <v>287</v>
      </c>
      <c r="I762" s="44"/>
      <c r="J762" s="45"/>
      <c r="K762" s="47"/>
      <c r="L762" s="48"/>
      <c r="M762" s="46"/>
      <c r="N762" s="46"/>
      <c r="O762" s="407"/>
      <c r="P762" s="49">
        <f t="shared" si="22"/>
        <v>0</v>
      </c>
      <c r="Q762" s="49">
        <f t="shared" si="23"/>
        <v>0</v>
      </c>
    </row>
    <row r="763" spans="1:17" ht="13" x14ac:dyDescent="0.35">
      <c r="A763" s="11" t="s">
        <v>633</v>
      </c>
      <c r="B763" s="163" t="s">
        <v>277</v>
      </c>
      <c r="C763" s="284"/>
      <c r="D763" s="284"/>
      <c r="E763" s="284"/>
      <c r="F763" s="11"/>
      <c r="G763" s="11"/>
      <c r="H763" s="57" t="s">
        <v>288</v>
      </c>
      <c r="I763" s="44"/>
      <c r="J763" s="45"/>
      <c r="K763" s="47"/>
      <c r="L763" s="48"/>
      <c r="M763" s="46"/>
      <c r="N763" s="46"/>
      <c r="O763" s="407"/>
      <c r="P763" s="49">
        <f t="shared" si="22"/>
        <v>0</v>
      </c>
      <c r="Q763" s="49">
        <f t="shared" si="23"/>
        <v>0</v>
      </c>
    </row>
    <row r="764" spans="1:17" ht="13" x14ac:dyDescent="0.35">
      <c r="A764" s="11" t="s">
        <v>633</v>
      </c>
      <c r="B764" s="163" t="s">
        <v>277</v>
      </c>
      <c r="C764" s="284"/>
      <c r="D764" s="284"/>
      <c r="E764" s="284"/>
      <c r="F764" s="11"/>
      <c r="G764" s="11"/>
      <c r="H764" s="57" t="s">
        <v>289</v>
      </c>
      <c r="I764" s="44"/>
      <c r="J764" s="45"/>
      <c r="K764" s="47"/>
      <c r="L764" s="48"/>
      <c r="M764" s="46"/>
      <c r="N764" s="46"/>
      <c r="O764" s="407"/>
      <c r="P764" s="49">
        <f t="shared" si="22"/>
        <v>0</v>
      </c>
      <c r="Q764" s="49">
        <f t="shared" si="23"/>
        <v>0</v>
      </c>
    </row>
    <row r="765" spans="1:17" ht="14.5" x14ac:dyDescent="0.35">
      <c r="A765" s="11" t="s">
        <v>633</v>
      </c>
      <c r="B765" s="163" t="s">
        <v>277</v>
      </c>
      <c r="C765" s="284"/>
      <c r="D765" s="284"/>
      <c r="E765" s="284"/>
      <c r="F765" s="11" t="s">
        <v>20</v>
      </c>
      <c r="G765" s="11"/>
      <c r="H765" s="60" t="s">
        <v>290</v>
      </c>
      <c r="I765" s="44" t="s">
        <v>110</v>
      </c>
      <c r="J765" s="45">
        <v>295</v>
      </c>
      <c r="K765" s="47">
        <v>185</v>
      </c>
      <c r="L765" s="48">
        <f>J765*K765</f>
        <v>54575</v>
      </c>
      <c r="M765" s="46">
        <v>295</v>
      </c>
      <c r="N765" s="46">
        <v>295</v>
      </c>
      <c r="O765" s="407">
        <v>185</v>
      </c>
      <c r="P765" s="49">
        <f t="shared" si="22"/>
        <v>54575</v>
      </c>
      <c r="Q765" s="49">
        <f t="shared" si="23"/>
        <v>54575</v>
      </c>
    </row>
    <row r="766" spans="1:17" x14ac:dyDescent="0.35">
      <c r="A766" s="11" t="s">
        <v>633</v>
      </c>
      <c r="B766" s="163" t="s">
        <v>277</v>
      </c>
      <c r="C766" s="284"/>
      <c r="D766" s="284"/>
      <c r="E766" s="284"/>
      <c r="F766" s="11" t="s">
        <v>26</v>
      </c>
      <c r="G766" s="11"/>
      <c r="H766" s="60" t="s">
        <v>291</v>
      </c>
      <c r="I766" s="44" t="s">
        <v>175</v>
      </c>
      <c r="J766" s="45">
        <v>4</v>
      </c>
      <c r="K766" s="47">
        <v>500</v>
      </c>
      <c r="L766" s="48">
        <f>J766*K766</f>
        <v>2000</v>
      </c>
      <c r="M766" s="46">
        <v>4</v>
      </c>
      <c r="N766" s="46">
        <v>4</v>
      </c>
      <c r="O766" s="407">
        <v>500</v>
      </c>
      <c r="P766" s="49">
        <f t="shared" si="22"/>
        <v>2000</v>
      </c>
      <c r="Q766" s="49">
        <f t="shared" si="23"/>
        <v>2000</v>
      </c>
    </row>
    <row r="767" spans="1:17" ht="13" x14ac:dyDescent="0.35">
      <c r="A767" s="11" t="s">
        <v>633</v>
      </c>
      <c r="B767" s="163" t="s">
        <v>277</v>
      </c>
      <c r="C767" s="284"/>
      <c r="D767" s="284"/>
      <c r="E767" s="284"/>
      <c r="F767" s="89"/>
      <c r="G767" s="89"/>
      <c r="H767" s="90" t="s">
        <v>292</v>
      </c>
      <c r="I767" s="91"/>
      <c r="J767" s="92"/>
      <c r="K767" s="94"/>
      <c r="L767" s="95"/>
      <c r="M767" s="93"/>
      <c r="N767" s="93"/>
      <c r="O767" s="411"/>
      <c r="P767" s="96">
        <f t="shared" si="22"/>
        <v>0</v>
      </c>
      <c r="Q767" s="96">
        <f t="shared" si="23"/>
        <v>0</v>
      </c>
    </row>
    <row r="768" spans="1:17" x14ac:dyDescent="0.35">
      <c r="A768" s="11" t="s">
        <v>633</v>
      </c>
      <c r="B768" s="163" t="s">
        <v>277</v>
      </c>
      <c r="C768" s="284"/>
      <c r="D768" s="284"/>
      <c r="E768" s="284"/>
      <c r="F768" s="89" t="s">
        <v>29</v>
      </c>
      <c r="G768" s="89"/>
      <c r="H768" s="108" t="s">
        <v>293</v>
      </c>
      <c r="I768" s="91" t="s">
        <v>186</v>
      </c>
      <c r="J768" s="92">
        <v>345</v>
      </c>
      <c r="K768" s="94">
        <v>75</v>
      </c>
      <c r="L768" s="95">
        <f>J768*K768</f>
        <v>25875</v>
      </c>
      <c r="M768" s="93">
        <v>345</v>
      </c>
      <c r="N768" s="93">
        <v>345</v>
      </c>
      <c r="O768" s="411">
        <v>75</v>
      </c>
      <c r="P768" s="96">
        <f t="shared" si="22"/>
        <v>25875</v>
      </c>
      <c r="Q768" s="96">
        <f t="shared" si="23"/>
        <v>25875</v>
      </c>
    </row>
    <row r="769" spans="1:17" ht="13" x14ac:dyDescent="0.35">
      <c r="A769" s="11" t="s">
        <v>633</v>
      </c>
      <c r="B769" s="163" t="s">
        <v>277</v>
      </c>
      <c r="C769" s="284"/>
      <c r="D769" s="284"/>
      <c r="E769" s="284"/>
      <c r="F769" s="11"/>
      <c r="G769" s="11"/>
      <c r="H769" s="57" t="s">
        <v>294</v>
      </c>
      <c r="I769" s="44"/>
      <c r="J769" s="45"/>
      <c r="K769" s="47"/>
      <c r="L769" s="48"/>
      <c r="M769" s="46"/>
      <c r="N769" s="46"/>
      <c r="O769" s="407"/>
      <c r="P769" s="49">
        <f t="shared" si="22"/>
        <v>0</v>
      </c>
      <c r="Q769" s="49">
        <f t="shared" si="23"/>
        <v>0</v>
      </c>
    </row>
    <row r="770" spans="1:17" ht="26" x14ac:dyDescent="0.35">
      <c r="A770" s="11" t="s">
        <v>633</v>
      </c>
      <c r="B770" s="163" t="s">
        <v>277</v>
      </c>
      <c r="C770" s="284"/>
      <c r="D770" s="284"/>
      <c r="E770" s="284"/>
      <c r="F770" s="11"/>
      <c r="G770" s="11"/>
      <c r="H770" s="57" t="s">
        <v>295</v>
      </c>
      <c r="I770" s="44"/>
      <c r="J770" s="45"/>
      <c r="K770" s="47"/>
      <c r="L770" s="48"/>
      <c r="M770" s="46"/>
      <c r="N770" s="46"/>
      <c r="O770" s="407"/>
      <c r="P770" s="49">
        <f t="shared" si="22"/>
        <v>0</v>
      </c>
      <c r="Q770" s="49">
        <f t="shared" si="23"/>
        <v>0</v>
      </c>
    </row>
    <row r="771" spans="1:17" ht="14.5" x14ac:dyDescent="0.35">
      <c r="A771" s="11" t="s">
        <v>633</v>
      </c>
      <c r="B771" s="163" t="s">
        <v>277</v>
      </c>
      <c r="C771" s="284"/>
      <c r="D771" s="284"/>
      <c r="E771" s="284"/>
      <c r="F771" s="11" t="s">
        <v>32</v>
      </c>
      <c r="G771" s="11"/>
      <c r="H771" s="60" t="s">
        <v>648</v>
      </c>
      <c r="I771" s="44" t="s">
        <v>110</v>
      </c>
      <c r="J771" s="45">
        <f>J765</f>
        <v>295</v>
      </c>
      <c r="K771" s="47">
        <v>150</v>
      </c>
      <c r="L771" s="48">
        <f>J771*K771</f>
        <v>44250</v>
      </c>
      <c r="M771" s="46">
        <f>M765</f>
        <v>295</v>
      </c>
      <c r="N771" s="46">
        <f>N765</f>
        <v>295</v>
      </c>
      <c r="O771" s="407">
        <v>150</v>
      </c>
      <c r="P771" s="49">
        <f t="shared" si="22"/>
        <v>44250</v>
      </c>
      <c r="Q771" s="49">
        <f t="shared" si="23"/>
        <v>44250</v>
      </c>
    </row>
    <row r="772" spans="1:17" ht="13" x14ac:dyDescent="0.35">
      <c r="A772" s="11" t="s">
        <v>633</v>
      </c>
      <c r="B772" s="163" t="s">
        <v>297</v>
      </c>
      <c r="C772" s="284"/>
      <c r="D772" s="284"/>
      <c r="E772" s="284"/>
      <c r="F772" s="11"/>
      <c r="G772" s="11"/>
      <c r="H772" s="43" t="s">
        <v>634</v>
      </c>
      <c r="I772" s="44"/>
      <c r="J772" s="45"/>
      <c r="K772" s="47"/>
      <c r="L772" s="48"/>
      <c r="M772" s="46"/>
      <c r="N772" s="46"/>
      <c r="O772" s="407"/>
      <c r="P772" s="49">
        <f t="shared" si="22"/>
        <v>0</v>
      </c>
      <c r="Q772" s="49">
        <f t="shared" si="23"/>
        <v>0</v>
      </c>
    </row>
    <row r="773" spans="1:17" ht="13" x14ac:dyDescent="0.35">
      <c r="A773" s="11" t="s">
        <v>633</v>
      </c>
      <c r="B773" s="163" t="s">
        <v>297</v>
      </c>
      <c r="C773" s="284"/>
      <c r="D773" s="284"/>
      <c r="E773" s="284"/>
      <c r="F773" s="11"/>
      <c r="G773" s="11"/>
      <c r="H773" s="43" t="s">
        <v>635</v>
      </c>
      <c r="I773" s="44"/>
      <c r="J773" s="45"/>
      <c r="K773" s="47"/>
      <c r="L773" s="48"/>
      <c r="M773" s="46"/>
      <c r="N773" s="46"/>
      <c r="O773" s="407"/>
      <c r="P773" s="49">
        <f t="shared" si="22"/>
        <v>0</v>
      </c>
      <c r="Q773" s="49">
        <f t="shared" si="23"/>
        <v>0</v>
      </c>
    </row>
    <row r="774" spans="1:17" ht="13" x14ac:dyDescent="0.35">
      <c r="A774" s="11" t="s">
        <v>633</v>
      </c>
      <c r="B774" s="163" t="s">
        <v>297</v>
      </c>
      <c r="C774" s="284"/>
      <c r="D774" s="284"/>
      <c r="E774" s="284"/>
      <c r="F774" s="11"/>
      <c r="G774" s="11"/>
      <c r="H774" s="43" t="s">
        <v>298</v>
      </c>
      <c r="I774" s="44"/>
      <c r="J774" s="45"/>
      <c r="K774" s="47"/>
      <c r="L774" s="48"/>
      <c r="M774" s="46"/>
      <c r="N774" s="46"/>
      <c r="O774" s="407"/>
      <c r="P774" s="49">
        <f t="shared" si="22"/>
        <v>0</v>
      </c>
      <c r="Q774" s="49">
        <f t="shared" si="23"/>
        <v>0</v>
      </c>
    </row>
    <row r="775" spans="1:17" ht="13" x14ac:dyDescent="0.35">
      <c r="A775" s="11" t="s">
        <v>633</v>
      </c>
      <c r="B775" s="163" t="s">
        <v>297</v>
      </c>
      <c r="C775" s="284"/>
      <c r="D775" s="284"/>
      <c r="E775" s="284"/>
      <c r="F775" s="11"/>
      <c r="G775" s="11"/>
      <c r="H775" s="43" t="s">
        <v>299</v>
      </c>
      <c r="I775" s="44"/>
      <c r="J775" s="45"/>
      <c r="K775" s="47"/>
      <c r="L775" s="48"/>
      <c r="M775" s="46"/>
      <c r="N775" s="46"/>
      <c r="O775" s="407"/>
      <c r="P775" s="49">
        <f t="shared" si="22"/>
        <v>0</v>
      </c>
      <c r="Q775" s="49">
        <f t="shared" si="23"/>
        <v>0</v>
      </c>
    </row>
    <row r="776" spans="1:17" ht="13" x14ac:dyDescent="0.35">
      <c r="A776" s="11" t="s">
        <v>633</v>
      </c>
      <c r="B776" s="163" t="s">
        <v>297</v>
      </c>
      <c r="C776" s="284"/>
      <c r="D776" s="284"/>
      <c r="E776" s="284"/>
      <c r="F776" s="11"/>
      <c r="G776" s="11"/>
      <c r="H776" s="57" t="s">
        <v>100</v>
      </c>
      <c r="I776" s="44"/>
      <c r="J776" s="45"/>
      <c r="K776" s="47"/>
      <c r="L776" s="48"/>
      <c r="M776" s="46"/>
      <c r="N776" s="46"/>
      <c r="O776" s="407"/>
      <c r="P776" s="49">
        <f t="shared" si="22"/>
        <v>0</v>
      </c>
      <c r="Q776" s="49">
        <f t="shared" si="23"/>
        <v>0</v>
      </c>
    </row>
    <row r="777" spans="1:17" x14ac:dyDescent="0.35">
      <c r="A777" s="11" t="s">
        <v>633</v>
      </c>
      <c r="B777" s="163" t="s">
        <v>297</v>
      </c>
      <c r="C777" s="284"/>
      <c r="D777" s="284"/>
      <c r="E777" s="284"/>
      <c r="F777" s="11"/>
      <c r="G777" s="11"/>
      <c r="H777" s="60" t="s">
        <v>101</v>
      </c>
      <c r="I777" s="44"/>
      <c r="J777" s="45"/>
      <c r="K777" s="47"/>
      <c r="L777" s="48"/>
      <c r="M777" s="46"/>
      <c r="N777" s="46"/>
      <c r="O777" s="407"/>
      <c r="P777" s="49">
        <f t="shared" si="22"/>
        <v>0</v>
      </c>
      <c r="Q777" s="49">
        <f t="shared" si="23"/>
        <v>0</v>
      </c>
    </row>
    <row r="778" spans="1:17" ht="13" x14ac:dyDescent="0.35">
      <c r="A778" s="11" t="s">
        <v>633</v>
      </c>
      <c r="B778" s="163" t="s">
        <v>297</v>
      </c>
      <c r="C778" s="284"/>
      <c r="D778" s="284"/>
      <c r="E778" s="284"/>
      <c r="F778" s="11"/>
      <c r="G778" s="11"/>
      <c r="H778" s="57" t="s">
        <v>102</v>
      </c>
      <c r="I778" s="44"/>
      <c r="J778" s="45"/>
      <c r="K778" s="47"/>
      <c r="L778" s="48"/>
      <c r="M778" s="46"/>
      <c r="N778" s="46"/>
      <c r="O778" s="407"/>
      <c r="P778" s="49">
        <f t="shared" ref="P778:P841" si="24">O778*M778</f>
        <v>0</v>
      </c>
      <c r="Q778" s="49">
        <f t="shared" ref="Q778:Q841" si="25">O778*N778</f>
        <v>0</v>
      </c>
    </row>
    <row r="779" spans="1:17" ht="50" x14ac:dyDescent="0.35">
      <c r="A779" s="11" t="s">
        <v>633</v>
      </c>
      <c r="B779" s="163" t="s">
        <v>297</v>
      </c>
      <c r="C779" s="284"/>
      <c r="D779" s="284"/>
      <c r="E779" s="284"/>
      <c r="F779" s="11"/>
      <c r="G779" s="11"/>
      <c r="H779" s="60" t="s">
        <v>300</v>
      </c>
      <c r="I779" s="44"/>
      <c r="J779" s="45"/>
      <c r="K779" s="47"/>
      <c r="L779" s="48"/>
      <c r="M779" s="46"/>
      <c r="N779" s="46"/>
      <c r="O779" s="407"/>
      <c r="P779" s="49">
        <f t="shared" si="24"/>
        <v>0</v>
      </c>
      <c r="Q779" s="49">
        <f t="shared" si="25"/>
        <v>0</v>
      </c>
    </row>
    <row r="780" spans="1:17" ht="13" x14ac:dyDescent="0.35">
      <c r="A780" s="11" t="s">
        <v>633</v>
      </c>
      <c r="B780" s="163" t="s">
        <v>297</v>
      </c>
      <c r="C780" s="284"/>
      <c r="D780" s="284"/>
      <c r="E780" s="284"/>
      <c r="F780" s="11"/>
      <c r="G780" s="11"/>
      <c r="H780" s="57" t="s">
        <v>301</v>
      </c>
      <c r="I780" s="44"/>
      <c r="J780" s="45"/>
      <c r="K780" s="47"/>
      <c r="L780" s="48"/>
      <c r="M780" s="46"/>
      <c r="N780" s="46"/>
      <c r="O780" s="407"/>
      <c r="P780" s="49">
        <f t="shared" si="24"/>
        <v>0</v>
      </c>
      <c r="Q780" s="49">
        <f t="shared" si="25"/>
        <v>0</v>
      </c>
    </row>
    <row r="781" spans="1:17" ht="26" x14ac:dyDescent="0.35">
      <c r="A781" s="11" t="s">
        <v>633</v>
      </c>
      <c r="B781" s="163" t="s">
        <v>297</v>
      </c>
      <c r="C781" s="284"/>
      <c r="D781" s="284"/>
      <c r="E781" s="284"/>
      <c r="F781" s="11"/>
      <c r="G781" s="11"/>
      <c r="H781" s="109" t="s">
        <v>302</v>
      </c>
      <c r="I781" s="44"/>
      <c r="J781" s="45"/>
      <c r="K781" s="47"/>
      <c r="L781" s="48"/>
      <c r="M781" s="46"/>
      <c r="N781" s="46"/>
      <c r="O781" s="407"/>
      <c r="P781" s="49">
        <f t="shared" si="24"/>
        <v>0</v>
      </c>
      <c r="Q781" s="49">
        <f t="shared" si="25"/>
        <v>0</v>
      </c>
    </row>
    <row r="782" spans="1:17" ht="14.5" x14ac:dyDescent="0.35">
      <c r="A782" s="11" t="s">
        <v>633</v>
      </c>
      <c r="B782" s="163" t="s">
        <v>297</v>
      </c>
      <c r="C782" s="284"/>
      <c r="D782" s="284"/>
      <c r="E782" s="284"/>
      <c r="F782" s="11" t="s">
        <v>20</v>
      </c>
      <c r="G782" s="11"/>
      <c r="H782" s="67" t="s">
        <v>303</v>
      </c>
      <c r="I782" s="110" t="s">
        <v>110</v>
      </c>
      <c r="J782" s="45">
        <v>290</v>
      </c>
      <c r="K782" s="47">
        <v>400</v>
      </c>
      <c r="L782" s="48">
        <f>J782*K782</f>
        <v>116000</v>
      </c>
      <c r="M782" s="46">
        <v>290</v>
      </c>
      <c r="N782" s="46">
        <v>290</v>
      </c>
      <c r="O782" s="407">
        <v>400</v>
      </c>
      <c r="P782" s="49">
        <f t="shared" si="24"/>
        <v>116000</v>
      </c>
      <c r="Q782" s="49">
        <f t="shared" si="25"/>
        <v>116000</v>
      </c>
    </row>
    <row r="783" spans="1:17" ht="13" x14ac:dyDescent="0.35">
      <c r="A783" s="11" t="s">
        <v>633</v>
      </c>
      <c r="B783" s="163" t="s">
        <v>297</v>
      </c>
      <c r="C783" s="284"/>
      <c r="D783" s="284"/>
      <c r="E783" s="284"/>
      <c r="F783" s="11"/>
      <c r="G783" s="11"/>
      <c r="H783" s="57" t="s">
        <v>304</v>
      </c>
      <c r="I783" s="110"/>
      <c r="J783" s="45"/>
      <c r="K783" s="47"/>
      <c r="L783" s="48"/>
      <c r="M783" s="46"/>
      <c r="N783" s="46"/>
      <c r="O783" s="407"/>
      <c r="P783" s="49">
        <f t="shared" si="24"/>
        <v>0</v>
      </c>
      <c r="Q783" s="49">
        <f t="shared" si="25"/>
        <v>0</v>
      </c>
    </row>
    <row r="784" spans="1:17" ht="14.5" x14ac:dyDescent="0.25">
      <c r="A784" s="11" t="s">
        <v>633</v>
      </c>
      <c r="B784" s="163" t="s">
        <v>297</v>
      </c>
      <c r="C784" s="284"/>
      <c r="D784" s="284"/>
      <c r="E784" s="284"/>
      <c r="F784" s="11" t="s">
        <v>26</v>
      </c>
      <c r="G784" s="11"/>
      <c r="H784" s="111" t="s">
        <v>305</v>
      </c>
      <c r="I784" s="110" t="s">
        <v>110</v>
      </c>
      <c r="J784" s="45">
        <f>J782</f>
        <v>290</v>
      </c>
      <c r="K784" s="47">
        <v>30</v>
      </c>
      <c r="L784" s="48">
        <f>J784*K784</f>
        <v>8700</v>
      </c>
      <c r="M784" s="46">
        <f>M782</f>
        <v>290</v>
      </c>
      <c r="N784" s="46">
        <f>N782</f>
        <v>290</v>
      </c>
      <c r="O784" s="407">
        <v>30</v>
      </c>
      <c r="P784" s="49">
        <f t="shared" si="24"/>
        <v>8700</v>
      </c>
      <c r="Q784" s="49">
        <f t="shared" si="25"/>
        <v>8700</v>
      </c>
    </row>
    <row r="785" spans="1:17" ht="13" x14ac:dyDescent="0.35">
      <c r="A785" s="11" t="s">
        <v>633</v>
      </c>
      <c r="B785" s="163" t="s">
        <v>306</v>
      </c>
      <c r="C785" s="284"/>
      <c r="D785" s="284"/>
      <c r="E785" s="284"/>
      <c r="F785" s="11"/>
      <c r="G785" s="11"/>
      <c r="H785" s="43" t="s">
        <v>634</v>
      </c>
      <c r="I785" s="44"/>
      <c r="J785" s="45"/>
      <c r="K785" s="47"/>
      <c r="L785" s="48"/>
      <c r="M785" s="46"/>
      <c r="N785" s="46"/>
      <c r="O785" s="407"/>
      <c r="P785" s="49">
        <f t="shared" si="24"/>
        <v>0</v>
      </c>
      <c r="Q785" s="49">
        <f t="shared" si="25"/>
        <v>0</v>
      </c>
    </row>
    <row r="786" spans="1:17" ht="13" x14ac:dyDescent="0.35">
      <c r="A786" s="11" t="s">
        <v>633</v>
      </c>
      <c r="B786" s="163" t="s">
        <v>306</v>
      </c>
      <c r="C786" s="284"/>
      <c r="D786" s="284"/>
      <c r="E786" s="284"/>
      <c r="F786" s="11"/>
      <c r="G786" s="11"/>
      <c r="H786" s="43" t="s">
        <v>635</v>
      </c>
      <c r="I786" s="44"/>
      <c r="J786" s="45"/>
      <c r="K786" s="47"/>
      <c r="L786" s="48"/>
      <c r="M786" s="46"/>
      <c r="N786" s="46"/>
      <c r="O786" s="407"/>
      <c r="P786" s="49">
        <f t="shared" si="24"/>
        <v>0</v>
      </c>
      <c r="Q786" s="49">
        <f t="shared" si="25"/>
        <v>0</v>
      </c>
    </row>
    <row r="787" spans="1:17" ht="13" x14ac:dyDescent="0.35">
      <c r="A787" s="11" t="s">
        <v>633</v>
      </c>
      <c r="B787" s="163" t="s">
        <v>306</v>
      </c>
      <c r="C787" s="284"/>
      <c r="D787" s="284"/>
      <c r="E787" s="284"/>
      <c r="F787" s="11"/>
      <c r="G787" s="11"/>
      <c r="H787" s="43" t="s">
        <v>307</v>
      </c>
      <c r="I787" s="44"/>
      <c r="J787" s="45"/>
      <c r="K787" s="47"/>
      <c r="L787" s="48"/>
      <c r="M787" s="46"/>
      <c r="N787" s="46"/>
      <c r="O787" s="407"/>
      <c r="P787" s="49">
        <f t="shared" si="24"/>
        <v>0</v>
      </c>
      <c r="Q787" s="49">
        <f t="shared" si="25"/>
        <v>0</v>
      </c>
    </row>
    <row r="788" spans="1:17" ht="13" x14ac:dyDescent="0.35">
      <c r="A788" s="11" t="s">
        <v>633</v>
      </c>
      <c r="B788" s="163" t="s">
        <v>306</v>
      </c>
      <c r="C788" s="284"/>
      <c r="D788" s="284"/>
      <c r="E788" s="284"/>
      <c r="F788" s="89"/>
      <c r="G788" s="89"/>
      <c r="H788" s="100" t="s">
        <v>308</v>
      </c>
      <c r="I788" s="91"/>
      <c r="J788" s="92"/>
      <c r="K788" s="94"/>
      <c r="L788" s="95"/>
      <c r="M788" s="93"/>
      <c r="N788" s="93"/>
      <c r="O788" s="411"/>
      <c r="P788" s="96">
        <f t="shared" si="24"/>
        <v>0</v>
      </c>
      <c r="Q788" s="96">
        <f t="shared" si="25"/>
        <v>0</v>
      </c>
    </row>
    <row r="789" spans="1:17" ht="13" x14ac:dyDescent="0.35">
      <c r="A789" s="11" t="s">
        <v>633</v>
      </c>
      <c r="B789" s="163" t="s">
        <v>306</v>
      </c>
      <c r="C789" s="284"/>
      <c r="D789" s="284"/>
      <c r="E789" s="284"/>
      <c r="F789" s="89"/>
      <c r="G789" s="89"/>
      <c r="H789" s="90" t="s">
        <v>100</v>
      </c>
      <c r="I789" s="91"/>
      <c r="J789" s="92"/>
      <c r="K789" s="94"/>
      <c r="L789" s="95"/>
      <c r="M789" s="93"/>
      <c r="N789" s="93"/>
      <c r="O789" s="411"/>
      <c r="P789" s="96">
        <f t="shared" si="24"/>
        <v>0</v>
      </c>
      <c r="Q789" s="96">
        <f t="shared" si="25"/>
        <v>0</v>
      </c>
    </row>
    <row r="790" spans="1:17" x14ac:dyDescent="0.35">
      <c r="A790" s="11" t="s">
        <v>633</v>
      </c>
      <c r="B790" s="163" t="s">
        <v>306</v>
      </c>
      <c r="C790" s="284"/>
      <c r="D790" s="284"/>
      <c r="E790" s="284"/>
      <c r="F790" s="89"/>
      <c r="G790" s="89"/>
      <c r="H790" s="108" t="s">
        <v>101</v>
      </c>
      <c r="I790" s="91"/>
      <c r="J790" s="92"/>
      <c r="K790" s="94"/>
      <c r="L790" s="95"/>
      <c r="M790" s="93"/>
      <c r="N790" s="93"/>
      <c r="O790" s="411"/>
      <c r="P790" s="96">
        <f t="shared" si="24"/>
        <v>0</v>
      </c>
      <c r="Q790" s="96">
        <f t="shared" si="25"/>
        <v>0</v>
      </c>
    </row>
    <row r="791" spans="1:17" ht="13" x14ac:dyDescent="0.35">
      <c r="A791" s="11" t="s">
        <v>633</v>
      </c>
      <c r="B791" s="163" t="s">
        <v>306</v>
      </c>
      <c r="C791" s="284"/>
      <c r="D791" s="284"/>
      <c r="E791" s="284"/>
      <c r="F791" s="89"/>
      <c r="G791" s="89"/>
      <c r="H791" s="100" t="s">
        <v>309</v>
      </c>
      <c r="I791" s="91"/>
      <c r="J791" s="92"/>
      <c r="K791" s="94"/>
      <c r="L791" s="95"/>
      <c r="M791" s="93"/>
      <c r="N791" s="93"/>
      <c r="O791" s="411"/>
      <c r="P791" s="96">
        <f t="shared" si="24"/>
        <v>0</v>
      </c>
      <c r="Q791" s="96">
        <f t="shared" si="25"/>
        <v>0</v>
      </c>
    </row>
    <row r="792" spans="1:17" x14ac:dyDescent="0.35">
      <c r="A792" s="11" t="s">
        <v>633</v>
      </c>
      <c r="B792" s="163" t="s">
        <v>306</v>
      </c>
      <c r="C792" s="284"/>
      <c r="D792" s="284"/>
      <c r="E792" s="284"/>
      <c r="F792" s="89" t="s">
        <v>20</v>
      </c>
      <c r="G792" s="89"/>
      <c r="H792" s="108" t="s">
        <v>310</v>
      </c>
      <c r="I792" s="91" t="s">
        <v>175</v>
      </c>
      <c r="J792" s="92">
        <f>8+26+2</f>
        <v>36</v>
      </c>
      <c r="K792" s="94">
        <v>200</v>
      </c>
      <c r="L792" s="95">
        <f>J792*K792</f>
        <v>7200</v>
      </c>
      <c r="M792" s="93">
        <f>8+26+2</f>
        <v>36</v>
      </c>
      <c r="N792" s="93">
        <f>8+26+2</f>
        <v>36</v>
      </c>
      <c r="O792" s="411">
        <v>200</v>
      </c>
      <c r="P792" s="96">
        <f t="shared" si="24"/>
        <v>7200</v>
      </c>
      <c r="Q792" s="96">
        <f t="shared" si="25"/>
        <v>7200</v>
      </c>
    </row>
    <row r="793" spans="1:17" x14ac:dyDescent="0.35">
      <c r="A793" s="11" t="s">
        <v>633</v>
      </c>
      <c r="B793" s="163" t="s">
        <v>306</v>
      </c>
      <c r="C793" s="284"/>
      <c r="D793" s="284"/>
      <c r="E793" s="284"/>
      <c r="F793" s="89" t="s">
        <v>26</v>
      </c>
      <c r="G793" s="89"/>
      <c r="H793" s="108" t="s">
        <v>311</v>
      </c>
      <c r="I793" s="91" t="s">
        <v>175</v>
      </c>
      <c r="J793" s="92">
        <v>36</v>
      </c>
      <c r="K793" s="94">
        <v>200</v>
      </c>
      <c r="L793" s="95">
        <f>J793*K793</f>
        <v>7200</v>
      </c>
      <c r="M793" s="93">
        <v>36</v>
      </c>
      <c r="N793" s="93">
        <v>36</v>
      </c>
      <c r="O793" s="411">
        <v>200</v>
      </c>
      <c r="P793" s="96">
        <f t="shared" si="24"/>
        <v>7200</v>
      </c>
      <c r="Q793" s="96">
        <f t="shared" si="25"/>
        <v>7200</v>
      </c>
    </row>
    <row r="794" spans="1:17" ht="13" x14ac:dyDescent="0.35">
      <c r="A794" s="11" t="s">
        <v>633</v>
      </c>
      <c r="B794" s="163" t="s">
        <v>306</v>
      </c>
      <c r="C794" s="284"/>
      <c r="D794" s="284"/>
      <c r="E794" s="284"/>
      <c r="F794" s="89"/>
      <c r="G794" s="89"/>
      <c r="H794" s="90" t="s">
        <v>312</v>
      </c>
      <c r="I794" s="91"/>
      <c r="J794" s="92"/>
      <c r="K794" s="94"/>
      <c r="L794" s="95"/>
      <c r="M794" s="93"/>
      <c r="N794" s="93"/>
      <c r="O794" s="411"/>
      <c r="P794" s="96">
        <f t="shared" si="24"/>
        <v>0</v>
      </c>
      <c r="Q794" s="96">
        <f t="shared" si="25"/>
        <v>0</v>
      </c>
    </row>
    <row r="795" spans="1:17" x14ac:dyDescent="0.35">
      <c r="A795" s="11" t="s">
        <v>633</v>
      </c>
      <c r="B795" s="163" t="s">
        <v>306</v>
      </c>
      <c r="C795" s="284"/>
      <c r="D795" s="284"/>
      <c r="E795" s="284"/>
      <c r="F795" s="89" t="s">
        <v>29</v>
      </c>
      <c r="G795" s="89"/>
      <c r="H795" s="98" t="s">
        <v>313</v>
      </c>
      <c r="I795" s="112" t="s">
        <v>175</v>
      </c>
      <c r="J795" s="45">
        <v>18</v>
      </c>
      <c r="K795" s="94">
        <v>500</v>
      </c>
      <c r="L795" s="95">
        <f>J795*K795</f>
        <v>9000</v>
      </c>
      <c r="M795" s="46">
        <v>18</v>
      </c>
      <c r="N795" s="46">
        <v>18</v>
      </c>
      <c r="O795" s="411">
        <v>500</v>
      </c>
      <c r="P795" s="96">
        <f t="shared" si="24"/>
        <v>9000</v>
      </c>
      <c r="Q795" s="96">
        <f t="shared" si="25"/>
        <v>9000</v>
      </c>
    </row>
    <row r="796" spans="1:17" x14ac:dyDescent="0.35">
      <c r="A796" s="11" t="s">
        <v>633</v>
      </c>
      <c r="B796" s="163" t="s">
        <v>306</v>
      </c>
      <c r="C796" s="284"/>
      <c r="D796" s="284"/>
      <c r="E796" s="284"/>
      <c r="F796" s="89" t="s">
        <v>32</v>
      </c>
      <c r="G796" s="89"/>
      <c r="H796" s="108" t="s">
        <v>314</v>
      </c>
      <c r="I796" s="112" t="s">
        <v>175</v>
      </c>
      <c r="J796" s="45">
        <v>18</v>
      </c>
      <c r="K796" s="94">
        <v>500</v>
      </c>
      <c r="L796" s="95">
        <f>J796*K796</f>
        <v>9000</v>
      </c>
      <c r="M796" s="46">
        <v>18</v>
      </c>
      <c r="N796" s="46">
        <v>18</v>
      </c>
      <c r="O796" s="411">
        <v>500</v>
      </c>
      <c r="P796" s="96">
        <f t="shared" si="24"/>
        <v>9000</v>
      </c>
      <c r="Q796" s="96">
        <f t="shared" si="25"/>
        <v>9000</v>
      </c>
    </row>
    <row r="797" spans="1:17" x14ac:dyDescent="0.35">
      <c r="A797" s="11" t="s">
        <v>633</v>
      </c>
      <c r="B797" s="163" t="s">
        <v>306</v>
      </c>
      <c r="C797" s="284"/>
      <c r="D797" s="284"/>
      <c r="E797" s="284"/>
      <c r="F797" s="89" t="s">
        <v>36</v>
      </c>
      <c r="G797" s="89"/>
      <c r="H797" s="108" t="s">
        <v>649</v>
      </c>
      <c r="I797" s="112" t="s">
        <v>175</v>
      </c>
      <c r="J797" s="45">
        <v>16</v>
      </c>
      <c r="K797" s="94">
        <v>500</v>
      </c>
      <c r="L797" s="95">
        <f>J797*K797</f>
        <v>8000</v>
      </c>
      <c r="M797" s="46">
        <v>16</v>
      </c>
      <c r="N797" s="46">
        <v>16</v>
      </c>
      <c r="O797" s="411">
        <v>500</v>
      </c>
      <c r="P797" s="96">
        <f t="shared" si="24"/>
        <v>8000</v>
      </c>
      <c r="Q797" s="96">
        <f t="shared" si="25"/>
        <v>8000</v>
      </c>
    </row>
    <row r="798" spans="1:17" ht="13" x14ac:dyDescent="0.35">
      <c r="A798" s="11" t="s">
        <v>633</v>
      </c>
      <c r="B798" s="163" t="s">
        <v>306</v>
      </c>
      <c r="C798" s="284"/>
      <c r="D798" s="284"/>
      <c r="E798" s="284"/>
      <c r="F798" s="89"/>
      <c r="G798" s="89"/>
      <c r="H798" s="90" t="s">
        <v>316</v>
      </c>
      <c r="I798" s="112"/>
      <c r="J798" s="45"/>
      <c r="K798" s="94"/>
      <c r="L798" s="95"/>
      <c r="M798" s="46"/>
      <c r="N798" s="46"/>
      <c r="O798" s="411"/>
      <c r="P798" s="96">
        <f t="shared" si="24"/>
        <v>0</v>
      </c>
      <c r="Q798" s="96">
        <f t="shared" si="25"/>
        <v>0</v>
      </c>
    </row>
    <row r="799" spans="1:17" x14ac:dyDescent="0.35">
      <c r="A799" s="11" t="s">
        <v>633</v>
      </c>
      <c r="B799" s="163" t="s">
        <v>306</v>
      </c>
      <c r="C799" s="284"/>
      <c r="D799" s="284"/>
      <c r="E799" s="284"/>
      <c r="F799" s="89" t="s">
        <v>39</v>
      </c>
      <c r="G799" s="89"/>
      <c r="H799" s="108" t="s">
        <v>317</v>
      </c>
      <c r="I799" s="112" t="s">
        <v>175</v>
      </c>
      <c r="J799" s="45">
        <v>18</v>
      </c>
      <c r="K799" s="94">
        <v>850</v>
      </c>
      <c r="L799" s="95">
        <f>J799*K799</f>
        <v>15300</v>
      </c>
      <c r="M799" s="46">
        <v>18</v>
      </c>
      <c r="N799" s="46">
        <v>18</v>
      </c>
      <c r="O799" s="411">
        <v>850</v>
      </c>
      <c r="P799" s="96">
        <f t="shared" si="24"/>
        <v>15300</v>
      </c>
      <c r="Q799" s="96">
        <f t="shared" si="25"/>
        <v>15300</v>
      </c>
    </row>
    <row r="800" spans="1:17" x14ac:dyDescent="0.35">
      <c r="A800" s="11" t="s">
        <v>633</v>
      </c>
      <c r="B800" s="163" t="s">
        <v>306</v>
      </c>
      <c r="C800" s="284"/>
      <c r="D800" s="284"/>
      <c r="E800" s="284"/>
      <c r="F800" s="89" t="s">
        <v>42</v>
      </c>
      <c r="G800" s="89"/>
      <c r="H800" s="108" t="s">
        <v>318</v>
      </c>
      <c r="I800" s="112" t="s">
        <v>175</v>
      </c>
      <c r="J800" s="45">
        <v>18</v>
      </c>
      <c r="K800" s="94">
        <v>850</v>
      </c>
      <c r="L800" s="95">
        <f>J800*K800</f>
        <v>15300</v>
      </c>
      <c r="M800" s="46">
        <v>18</v>
      </c>
      <c r="N800" s="46">
        <v>18</v>
      </c>
      <c r="O800" s="411">
        <v>850</v>
      </c>
      <c r="P800" s="96">
        <f t="shared" si="24"/>
        <v>15300</v>
      </c>
      <c r="Q800" s="96">
        <f t="shared" si="25"/>
        <v>15300</v>
      </c>
    </row>
    <row r="801" spans="1:17" ht="13" x14ac:dyDescent="0.35">
      <c r="A801" s="11" t="s">
        <v>633</v>
      </c>
      <c r="B801" s="163" t="s">
        <v>306</v>
      </c>
      <c r="C801" s="284"/>
      <c r="D801" s="284"/>
      <c r="E801" s="284"/>
      <c r="F801" s="89"/>
      <c r="G801" s="89"/>
      <c r="H801" s="90" t="s">
        <v>650</v>
      </c>
      <c r="I801" s="112"/>
      <c r="J801" s="45"/>
      <c r="K801" s="94"/>
      <c r="L801" s="95"/>
      <c r="M801" s="46"/>
      <c r="N801" s="46"/>
      <c r="O801" s="411"/>
      <c r="P801" s="96">
        <f t="shared" si="24"/>
        <v>0</v>
      </c>
      <c r="Q801" s="96">
        <f t="shared" si="25"/>
        <v>0</v>
      </c>
    </row>
    <row r="802" spans="1:17" ht="25" x14ac:dyDescent="0.35">
      <c r="A802" s="11" t="s">
        <v>633</v>
      </c>
      <c r="B802" s="163" t="s">
        <v>306</v>
      </c>
      <c r="C802" s="284"/>
      <c r="D802" s="284"/>
      <c r="E802" s="284"/>
      <c r="F802" s="89" t="s">
        <v>45</v>
      </c>
      <c r="G802" s="89"/>
      <c r="H802" s="108" t="s">
        <v>651</v>
      </c>
      <c r="I802" s="112" t="s">
        <v>175</v>
      </c>
      <c r="J802" s="45">
        <v>8</v>
      </c>
      <c r="K802" s="94">
        <v>4500</v>
      </c>
      <c r="L802" s="95">
        <f>J802*K802</f>
        <v>36000</v>
      </c>
      <c r="M802" s="46">
        <v>8</v>
      </c>
      <c r="N802" s="46">
        <v>8</v>
      </c>
      <c r="O802" s="411">
        <v>4500</v>
      </c>
      <c r="P802" s="96">
        <f t="shared" si="24"/>
        <v>36000</v>
      </c>
      <c r="Q802" s="96">
        <f t="shared" si="25"/>
        <v>36000</v>
      </c>
    </row>
    <row r="803" spans="1:17" ht="13" x14ac:dyDescent="0.35">
      <c r="A803" s="11" t="s">
        <v>633</v>
      </c>
      <c r="B803" s="163" t="s">
        <v>306</v>
      </c>
      <c r="C803" s="284"/>
      <c r="D803" s="284"/>
      <c r="E803" s="284"/>
      <c r="F803" s="89"/>
      <c r="G803" s="89"/>
      <c r="H803" s="90" t="s">
        <v>319</v>
      </c>
      <c r="I803" s="112"/>
      <c r="J803" s="45"/>
      <c r="K803" s="94"/>
      <c r="L803" s="95"/>
      <c r="M803" s="46"/>
      <c r="N803" s="46"/>
      <c r="O803" s="411"/>
      <c r="P803" s="96">
        <f t="shared" si="24"/>
        <v>0</v>
      </c>
      <c r="Q803" s="96">
        <f t="shared" si="25"/>
        <v>0</v>
      </c>
    </row>
    <row r="804" spans="1:17" x14ac:dyDescent="0.35">
      <c r="A804" s="11" t="s">
        <v>633</v>
      </c>
      <c r="B804" s="163" t="s">
        <v>306</v>
      </c>
      <c r="C804" s="284"/>
      <c r="D804" s="284"/>
      <c r="E804" s="284"/>
      <c r="F804" s="89" t="s">
        <v>48</v>
      </c>
      <c r="G804" s="89"/>
      <c r="H804" s="108" t="s">
        <v>320</v>
      </c>
      <c r="I804" s="112" t="s">
        <v>175</v>
      </c>
      <c r="J804" s="45">
        <v>18</v>
      </c>
      <c r="K804" s="94">
        <v>100</v>
      </c>
      <c r="L804" s="95">
        <f>J804*K804</f>
        <v>1800</v>
      </c>
      <c r="M804" s="46">
        <v>18</v>
      </c>
      <c r="N804" s="46">
        <v>18</v>
      </c>
      <c r="O804" s="411">
        <v>100</v>
      </c>
      <c r="P804" s="96">
        <f t="shared" si="24"/>
        <v>1800</v>
      </c>
      <c r="Q804" s="96">
        <f t="shared" si="25"/>
        <v>1800</v>
      </c>
    </row>
    <row r="805" spans="1:17" ht="13" x14ac:dyDescent="0.3">
      <c r="A805" s="11" t="s">
        <v>633</v>
      </c>
      <c r="B805" s="163" t="s">
        <v>306</v>
      </c>
      <c r="C805" s="284"/>
      <c r="D805" s="284"/>
      <c r="E805" s="284"/>
      <c r="F805" s="89"/>
      <c r="G805" s="89"/>
      <c r="H805" s="97" t="s">
        <v>327</v>
      </c>
      <c r="I805" s="112"/>
      <c r="J805" s="45"/>
      <c r="K805" s="94"/>
      <c r="L805" s="95"/>
      <c r="M805" s="46"/>
      <c r="N805" s="46"/>
      <c r="O805" s="411"/>
      <c r="P805" s="96">
        <f t="shared" si="24"/>
        <v>0</v>
      </c>
      <c r="Q805" s="96">
        <f t="shared" si="25"/>
        <v>0</v>
      </c>
    </row>
    <row r="806" spans="1:17" ht="25" x14ac:dyDescent="0.25">
      <c r="A806" s="11" t="s">
        <v>633</v>
      </c>
      <c r="B806" s="163" t="s">
        <v>306</v>
      </c>
      <c r="C806" s="284"/>
      <c r="D806" s="284"/>
      <c r="E806" s="284"/>
      <c r="F806" s="89"/>
      <c r="G806" s="89"/>
      <c r="H806" s="113" t="s">
        <v>328</v>
      </c>
      <c r="I806" s="112"/>
      <c r="J806" s="45"/>
      <c r="K806" s="94"/>
      <c r="L806" s="95"/>
      <c r="M806" s="46"/>
      <c r="N806" s="46"/>
      <c r="O806" s="411"/>
      <c r="P806" s="96">
        <f t="shared" si="24"/>
        <v>0</v>
      </c>
      <c r="Q806" s="96">
        <f t="shared" si="25"/>
        <v>0</v>
      </c>
    </row>
    <row r="807" spans="1:17" x14ac:dyDescent="0.25">
      <c r="A807" s="11" t="s">
        <v>633</v>
      </c>
      <c r="B807" s="163" t="s">
        <v>306</v>
      </c>
      <c r="C807" s="284"/>
      <c r="D807" s="284"/>
      <c r="E807" s="284"/>
      <c r="F807" s="89" t="s">
        <v>51</v>
      </c>
      <c r="G807" s="89"/>
      <c r="H807" s="113" t="s">
        <v>329</v>
      </c>
      <c r="I807" s="112" t="s">
        <v>175</v>
      </c>
      <c r="J807" s="45">
        <v>0</v>
      </c>
      <c r="K807" s="94">
        <v>8500</v>
      </c>
      <c r="L807" s="95">
        <f>J807*K807</f>
        <v>0</v>
      </c>
      <c r="M807" s="46">
        <v>0</v>
      </c>
      <c r="N807" s="46">
        <v>0</v>
      </c>
      <c r="O807" s="411">
        <v>8500</v>
      </c>
      <c r="P807" s="96">
        <f t="shared" si="24"/>
        <v>0</v>
      </c>
      <c r="Q807" s="96">
        <f t="shared" si="25"/>
        <v>0</v>
      </c>
    </row>
    <row r="808" spans="1:17" ht="26" x14ac:dyDescent="0.35">
      <c r="A808" s="11" t="s">
        <v>633</v>
      </c>
      <c r="B808" s="163" t="s">
        <v>306</v>
      </c>
      <c r="C808" s="284"/>
      <c r="D808" s="284"/>
      <c r="E808" s="284"/>
      <c r="F808" s="89"/>
      <c r="G808" s="89"/>
      <c r="H808" s="90" t="s">
        <v>652</v>
      </c>
      <c r="I808" s="112"/>
      <c r="J808" s="45"/>
      <c r="K808" s="94"/>
      <c r="L808" s="95"/>
      <c r="M808" s="46"/>
      <c r="N808" s="46"/>
      <c r="O808" s="411"/>
      <c r="P808" s="96">
        <f t="shared" si="24"/>
        <v>0</v>
      </c>
      <c r="Q808" s="96">
        <f t="shared" si="25"/>
        <v>0</v>
      </c>
    </row>
    <row r="809" spans="1:17" x14ac:dyDescent="0.35">
      <c r="A809" s="11" t="s">
        <v>633</v>
      </c>
      <c r="B809" s="163" t="s">
        <v>306</v>
      </c>
      <c r="C809" s="284"/>
      <c r="D809" s="284"/>
      <c r="E809" s="284"/>
      <c r="F809" s="89"/>
      <c r="G809" s="89"/>
      <c r="H809" s="191" t="s">
        <v>653</v>
      </c>
      <c r="I809" s="112"/>
      <c r="J809" s="45"/>
      <c r="K809" s="94"/>
      <c r="L809" s="95"/>
      <c r="M809" s="46"/>
      <c r="N809" s="46"/>
      <c r="O809" s="411"/>
      <c r="P809" s="96">
        <f t="shared" si="24"/>
        <v>0</v>
      </c>
      <c r="Q809" s="96">
        <f t="shared" si="25"/>
        <v>0</v>
      </c>
    </row>
    <row r="810" spans="1:17" x14ac:dyDescent="0.35">
      <c r="A810" s="11" t="s">
        <v>633</v>
      </c>
      <c r="B810" s="163" t="s">
        <v>306</v>
      </c>
      <c r="C810" s="284"/>
      <c r="D810" s="284"/>
      <c r="E810" s="284"/>
      <c r="F810" s="89" t="s">
        <v>53</v>
      </c>
      <c r="G810" s="89"/>
      <c r="H810" s="108" t="s">
        <v>654</v>
      </c>
      <c r="I810" s="112" t="s">
        <v>175</v>
      </c>
      <c r="J810" s="45">
        <v>6</v>
      </c>
      <c r="K810" s="94">
        <v>4590</v>
      </c>
      <c r="L810" s="95">
        <f>J810*K810</f>
        <v>27540</v>
      </c>
      <c r="M810" s="46">
        <v>6</v>
      </c>
      <c r="N810" s="46">
        <v>6</v>
      </c>
      <c r="O810" s="411">
        <v>4590</v>
      </c>
      <c r="P810" s="96">
        <f t="shared" si="24"/>
        <v>27540</v>
      </c>
      <c r="Q810" s="96">
        <f t="shared" si="25"/>
        <v>27540</v>
      </c>
    </row>
    <row r="811" spans="1:17" ht="13" x14ac:dyDescent="0.35">
      <c r="A811" s="11" t="s">
        <v>633</v>
      </c>
      <c r="B811" s="163" t="s">
        <v>330</v>
      </c>
      <c r="C811" s="284"/>
      <c r="D811" s="284"/>
      <c r="E811" s="284"/>
      <c r="F811" s="99"/>
      <c r="G811" s="114"/>
      <c r="H811" s="43" t="s">
        <v>634</v>
      </c>
      <c r="I811" s="44"/>
      <c r="J811" s="116"/>
      <c r="K811" s="47"/>
      <c r="L811" s="48"/>
      <c r="M811" s="46"/>
      <c r="N811" s="46"/>
      <c r="O811" s="407"/>
      <c r="P811" s="49">
        <f t="shared" si="24"/>
        <v>0</v>
      </c>
      <c r="Q811" s="49">
        <f t="shared" si="25"/>
        <v>0</v>
      </c>
    </row>
    <row r="812" spans="1:17" ht="13" x14ac:dyDescent="0.35">
      <c r="A812" s="11" t="s">
        <v>633</v>
      </c>
      <c r="B812" s="163" t="s">
        <v>330</v>
      </c>
      <c r="C812" s="284"/>
      <c r="D812" s="284"/>
      <c r="E812" s="284"/>
      <c r="F812" s="99"/>
      <c r="G812" s="114"/>
      <c r="H812" s="43" t="s">
        <v>635</v>
      </c>
      <c r="I812" s="44"/>
      <c r="J812" s="116"/>
      <c r="K812" s="47"/>
      <c r="L812" s="48"/>
      <c r="M812" s="46"/>
      <c r="N812" s="46"/>
      <c r="O812" s="407"/>
      <c r="P812" s="49">
        <f t="shared" si="24"/>
        <v>0</v>
      </c>
      <c r="Q812" s="49">
        <f t="shared" si="25"/>
        <v>0</v>
      </c>
    </row>
    <row r="813" spans="1:17" ht="13" x14ac:dyDescent="0.35">
      <c r="A813" s="11" t="s">
        <v>633</v>
      </c>
      <c r="B813" s="163" t="s">
        <v>330</v>
      </c>
      <c r="C813" s="284"/>
      <c r="D813" s="284"/>
      <c r="E813" s="284"/>
      <c r="F813" s="99"/>
      <c r="G813" s="114"/>
      <c r="H813" s="100" t="s">
        <v>331</v>
      </c>
      <c r="I813" s="44"/>
      <c r="J813" s="116"/>
      <c r="K813" s="47"/>
      <c r="L813" s="48"/>
      <c r="M813" s="46"/>
      <c r="N813" s="46"/>
      <c r="O813" s="407"/>
      <c r="P813" s="49">
        <f t="shared" si="24"/>
        <v>0</v>
      </c>
      <c r="Q813" s="49">
        <f t="shared" si="25"/>
        <v>0</v>
      </c>
    </row>
    <row r="814" spans="1:17" ht="13" x14ac:dyDescent="0.35">
      <c r="A814" s="11" t="s">
        <v>633</v>
      </c>
      <c r="B814" s="163" t="s">
        <v>330</v>
      </c>
      <c r="C814" s="284"/>
      <c r="D814" s="284"/>
      <c r="E814" s="284"/>
      <c r="F814" s="99"/>
      <c r="G814" s="114"/>
      <c r="H814" s="43" t="s">
        <v>332</v>
      </c>
      <c r="I814" s="44"/>
      <c r="J814" s="116"/>
      <c r="K814" s="47"/>
      <c r="L814" s="48"/>
      <c r="M814" s="46"/>
      <c r="N814" s="46"/>
      <c r="O814" s="407"/>
      <c r="P814" s="49">
        <f t="shared" si="24"/>
        <v>0</v>
      </c>
      <c r="Q814" s="49">
        <f t="shared" si="25"/>
        <v>0</v>
      </c>
    </row>
    <row r="815" spans="1:17" ht="13" x14ac:dyDescent="0.35">
      <c r="A815" s="11" t="s">
        <v>633</v>
      </c>
      <c r="B815" s="163" t="s">
        <v>330</v>
      </c>
      <c r="C815" s="284"/>
      <c r="D815" s="284"/>
      <c r="E815" s="284"/>
      <c r="F815" s="99"/>
      <c r="G815" s="114"/>
      <c r="H815" s="57" t="s">
        <v>100</v>
      </c>
      <c r="I815" s="44"/>
      <c r="J815" s="116"/>
      <c r="K815" s="47"/>
      <c r="L815" s="48"/>
      <c r="M815" s="46"/>
      <c r="N815" s="46"/>
      <c r="O815" s="407"/>
      <c r="P815" s="49">
        <f t="shared" si="24"/>
        <v>0</v>
      </c>
      <c r="Q815" s="49">
        <f t="shared" si="25"/>
        <v>0</v>
      </c>
    </row>
    <row r="816" spans="1:17" ht="13" x14ac:dyDescent="0.35">
      <c r="A816" s="11" t="s">
        <v>633</v>
      </c>
      <c r="B816" s="163" t="s">
        <v>330</v>
      </c>
      <c r="C816" s="284"/>
      <c r="D816" s="284"/>
      <c r="E816" s="284"/>
      <c r="F816" s="99"/>
      <c r="G816" s="114"/>
      <c r="H816" s="60" t="s">
        <v>101</v>
      </c>
      <c r="I816" s="44"/>
      <c r="J816" s="116"/>
      <c r="K816" s="47"/>
      <c r="L816" s="48"/>
      <c r="M816" s="46"/>
      <c r="N816" s="46"/>
      <c r="O816" s="407"/>
      <c r="P816" s="49">
        <f t="shared" si="24"/>
        <v>0</v>
      </c>
      <c r="Q816" s="49">
        <f t="shared" si="25"/>
        <v>0</v>
      </c>
    </row>
    <row r="817" spans="1:17" ht="13" x14ac:dyDescent="0.35">
      <c r="A817" s="11" t="s">
        <v>633</v>
      </c>
      <c r="B817" s="163" t="s">
        <v>330</v>
      </c>
      <c r="C817" s="284"/>
      <c r="D817" s="284"/>
      <c r="E817" s="284"/>
      <c r="F817" s="99"/>
      <c r="G817" s="114"/>
      <c r="H817" s="57" t="s">
        <v>333</v>
      </c>
      <c r="I817" s="44"/>
      <c r="J817" s="116"/>
      <c r="K817" s="47"/>
      <c r="L817" s="48"/>
      <c r="M817" s="46"/>
      <c r="N817" s="46"/>
      <c r="O817" s="407"/>
      <c r="P817" s="49">
        <f t="shared" si="24"/>
        <v>0</v>
      </c>
      <c r="Q817" s="49">
        <f t="shared" si="25"/>
        <v>0</v>
      </c>
    </row>
    <row r="818" spans="1:17" ht="25" x14ac:dyDescent="0.35">
      <c r="A818" s="11" t="s">
        <v>633</v>
      </c>
      <c r="B818" s="163" t="s">
        <v>330</v>
      </c>
      <c r="C818" s="284"/>
      <c r="D818" s="284"/>
      <c r="E818" s="284"/>
      <c r="F818" s="99"/>
      <c r="G818" s="114"/>
      <c r="H818" s="60" t="s">
        <v>334</v>
      </c>
      <c r="I818" s="44"/>
      <c r="J818" s="117"/>
      <c r="K818" s="47"/>
      <c r="L818" s="48"/>
      <c r="M818" s="118"/>
      <c r="N818" s="118"/>
      <c r="O818" s="407"/>
      <c r="P818" s="49">
        <f t="shared" si="24"/>
        <v>0</v>
      </c>
      <c r="Q818" s="49">
        <f t="shared" si="25"/>
        <v>0</v>
      </c>
    </row>
    <row r="819" spans="1:17" ht="13" x14ac:dyDescent="0.35">
      <c r="A819" s="11" t="s">
        <v>633</v>
      </c>
      <c r="B819" s="163" t="s">
        <v>330</v>
      </c>
      <c r="C819" s="284"/>
      <c r="D819" s="284"/>
      <c r="E819" s="284"/>
      <c r="F819" s="99"/>
      <c r="G819" s="114"/>
      <c r="H819" s="62" t="s">
        <v>335</v>
      </c>
      <c r="I819" s="44"/>
      <c r="J819" s="116"/>
      <c r="K819" s="47"/>
      <c r="L819" s="48"/>
      <c r="M819" s="46"/>
      <c r="N819" s="46"/>
      <c r="O819" s="407"/>
      <c r="P819" s="49">
        <f t="shared" si="24"/>
        <v>0</v>
      </c>
      <c r="Q819" s="49">
        <f t="shared" si="25"/>
        <v>0</v>
      </c>
    </row>
    <row r="820" spans="1:17" ht="37.5" x14ac:dyDescent="0.35">
      <c r="A820" s="11" t="s">
        <v>633</v>
      </c>
      <c r="B820" s="163" t="s">
        <v>330</v>
      </c>
      <c r="C820" s="284"/>
      <c r="D820" s="284"/>
      <c r="E820" s="284"/>
      <c r="F820" s="99"/>
      <c r="G820" s="114"/>
      <c r="H820" s="62" t="s">
        <v>336</v>
      </c>
      <c r="I820" s="44"/>
      <c r="J820" s="116"/>
      <c r="K820" s="47"/>
      <c r="L820" s="48"/>
      <c r="M820" s="46"/>
      <c r="N820" s="46"/>
      <c r="O820" s="407"/>
      <c r="P820" s="49">
        <f t="shared" si="24"/>
        <v>0</v>
      </c>
      <c r="Q820" s="49">
        <f t="shared" si="25"/>
        <v>0</v>
      </c>
    </row>
    <row r="821" spans="1:17" ht="13" x14ac:dyDescent="0.35">
      <c r="A821" s="11" t="s">
        <v>633</v>
      </c>
      <c r="B821" s="163" t="s">
        <v>330</v>
      </c>
      <c r="C821" s="284"/>
      <c r="D821" s="284"/>
      <c r="E821" s="284"/>
      <c r="F821" s="99"/>
      <c r="G821" s="114"/>
      <c r="H821" s="57" t="s">
        <v>337</v>
      </c>
      <c r="I821" s="44"/>
      <c r="J821" s="119"/>
      <c r="K821" s="121"/>
      <c r="L821" s="48"/>
      <c r="M821" s="120"/>
      <c r="N821" s="120"/>
      <c r="O821" s="413"/>
      <c r="P821" s="49">
        <f t="shared" si="24"/>
        <v>0</v>
      </c>
      <c r="Q821" s="49">
        <f t="shared" si="25"/>
        <v>0</v>
      </c>
    </row>
    <row r="822" spans="1:17" ht="37.5" x14ac:dyDescent="0.35">
      <c r="A822" s="11" t="s">
        <v>633</v>
      </c>
      <c r="B822" s="163" t="s">
        <v>330</v>
      </c>
      <c r="C822" s="284"/>
      <c r="D822" s="284"/>
      <c r="E822" s="284"/>
      <c r="F822" s="99" t="s">
        <v>20</v>
      </c>
      <c r="G822" s="114"/>
      <c r="H822" s="60" t="s">
        <v>655</v>
      </c>
      <c r="I822" s="44" t="s">
        <v>110</v>
      </c>
      <c r="J822" s="122">
        <v>295</v>
      </c>
      <c r="K822" s="121">
        <v>665</v>
      </c>
      <c r="L822" s="48">
        <f>J822*K822</f>
        <v>196175</v>
      </c>
      <c r="M822" s="120">
        <v>295</v>
      </c>
      <c r="N822" s="120">
        <v>295</v>
      </c>
      <c r="O822" s="413">
        <v>665</v>
      </c>
      <c r="P822" s="49">
        <f t="shared" si="24"/>
        <v>196175</v>
      </c>
      <c r="Q822" s="49">
        <f t="shared" si="25"/>
        <v>196175</v>
      </c>
    </row>
    <row r="823" spans="1:17" s="123" customFormat="1" ht="13" x14ac:dyDescent="0.35">
      <c r="A823" s="11" t="s">
        <v>633</v>
      </c>
      <c r="B823" s="163" t="s">
        <v>339</v>
      </c>
      <c r="C823" s="284"/>
      <c r="D823" s="284"/>
      <c r="E823" s="284"/>
      <c r="F823" s="89"/>
      <c r="G823" s="89"/>
      <c r="H823" s="43" t="s">
        <v>634</v>
      </c>
      <c r="I823" s="91"/>
      <c r="J823" s="92"/>
      <c r="K823" s="94"/>
      <c r="L823" s="105"/>
      <c r="M823" s="93"/>
      <c r="N823" s="93"/>
      <c r="O823" s="411"/>
      <c r="P823" s="106">
        <f t="shared" si="24"/>
        <v>0</v>
      </c>
      <c r="Q823" s="106">
        <f t="shared" si="25"/>
        <v>0</v>
      </c>
    </row>
    <row r="824" spans="1:17" ht="13" x14ac:dyDescent="0.35">
      <c r="A824" s="11" t="s">
        <v>633</v>
      </c>
      <c r="B824" s="163" t="s">
        <v>339</v>
      </c>
      <c r="C824" s="284"/>
      <c r="D824" s="284"/>
      <c r="E824" s="284"/>
      <c r="F824" s="89"/>
      <c r="G824" s="89"/>
      <c r="H824" s="43" t="s">
        <v>635</v>
      </c>
      <c r="I824" s="91"/>
      <c r="J824" s="92"/>
      <c r="K824" s="94"/>
      <c r="L824" s="95"/>
      <c r="M824" s="93"/>
      <c r="N824" s="93"/>
      <c r="O824" s="411"/>
      <c r="P824" s="96">
        <f t="shared" si="24"/>
        <v>0</v>
      </c>
      <c r="Q824" s="96">
        <f t="shared" si="25"/>
        <v>0</v>
      </c>
    </row>
    <row r="825" spans="1:17" ht="13" x14ac:dyDescent="0.35">
      <c r="A825" s="11" t="s">
        <v>633</v>
      </c>
      <c r="B825" s="163" t="s">
        <v>339</v>
      </c>
      <c r="C825" s="284"/>
      <c r="D825" s="284"/>
      <c r="E825" s="284"/>
      <c r="F825" s="89"/>
      <c r="G825" s="89"/>
      <c r="H825" s="100" t="s">
        <v>340</v>
      </c>
      <c r="I825" s="91"/>
      <c r="J825" s="92"/>
      <c r="K825" s="94"/>
      <c r="L825" s="95"/>
      <c r="M825" s="93"/>
      <c r="N825" s="93"/>
      <c r="O825" s="411"/>
      <c r="P825" s="96">
        <f t="shared" si="24"/>
        <v>0</v>
      </c>
      <c r="Q825" s="96">
        <f t="shared" si="25"/>
        <v>0</v>
      </c>
    </row>
    <row r="826" spans="1:17" ht="13" x14ac:dyDescent="0.35">
      <c r="A826" s="11" t="s">
        <v>633</v>
      </c>
      <c r="B826" s="163" t="s">
        <v>339</v>
      </c>
      <c r="C826" s="284"/>
      <c r="D826" s="284"/>
      <c r="E826" s="284"/>
      <c r="F826" s="89"/>
      <c r="G826" s="89"/>
      <c r="H826" s="100" t="s">
        <v>341</v>
      </c>
      <c r="I826" s="91"/>
      <c r="J826" s="92"/>
      <c r="K826" s="94"/>
      <c r="L826" s="95"/>
      <c r="M826" s="93"/>
      <c r="N826" s="93"/>
      <c r="O826" s="411"/>
      <c r="P826" s="96">
        <f t="shared" si="24"/>
        <v>0</v>
      </c>
      <c r="Q826" s="96">
        <f t="shared" si="25"/>
        <v>0</v>
      </c>
    </row>
    <row r="827" spans="1:17" ht="13" x14ac:dyDescent="0.35">
      <c r="A827" s="11" t="s">
        <v>633</v>
      </c>
      <c r="B827" s="163" t="s">
        <v>339</v>
      </c>
      <c r="C827" s="284"/>
      <c r="D827" s="284"/>
      <c r="E827" s="284"/>
      <c r="F827" s="89"/>
      <c r="G827" s="89"/>
      <c r="H827" s="90" t="s">
        <v>100</v>
      </c>
      <c r="I827" s="91"/>
      <c r="J827" s="92"/>
      <c r="K827" s="94"/>
      <c r="L827" s="95"/>
      <c r="M827" s="93"/>
      <c r="N827" s="93"/>
      <c r="O827" s="411"/>
      <c r="P827" s="96">
        <f t="shared" si="24"/>
        <v>0</v>
      </c>
      <c r="Q827" s="96">
        <f t="shared" si="25"/>
        <v>0</v>
      </c>
    </row>
    <row r="828" spans="1:17" x14ac:dyDescent="0.35">
      <c r="A828" s="11" t="s">
        <v>633</v>
      </c>
      <c r="B828" s="163" t="s">
        <v>339</v>
      </c>
      <c r="C828" s="284"/>
      <c r="D828" s="284"/>
      <c r="E828" s="284"/>
      <c r="F828" s="89"/>
      <c r="G828" s="89"/>
      <c r="H828" s="108" t="s">
        <v>101</v>
      </c>
      <c r="I828" s="91"/>
      <c r="J828" s="92"/>
      <c r="K828" s="94"/>
      <c r="L828" s="95"/>
      <c r="M828" s="93"/>
      <c r="N828" s="93"/>
      <c r="O828" s="411"/>
      <c r="P828" s="96">
        <f t="shared" si="24"/>
        <v>0</v>
      </c>
      <c r="Q828" s="96">
        <f t="shared" si="25"/>
        <v>0</v>
      </c>
    </row>
    <row r="829" spans="1:17" ht="13" x14ac:dyDescent="0.35">
      <c r="A829" s="11" t="s">
        <v>633</v>
      </c>
      <c r="B829" s="163" t="s">
        <v>339</v>
      </c>
      <c r="C829" s="284"/>
      <c r="D829" s="284"/>
      <c r="E829" s="284"/>
      <c r="F829" s="89"/>
      <c r="G829" s="89"/>
      <c r="H829" s="90" t="s">
        <v>102</v>
      </c>
      <c r="I829" s="91"/>
      <c r="J829" s="92"/>
      <c r="K829" s="94"/>
      <c r="L829" s="95"/>
      <c r="M829" s="93"/>
      <c r="N829" s="93"/>
      <c r="O829" s="411"/>
      <c r="P829" s="96">
        <f t="shared" si="24"/>
        <v>0</v>
      </c>
      <c r="Q829" s="96">
        <f t="shared" si="25"/>
        <v>0</v>
      </c>
    </row>
    <row r="830" spans="1:17" x14ac:dyDescent="0.35">
      <c r="A830" s="11" t="s">
        <v>633</v>
      </c>
      <c r="B830" s="163" t="s">
        <v>339</v>
      </c>
      <c r="C830" s="284"/>
      <c r="D830" s="284"/>
      <c r="E830" s="284"/>
      <c r="F830" s="89"/>
      <c r="G830" s="124"/>
      <c r="H830" s="108" t="s">
        <v>342</v>
      </c>
      <c r="I830" s="91"/>
      <c r="J830" s="45"/>
      <c r="K830" s="125"/>
      <c r="L830" s="48"/>
      <c r="M830" s="46"/>
      <c r="N830" s="46"/>
      <c r="O830" s="414"/>
      <c r="P830" s="49">
        <f t="shared" si="24"/>
        <v>0</v>
      </c>
      <c r="Q830" s="49">
        <f t="shared" si="25"/>
        <v>0</v>
      </c>
    </row>
    <row r="831" spans="1:17" ht="37.5" x14ac:dyDescent="0.35">
      <c r="A831" s="11" t="s">
        <v>633</v>
      </c>
      <c r="B831" s="163" t="s">
        <v>339</v>
      </c>
      <c r="C831" s="284"/>
      <c r="D831" s="284"/>
      <c r="E831" s="284"/>
      <c r="F831" s="89"/>
      <c r="G831" s="124"/>
      <c r="H831" s="108" t="s">
        <v>343</v>
      </c>
      <c r="I831" s="91"/>
      <c r="J831" s="45"/>
      <c r="K831" s="125"/>
      <c r="L831" s="48"/>
      <c r="M831" s="46"/>
      <c r="N831" s="46"/>
      <c r="O831" s="414"/>
      <c r="P831" s="49">
        <f t="shared" si="24"/>
        <v>0</v>
      </c>
      <c r="Q831" s="49">
        <f t="shared" si="25"/>
        <v>0</v>
      </c>
    </row>
    <row r="832" spans="1:17" ht="25" x14ac:dyDescent="0.35">
      <c r="A832" s="11" t="s">
        <v>633</v>
      </c>
      <c r="B832" s="163" t="s">
        <v>339</v>
      </c>
      <c r="C832" s="284"/>
      <c r="D832" s="284"/>
      <c r="E832" s="284"/>
      <c r="F832" s="89"/>
      <c r="G832" s="124"/>
      <c r="H832" s="108" t="s">
        <v>344</v>
      </c>
      <c r="I832" s="91"/>
      <c r="J832" s="45"/>
      <c r="K832" s="125"/>
      <c r="L832" s="48"/>
      <c r="M832" s="46"/>
      <c r="N832" s="46"/>
      <c r="O832" s="414"/>
      <c r="P832" s="49">
        <f t="shared" si="24"/>
        <v>0</v>
      </c>
      <c r="Q832" s="49">
        <f t="shared" si="25"/>
        <v>0</v>
      </c>
    </row>
    <row r="833" spans="1:17" ht="13" x14ac:dyDescent="0.35">
      <c r="A833" s="11" t="s">
        <v>633</v>
      </c>
      <c r="B833" s="163" t="s">
        <v>339</v>
      </c>
      <c r="C833" s="284"/>
      <c r="D833" s="284"/>
      <c r="E833" s="284"/>
      <c r="F833" s="89"/>
      <c r="G833" s="89"/>
      <c r="H833" s="126" t="s">
        <v>345</v>
      </c>
      <c r="I833" s="91"/>
      <c r="J833" s="92"/>
      <c r="K833" s="94"/>
      <c r="L833" s="95"/>
      <c r="M833" s="93"/>
      <c r="N833" s="93"/>
      <c r="O833" s="411"/>
      <c r="P833" s="96">
        <f t="shared" si="24"/>
        <v>0</v>
      </c>
      <c r="Q833" s="96">
        <f t="shared" si="25"/>
        <v>0</v>
      </c>
    </row>
    <row r="834" spans="1:17" ht="13" x14ac:dyDescent="0.35">
      <c r="A834" s="11" t="s">
        <v>633</v>
      </c>
      <c r="B834" s="163" t="s">
        <v>339</v>
      </c>
      <c r="C834" s="284"/>
      <c r="D834" s="284"/>
      <c r="E834" s="284"/>
      <c r="F834" s="89"/>
      <c r="G834" s="89"/>
      <c r="H834" s="90" t="s">
        <v>346</v>
      </c>
      <c r="I834" s="91"/>
      <c r="J834" s="58"/>
      <c r="K834" s="94"/>
      <c r="L834" s="95"/>
      <c r="M834" s="59"/>
      <c r="N834" s="59"/>
      <c r="O834" s="411"/>
      <c r="P834" s="96">
        <f t="shared" si="24"/>
        <v>0</v>
      </c>
      <c r="Q834" s="96">
        <f t="shared" si="25"/>
        <v>0</v>
      </c>
    </row>
    <row r="835" spans="1:17" ht="13" x14ac:dyDescent="0.35">
      <c r="A835" s="11" t="s">
        <v>633</v>
      </c>
      <c r="B835" s="163" t="s">
        <v>339</v>
      </c>
      <c r="C835" s="284"/>
      <c r="D835" s="284"/>
      <c r="E835" s="284"/>
      <c r="F835" s="89"/>
      <c r="G835" s="89"/>
      <c r="H835" s="90" t="s">
        <v>347</v>
      </c>
      <c r="I835" s="91"/>
      <c r="J835" s="117"/>
      <c r="K835" s="94"/>
      <c r="L835" s="95"/>
      <c r="M835" s="118"/>
      <c r="N835" s="118"/>
      <c r="O835" s="411"/>
      <c r="P835" s="96">
        <f t="shared" si="24"/>
        <v>0</v>
      </c>
      <c r="Q835" s="96">
        <f t="shared" si="25"/>
        <v>0</v>
      </c>
    </row>
    <row r="836" spans="1:17" x14ac:dyDescent="0.35">
      <c r="A836" s="11" t="s">
        <v>633</v>
      </c>
      <c r="B836" s="163" t="s">
        <v>339</v>
      </c>
      <c r="C836" s="284"/>
      <c r="D836" s="284"/>
      <c r="E836" s="284"/>
      <c r="F836" s="89" t="s">
        <v>20</v>
      </c>
      <c r="G836" s="89"/>
      <c r="H836" s="108" t="s">
        <v>656</v>
      </c>
      <c r="I836" s="91" t="s">
        <v>175</v>
      </c>
      <c r="J836" s="117">
        <v>14</v>
      </c>
      <c r="K836" s="127">
        <v>1500</v>
      </c>
      <c r="L836" s="95">
        <f>K836*J836</f>
        <v>21000</v>
      </c>
      <c r="M836" s="118">
        <v>14</v>
      </c>
      <c r="N836" s="118">
        <v>14</v>
      </c>
      <c r="O836" s="415">
        <v>1500</v>
      </c>
      <c r="P836" s="96">
        <f t="shared" si="24"/>
        <v>21000</v>
      </c>
      <c r="Q836" s="96">
        <f t="shared" si="25"/>
        <v>21000</v>
      </c>
    </row>
    <row r="837" spans="1:17" x14ac:dyDescent="0.35">
      <c r="A837" s="11" t="s">
        <v>633</v>
      </c>
      <c r="B837" s="163" t="s">
        <v>339</v>
      </c>
      <c r="C837" s="284"/>
      <c r="D837" s="284"/>
      <c r="E837" s="284"/>
      <c r="F837" s="89" t="s">
        <v>26</v>
      </c>
      <c r="G837" s="89"/>
      <c r="H837" s="108" t="s">
        <v>657</v>
      </c>
      <c r="I837" s="91" t="s">
        <v>175</v>
      </c>
      <c r="J837" s="117">
        <v>2</v>
      </c>
      <c r="K837" s="127">
        <v>2500</v>
      </c>
      <c r="L837" s="95">
        <f>K837*J837</f>
        <v>5000</v>
      </c>
      <c r="M837" s="118">
        <v>2</v>
      </c>
      <c r="N837" s="118">
        <v>2</v>
      </c>
      <c r="O837" s="415">
        <v>2500</v>
      </c>
      <c r="P837" s="96">
        <f t="shared" si="24"/>
        <v>5000</v>
      </c>
      <c r="Q837" s="96">
        <f t="shared" si="25"/>
        <v>5000</v>
      </c>
    </row>
    <row r="838" spans="1:17" ht="13" x14ac:dyDescent="0.35">
      <c r="A838" s="11" t="s">
        <v>633</v>
      </c>
      <c r="B838" s="163" t="s">
        <v>339</v>
      </c>
      <c r="C838" s="284"/>
      <c r="D838" s="284"/>
      <c r="E838" s="284"/>
      <c r="F838" s="89"/>
      <c r="G838" s="89"/>
      <c r="H838" s="126" t="s">
        <v>349</v>
      </c>
      <c r="I838" s="91"/>
      <c r="J838" s="128"/>
      <c r="K838" s="127"/>
      <c r="L838" s="95"/>
      <c r="M838" s="129"/>
      <c r="N838" s="129"/>
      <c r="O838" s="415"/>
      <c r="P838" s="96">
        <f t="shared" si="24"/>
        <v>0</v>
      </c>
      <c r="Q838" s="96">
        <f t="shared" si="25"/>
        <v>0</v>
      </c>
    </row>
    <row r="839" spans="1:17" ht="13" x14ac:dyDescent="0.35">
      <c r="A839" s="11" t="s">
        <v>633</v>
      </c>
      <c r="B839" s="163" t="s">
        <v>339</v>
      </c>
      <c r="C839" s="284"/>
      <c r="D839" s="284"/>
      <c r="E839" s="284"/>
      <c r="F839" s="89"/>
      <c r="G839" s="89"/>
      <c r="H839" s="126" t="s">
        <v>350</v>
      </c>
      <c r="I839" s="91"/>
      <c r="J839" s="128"/>
      <c r="K839" s="127"/>
      <c r="L839" s="95"/>
      <c r="M839" s="129"/>
      <c r="N839" s="129"/>
      <c r="O839" s="415"/>
      <c r="P839" s="96">
        <f t="shared" si="24"/>
        <v>0</v>
      </c>
      <c r="Q839" s="96">
        <f t="shared" si="25"/>
        <v>0</v>
      </c>
    </row>
    <row r="840" spans="1:17" ht="25" x14ac:dyDescent="0.35">
      <c r="A840" s="11" t="s">
        <v>633</v>
      </c>
      <c r="B840" s="163" t="s">
        <v>339</v>
      </c>
      <c r="C840" s="284"/>
      <c r="D840" s="284"/>
      <c r="E840" s="284"/>
      <c r="F840" s="89" t="s">
        <v>29</v>
      </c>
      <c r="G840" s="89"/>
      <c r="H840" s="108" t="s">
        <v>658</v>
      </c>
      <c r="I840" s="91" t="s">
        <v>175</v>
      </c>
      <c r="J840" s="128">
        <v>2</v>
      </c>
      <c r="K840" s="125">
        <v>2250</v>
      </c>
      <c r="L840" s="48">
        <f>K840*J840</f>
        <v>4500</v>
      </c>
      <c r="M840" s="129">
        <v>2</v>
      </c>
      <c r="N840" s="129">
        <v>2</v>
      </c>
      <c r="O840" s="414">
        <v>2250</v>
      </c>
      <c r="P840" s="49">
        <f t="shared" si="24"/>
        <v>4500</v>
      </c>
      <c r="Q840" s="49">
        <f t="shared" si="25"/>
        <v>4500</v>
      </c>
    </row>
    <row r="841" spans="1:17" ht="25" x14ac:dyDescent="0.35">
      <c r="A841" s="11" t="s">
        <v>633</v>
      </c>
      <c r="B841" s="163" t="s">
        <v>339</v>
      </c>
      <c r="C841" s="284"/>
      <c r="D841" s="284"/>
      <c r="E841" s="284"/>
      <c r="F841" s="89" t="s">
        <v>32</v>
      </c>
      <c r="G841" s="89"/>
      <c r="H841" s="108" t="s">
        <v>659</v>
      </c>
      <c r="I841" s="91" t="s">
        <v>175</v>
      </c>
      <c r="J841" s="128">
        <v>13</v>
      </c>
      <c r="K841" s="125">
        <v>3300</v>
      </c>
      <c r="L841" s="48">
        <f>K841*J841</f>
        <v>42900</v>
      </c>
      <c r="M841" s="129">
        <v>13</v>
      </c>
      <c r="N841" s="129">
        <v>13</v>
      </c>
      <c r="O841" s="414">
        <v>3300</v>
      </c>
      <c r="P841" s="49">
        <f t="shared" si="24"/>
        <v>42900</v>
      </c>
      <c r="Q841" s="49">
        <f t="shared" si="25"/>
        <v>42900</v>
      </c>
    </row>
    <row r="842" spans="1:17" ht="25" x14ac:dyDescent="0.35">
      <c r="A842" s="11" t="s">
        <v>633</v>
      </c>
      <c r="B842" s="163" t="s">
        <v>339</v>
      </c>
      <c r="C842" s="284"/>
      <c r="D842" s="284"/>
      <c r="E842" s="284"/>
      <c r="F842" s="89" t="s">
        <v>36</v>
      </c>
      <c r="G842" s="89"/>
      <c r="H842" s="108" t="s">
        <v>660</v>
      </c>
      <c r="I842" s="91" t="s">
        <v>175</v>
      </c>
      <c r="J842" s="128">
        <v>7</v>
      </c>
      <c r="K842" s="125">
        <v>2250</v>
      </c>
      <c r="L842" s="48">
        <f>K842*J842</f>
        <v>15750</v>
      </c>
      <c r="M842" s="129">
        <v>7</v>
      </c>
      <c r="N842" s="129">
        <v>7</v>
      </c>
      <c r="O842" s="414">
        <v>2250</v>
      </c>
      <c r="P842" s="49">
        <f t="shared" ref="P842:P905" si="26">O842*M842</f>
        <v>15750</v>
      </c>
      <c r="Q842" s="49">
        <f t="shared" ref="Q842:Q905" si="27">O842*N842</f>
        <v>15750</v>
      </c>
    </row>
    <row r="843" spans="1:17" ht="25" x14ac:dyDescent="0.35">
      <c r="A843" s="11" t="s">
        <v>633</v>
      </c>
      <c r="B843" s="163" t="s">
        <v>339</v>
      </c>
      <c r="C843" s="284"/>
      <c r="D843" s="284"/>
      <c r="E843" s="284"/>
      <c r="F843" s="89" t="s">
        <v>39</v>
      </c>
      <c r="G843" s="89"/>
      <c r="H843" s="108" t="s">
        <v>661</v>
      </c>
      <c r="I843" s="91" t="s">
        <v>175</v>
      </c>
      <c r="J843" s="128">
        <v>1</v>
      </c>
      <c r="K843" s="125">
        <v>2250</v>
      </c>
      <c r="L843" s="48">
        <f>K843*J843</f>
        <v>2250</v>
      </c>
      <c r="M843" s="129">
        <v>1</v>
      </c>
      <c r="N843" s="129">
        <v>1</v>
      </c>
      <c r="O843" s="414">
        <v>2250</v>
      </c>
      <c r="P843" s="49">
        <f t="shared" si="26"/>
        <v>2250</v>
      </c>
      <c r="Q843" s="49">
        <f t="shared" si="27"/>
        <v>2250</v>
      </c>
    </row>
    <row r="844" spans="1:17" ht="25" x14ac:dyDescent="0.35">
      <c r="A844" s="11" t="s">
        <v>633</v>
      </c>
      <c r="B844" s="163" t="s">
        <v>339</v>
      </c>
      <c r="C844" s="284"/>
      <c r="D844" s="284"/>
      <c r="E844" s="284"/>
      <c r="F844" s="89" t="s">
        <v>42</v>
      </c>
      <c r="G844" s="89"/>
      <c r="H844" s="108" t="s">
        <v>662</v>
      </c>
      <c r="I844" s="91" t="s">
        <v>175</v>
      </c>
      <c r="J844" s="128">
        <v>1</v>
      </c>
      <c r="K844" s="125">
        <v>2250</v>
      </c>
      <c r="L844" s="48">
        <f>K844*J844</f>
        <v>2250</v>
      </c>
      <c r="M844" s="129">
        <v>1</v>
      </c>
      <c r="N844" s="129">
        <v>1</v>
      </c>
      <c r="O844" s="414">
        <v>2250</v>
      </c>
      <c r="P844" s="49">
        <f t="shared" si="26"/>
        <v>2250</v>
      </c>
      <c r="Q844" s="49">
        <f t="shared" si="27"/>
        <v>2250</v>
      </c>
    </row>
    <row r="845" spans="1:17" ht="25" x14ac:dyDescent="0.35">
      <c r="A845" s="11" t="s">
        <v>633</v>
      </c>
      <c r="B845" s="163" t="s">
        <v>339</v>
      </c>
      <c r="C845" s="284"/>
      <c r="D845" s="284"/>
      <c r="E845" s="284"/>
      <c r="F845" s="89" t="s">
        <v>45</v>
      </c>
      <c r="G845" s="89"/>
      <c r="H845" s="108" t="s">
        <v>663</v>
      </c>
      <c r="I845" s="91" t="s">
        <v>175</v>
      </c>
      <c r="J845" s="128">
        <v>1</v>
      </c>
      <c r="K845" s="125">
        <v>2250</v>
      </c>
      <c r="L845" s="48">
        <f>K845*J845</f>
        <v>2250</v>
      </c>
      <c r="M845" s="129">
        <v>1</v>
      </c>
      <c r="N845" s="129">
        <v>1</v>
      </c>
      <c r="O845" s="414">
        <v>2250</v>
      </c>
      <c r="P845" s="49">
        <f t="shared" si="26"/>
        <v>2250</v>
      </c>
      <c r="Q845" s="49">
        <f t="shared" si="27"/>
        <v>2250</v>
      </c>
    </row>
    <row r="846" spans="1:17" ht="28.75" customHeight="1" x14ac:dyDescent="0.35">
      <c r="A846" s="11" t="s">
        <v>633</v>
      </c>
      <c r="B846" s="163" t="s">
        <v>339</v>
      </c>
      <c r="C846" s="284"/>
      <c r="D846" s="284"/>
      <c r="E846" s="284"/>
      <c r="F846" s="89" t="s">
        <v>48</v>
      </c>
      <c r="G846" s="89"/>
      <c r="H846" s="108" t="s">
        <v>664</v>
      </c>
      <c r="I846" s="91" t="s">
        <v>175</v>
      </c>
      <c r="J846" s="128">
        <v>1</v>
      </c>
      <c r="K846" s="125">
        <v>6650</v>
      </c>
      <c r="L846" s="48">
        <f>K846*J846</f>
        <v>6650</v>
      </c>
      <c r="M846" s="129">
        <v>1</v>
      </c>
      <c r="N846" s="129">
        <v>1</v>
      </c>
      <c r="O846" s="414">
        <v>6650</v>
      </c>
      <c r="P846" s="49">
        <f t="shared" si="26"/>
        <v>6650</v>
      </c>
      <c r="Q846" s="49">
        <f t="shared" si="27"/>
        <v>6650</v>
      </c>
    </row>
    <row r="847" spans="1:17" ht="25" x14ac:dyDescent="0.35">
      <c r="A847" s="11" t="s">
        <v>633</v>
      </c>
      <c r="B847" s="163" t="s">
        <v>339</v>
      </c>
      <c r="C847" s="284"/>
      <c r="D847" s="284"/>
      <c r="E847" s="284"/>
      <c r="F847" s="89" t="s">
        <v>51</v>
      </c>
      <c r="G847" s="89"/>
      <c r="H847" s="108" t="s">
        <v>665</v>
      </c>
      <c r="I847" s="91" t="s">
        <v>175</v>
      </c>
      <c r="J847" s="128">
        <v>1</v>
      </c>
      <c r="K847" s="125">
        <v>6650</v>
      </c>
      <c r="L847" s="48">
        <f>K847*J847</f>
        <v>6650</v>
      </c>
      <c r="M847" s="129">
        <v>1</v>
      </c>
      <c r="N847" s="129">
        <v>1</v>
      </c>
      <c r="O847" s="414">
        <v>6650</v>
      </c>
      <c r="P847" s="49">
        <f t="shared" si="26"/>
        <v>6650</v>
      </c>
      <c r="Q847" s="49">
        <f t="shared" si="27"/>
        <v>6650</v>
      </c>
    </row>
    <row r="848" spans="1:17" ht="25" x14ac:dyDescent="0.35">
      <c r="A848" s="11" t="s">
        <v>633</v>
      </c>
      <c r="B848" s="163" t="s">
        <v>339</v>
      </c>
      <c r="C848" s="284"/>
      <c r="D848" s="284"/>
      <c r="E848" s="284"/>
      <c r="F848" s="89" t="s">
        <v>53</v>
      </c>
      <c r="G848" s="89"/>
      <c r="H848" s="108" t="s">
        <v>666</v>
      </c>
      <c r="I848" s="91" t="s">
        <v>175</v>
      </c>
      <c r="J848" s="128">
        <v>1</v>
      </c>
      <c r="K848" s="125">
        <v>6650</v>
      </c>
      <c r="L848" s="48">
        <f>K848*J848</f>
        <v>6650</v>
      </c>
      <c r="M848" s="129">
        <v>1</v>
      </c>
      <c r="N848" s="129">
        <v>1</v>
      </c>
      <c r="O848" s="414">
        <v>6650</v>
      </c>
      <c r="P848" s="49">
        <f t="shared" si="26"/>
        <v>6650</v>
      </c>
      <c r="Q848" s="49">
        <f t="shared" si="27"/>
        <v>6650</v>
      </c>
    </row>
    <row r="849" spans="1:17" ht="13" x14ac:dyDescent="0.3">
      <c r="A849" s="11" t="s">
        <v>633</v>
      </c>
      <c r="B849" s="163" t="s">
        <v>339</v>
      </c>
      <c r="C849" s="284"/>
      <c r="D849" s="284"/>
      <c r="E849" s="284"/>
      <c r="F849" s="89"/>
      <c r="G849" s="89"/>
      <c r="H849" s="97" t="s">
        <v>353</v>
      </c>
      <c r="I849" s="112"/>
      <c r="J849" s="45"/>
      <c r="K849" s="94"/>
      <c r="L849" s="95"/>
      <c r="M849" s="46"/>
      <c r="N849" s="46"/>
      <c r="O849" s="411"/>
      <c r="P849" s="96">
        <f t="shared" si="26"/>
        <v>0</v>
      </c>
      <c r="Q849" s="96">
        <f t="shared" si="27"/>
        <v>0</v>
      </c>
    </row>
    <row r="850" spans="1:17" ht="50" x14ac:dyDescent="0.35">
      <c r="A850" s="11" t="s">
        <v>633</v>
      </c>
      <c r="B850" s="163" t="s">
        <v>339</v>
      </c>
      <c r="C850" s="284"/>
      <c r="D850" s="284"/>
      <c r="E850" s="284"/>
      <c r="F850" s="89" t="s">
        <v>55</v>
      </c>
      <c r="G850" s="89"/>
      <c r="H850" s="132" t="s">
        <v>354</v>
      </c>
      <c r="I850" s="112" t="s">
        <v>175</v>
      </c>
      <c r="J850" s="45">
        <v>0</v>
      </c>
      <c r="K850" s="94">
        <v>15000</v>
      </c>
      <c r="L850" s="95">
        <f>J850*K850</f>
        <v>0</v>
      </c>
      <c r="M850" s="46">
        <v>0</v>
      </c>
      <c r="N850" s="46">
        <v>0</v>
      </c>
      <c r="O850" s="411">
        <v>15000</v>
      </c>
      <c r="P850" s="96">
        <f t="shared" si="26"/>
        <v>0</v>
      </c>
      <c r="Q850" s="96">
        <f t="shared" si="27"/>
        <v>0</v>
      </c>
    </row>
    <row r="851" spans="1:17" ht="13" x14ac:dyDescent="0.35">
      <c r="A851" s="11" t="s">
        <v>633</v>
      </c>
      <c r="B851" s="163" t="s">
        <v>339</v>
      </c>
      <c r="C851" s="284"/>
      <c r="D851" s="284"/>
      <c r="E851" s="284"/>
      <c r="F851" s="89"/>
      <c r="G851" s="89"/>
      <c r="H851" s="126" t="s">
        <v>355</v>
      </c>
      <c r="I851" s="91"/>
      <c r="J851" s="128"/>
      <c r="K851" s="127"/>
      <c r="L851" s="95"/>
      <c r="M851" s="129"/>
      <c r="N851" s="129"/>
      <c r="O851" s="415"/>
      <c r="P851" s="96">
        <f t="shared" si="26"/>
        <v>0</v>
      </c>
      <c r="Q851" s="96">
        <f t="shared" si="27"/>
        <v>0</v>
      </c>
    </row>
    <row r="852" spans="1:17" ht="26" x14ac:dyDescent="0.35">
      <c r="A852" s="11" t="s">
        <v>633</v>
      </c>
      <c r="B852" s="163" t="s">
        <v>339</v>
      </c>
      <c r="C852" s="284"/>
      <c r="D852" s="284"/>
      <c r="E852" s="284"/>
      <c r="F852" s="89"/>
      <c r="G852" s="89"/>
      <c r="H852" s="126" t="s">
        <v>356</v>
      </c>
      <c r="I852" s="91"/>
      <c r="J852" s="128"/>
      <c r="K852" s="127"/>
      <c r="L852" s="95"/>
      <c r="M852" s="129"/>
      <c r="N852" s="129"/>
      <c r="O852" s="415"/>
      <c r="P852" s="96">
        <f t="shared" si="26"/>
        <v>0</v>
      </c>
      <c r="Q852" s="96">
        <f t="shared" si="27"/>
        <v>0</v>
      </c>
    </row>
    <row r="853" spans="1:17" ht="25" x14ac:dyDescent="0.35">
      <c r="A853" s="11" t="s">
        <v>633</v>
      </c>
      <c r="B853" s="163" t="s">
        <v>339</v>
      </c>
      <c r="C853" s="284"/>
      <c r="D853" s="284"/>
      <c r="E853" s="284"/>
      <c r="F853" s="89" t="s">
        <v>58</v>
      </c>
      <c r="G853" s="89"/>
      <c r="H853" s="108" t="s">
        <v>667</v>
      </c>
      <c r="I853" s="91" t="s">
        <v>175</v>
      </c>
      <c r="J853" s="128">
        <v>2</v>
      </c>
      <c r="K853" s="125">
        <v>8500</v>
      </c>
      <c r="L853" s="48">
        <f>J853*K853</f>
        <v>17000</v>
      </c>
      <c r="M853" s="129">
        <v>2</v>
      </c>
      <c r="N853" s="129">
        <v>2</v>
      </c>
      <c r="O853" s="414">
        <v>8500</v>
      </c>
      <c r="P853" s="49">
        <f t="shared" si="26"/>
        <v>17000</v>
      </c>
      <c r="Q853" s="49">
        <f t="shared" si="27"/>
        <v>17000</v>
      </c>
    </row>
    <row r="854" spans="1:17" ht="25" x14ac:dyDescent="0.35">
      <c r="A854" s="11" t="s">
        <v>633</v>
      </c>
      <c r="B854" s="163" t="s">
        <v>339</v>
      </c>
      <c r="C854" s="284"/>
      <c r="D854" s="284"/>
      <c r="E854" s="284"/>
      <c r="F854" s="89" t="s">
        <v>87</v>
      </c>
      <c r="G854" s="89"/>
      <c r="H854" s="108" t="s">
        <v>668</v>
      </c>
      <c r="I854" s="91" t="s">
        <v>175</v>
      </c>
      <c r="J854" s="128">
        <v>2</v>
      </c>
      <c r="K854" s="125">
        <v>13500</v>
      </c>
      <c r="L854" s="48">
        <f>J854*K854</f>
        <v>27000</v>
      </c>
      <c r="M854" s="129">
        <v>2</v>
      </c>
      <c r="N854" s="129">
        <v>2</v>
      </c>
      <c r="O854" s="414">
        <v>13500</v>
      </c>
      <c r="P854" s="49">
        <f t="shared" si="26"/>
        <v>27000</v>
      </c>
      <c r="Q854" s="49">
        <f t="shared" si="27"/>
        <v>27000</v>
      </c>
    </row>
    <row r="855" spans="1:17" ht="13" x14ac:dyDescent="0.35">
      <c r="A855" s="11" t="s">
        <v>633</v>
      </c>
      <c r="B855" s="163" t="s">
        <v>339</v>
      </c>
      <c r="C855" s="284"/>
      <c r="D855" s="284"/>
      <c r="E855" s="284"/>
      <c r="F855" s="89"/>
      <c r="G855" s="89"/>
      <c r="H855" s="90" t="s">
        <v>669</v>
      </c>
      <c r="I855" s="91"/>
      <c r="J855" s="128"/>
      <c r="K855" s="125"/>
      <c r="L855" s="48"/>
      <c r="M855" s="129"/>
      <c r="N855" s="129"/>
      <c r="O855" s="414"/>
      <c r="P855" s="49">
        <f t="shared" si="26"/>
        <v>0</v>
      </c>
      <c r="Q855" s="49">
        <f t="shared" si="27"/>
        <v>0</v>
      </c>
    </row>
    <row r="856" spans="1:17" ht="39" x14ac:dyDescent="0.35">
      <c r="A856" s="11" t="s">
        <v>633</v>
      </c>
      <c r="B856" s="163" t="s">
        <v>339</v>
      </c>
      <c r="C856" s="284"/>
      <c r="D856" s="284"/>
      <c r="E856" s="284"/>
      <c r="F856" s="89"/>
      <c r="G856" s="89"/>
      <c r="H856" s="90" t="s">
        <v>670</v>
      </c>
      <c r="I856" s="91"/>
      <c r="J856" s="128"/>
      <c r="K856" s="125"/>
      <c r="L856" s="48"/>
      <c r="M856" s="129"/>
      <c r="N856" s="129"/>
      <c r="O856" s="414"/>
      <c r="P856" s="49">
        <f t="shared" si="26"/>
        <v>0</v>
      </c>
      <c r="Q856" s="49">
        <f t="shared" si="27"/>
        <v>0</v>
      </c>
    </row>
    <row r="857" spans="1:17" ht="25" x14ac:dyDescent="0.35">
      <c r="A857" s="11" t="s">
        <v>633</v>
      </c>
      <c r="B857" s="163" t="s">
        <v>339</v>
      </c>
      <c r="C857" s="284"/>
      <c r="D857" s="284"/>
      <c r="E857" s="284"/>
      <c r="F857" s="89" t="s">
        <v>90</v>
      </c>
      <c r="G857" s="89"/>
      <c r="H857" s="108" t="s">
        <v>671</v>
      </c>
      <c r="I857" s="91" t="s">
        <v>175</v>
      </c>
      <c r="J857" s="128">
        <v>1</v>
      </c>
      <c r="K857" s="125">
        <v>25000</v>
      </c>
      <c r="L857" s="48">
        <f>J857*K857</f>
        <v>25000</v>
      </c>
      <c r="M857" s="129">
        <v>1</v>
      </c>
      <c r="N857" s="129">
        <v>1</v>
      </c>
      <c r="O857" s="414">
        <v>25000</v>
      </c>
      <c r="P857" s="49">
        <f t="shared" si="26"/>
        <v>25000</v>
      </c>
      <c r="Q857" s="49">
        <f t="shared" si="27"/>
        <v>25000</v>
      </c>
    </row>
    <row r="858" spans="1:17" ht="13" x14ac:dyDescent="0.35">
      <c r="A858" s="11" t="s">
        <v>633</v>
      </c>
      <c r="B858" s="163" t="s">
        <v>358</v>
      </c>
      <c r="C858" s="284"/>
      <c r="D858" s="284"/>
      <c r="E858" s="284"/>
      <c r="F858" s="11"/>
      <c r="G858" s="11"/>
      <c r="H858" s="43" t="s">
        <v>634</v>
      </c>
      <c r="I858" s="44"/>
      <c r="J858" s="117"/>
      <c r="K858" s="70"/>
      <c r="L858" s="48"/>
      <c r="M858" s="118"/>
      <c r="N858" s="118"/>
      <c r="O858" s="409"/>
      <c r="P858" s="49">
        <f t="shared" si="26"/>
        <v>0</v>
      </c>
      <c r="Q858" s="49">
        <f t="shared" si="27"/>
        <v>0</v>
      </c>
    </row>
    <row r="859" spans="1:17" ht="13" x14ac:dyDescent="0.35">
      <c r="A859" s="11" t="s">
        <v>633</v>
      </c>
      <c r="B859" s="163" t="s">
        <v>358</v>
      </c>
      <c r="C859" s="284"/>
      <c r="D859" s="284"/>
      <c r="E859" s="284"/>
      <c r="F859" s="11"/>
      <c r="G859" s="11"/>
      <c r="H859" s="43" t="s">
        <v>635</v>
      </c>
      <c r="I859" s="44"/>
      <c r="J859" s="117"/>
      <c r="K859" s="70"/>
      <c r="L859" s="48"/>
      <c r="M859" s="118"/>
      <c r="N859" s="118"/>
      <c r="O859" s="409"/>
      <c r="P859" s="49">
        <f t="shared" si="26"/>
        <v>0</v>
      </c>
      <c r="Q859" s="49">
        <f t="shared" si="27"/>
        <v>0</v>
      </c>
    </row>
    <row r="860" spans="1:17" ht="13" x14ac:dyDescent="0.35">
      <c r="A860" s="11" t="s">
        <v>633</v>
      </c>
      <c r="B860" s="163" t="s">
        <v>358</v>
      </c>
      <c r="C860" s="284"/>
      <c r="D860" s="284"/>
      <c r="E860" s="284"/>
      <c r="F860" s="11"/>
      <c r="G860" s="11"/>
      <c r="H860" s="43" t="s">
        <v>359</v>
      </c>
      <c r="I860" s="44"/>
      <c r="J860" s="117"/>
      <c r="K860" s="70"/>
      <c r="L860" s="48"/>
      <c r="M860" s="118"/>
      <c r="N860" s="118"/>
      <c r="O860" s="409"/>
      <c r="P860" s="49">
        <f t="shared" si="26"/>
        <v>0</v>
      </c>
      <c r="Q860" s="49">
        <f t="shared" si="27"/>
        <v>0</v>
      </c>
    </row>
    <row r="861" spans="1:17" ht="13" x14ac:dyDescent="0.35">
      <c r="A861" s="11" t="s">
        <v>633</v>
      </c>
      <c r="B861" s="163" t="s">
        <v>358</v>
      </c>
      <c r="C861" s="284"/>
      <c r="D861" s="284"/>
      <c r="E861" s="284"/>
      <c r="F861" s="11"/>
      <c r="G861" s="11"/>
      <c r="H861" s="43" t="s">
        <v>360</v>
      </c>
      <c r="I861" s="44"/>
      <c r="J861" s="117"/>
      <c r="K861" s="70"/>
      <c r="L861" s="48"/>
      <c r="M861" s="118"/>
      <c r="N861" s="118"/>
      <c r="O861" s="409"/>
      <c r="P861" s="49">
        <f t="shared" si="26"/>
        <v>0</v>
      </c>
      <c r="Q861" s="49">
        <f t="shared" si="27"/>
        <v>0</v>
      </c>
    </row>
    <row r="862" spans="1:17" ht="13" x14ac:dyDescent="0.35">
      <c r="A862" s="11" t="s">
        <v>633</v>
      </c>
      <c r="B862" s="163" t="s">
        <v>358</v>
      </c>
      <c r="C862" s="284"/>
      <c r="D862" s="284"/>
      <c r="E862" s="284"/>
      <c r="F862" s="50"/>
      <c r="G862" s="50"/>
      <c r="H862" s="57" t="s">
        <v>100</v>
      </c>
      <c r="I862" s="51"/>
      <c r="J862" s="72"/>
      <c r="K862" s="133"/>
      <c r="L862" s="55"/>
      <c r="M862" s="73"/>
      <c r="N862" s="73"/>
      <c r="O862" s="416"/>
      <c r="P862" s="56">
        <f t="shared" si="26"/>
        <v>0</v>
      </c>
      <c r="Q862" s="56">
        <f t="shared" si="27"/>
        <v>0</v>
      </c>
    </row>
    <row r="863" spans="1:17" ht="13" x14ac:dyDescent="0.35">
      <c r="A863" s="11" t="s">
        <v>633</v>
      </c>
      <c r="B863" s="163" t="s">
        <v>358</v>
      </c>
      <c r="C863" s="284"/>
      <c r="D863" s="284"/>
      <c r="E863" s="284"/>
      <c r="F863" s="50"/>
      <c r="G863" s="50"/>
      <c r="H863" s="60" t="s">
        <v>101</v>
      </c>
      <c r="I863" s="51"/>
      <c r="J863" s="72"/>
      <c r="K863" s="133"/>
      <c r="L863" s="55"/>
      <c r="M863" s="73"/>
      <c r="N863" s="73"/>
      <c r="O863" s="416"/>
      <c r="P863" s="56">
        <f t="shared" si="26"/>
        <v>0</v>
      </c>
      <c r="Q863" s="56">
        <f t="shared" si="27"/>
        <v>0</v>
      </c>
    </row>
    <row r="864" spans="1:17" ht="13" x14ac:dyDescent="0.35">
      <c r="A864" s="11" t="s">
        <v>633</v>
      </c>
      <c r="B864" s="163" t="s">
        <v>358</v>
      </c>
      <c r="C864" s="284"/>
      <c r="D864" s="284"/>
      <c r="E864" s="284"/>
      <c r="F864" s="11"/>
      <c r="G864" s="134"/>
      <c r="H864" s="57" t="s">
        <v>361</v>
      </c>
      <c r="I864" s="44"/>
      <c r="J864" s="117"/>
      <c r="K864" s="70"/>
      <c r="L864" s="48"/>
      <c r="M864" s="118"/>
      <c r="N864" s="118"/>
      <c r="O864" s="409"/>
      <c r="P864" s="49">
        <f t="shared" si="26"/>
        <v>0</v>
      </c>
      <c r="Q864" s="49">
        <f t="shared" si="27"/>
        <v>0</v>
      </c>
    </row>
    <row r="865" spans="1:17" ht="13" x14ac:dyDescent="0.35">
      <c r="A865" s="11" t="s">
        <v>633</v>
      </c>
      <c r="B865" s="163" t="s">
        <v>358</v>
      </c>
      <c r="C865" s="284"/>
      <c r="D865" s="284"/>
      <c r="E865" s="284"/>
      <c r="F865" s="11"/>
      <c r="G865" s="134"/>
      <c r="H865" s="57" t="s">
        <v>362</v>
      </c>
      <c r="I865" s="44"/>
      <c r="J865" s="117"/>
      <c r="K865" s="70"/>
      <c r="L865" s="48"/>
      <c r="M865" s="118"/>
      <c r="N865" s="118"/>
      <c r="O865" s="409"/>
      <c r="P865" s="49">
        <f t="shared" si="26"/>
        <v>0</v>
      </c>
      <c r="Q865" s="49">
        <f t="shared" si="27"/>
        <v>0</v>
      </c>
    </row>
    <row r="866" spans="1:17" ht="14.5" x14ac:dyDescent="0.35">
      <c r="A866" s="11" t="s">
        <v>633</v>
      </c>
      <c r="B866" s="163" t="s">
        <v>358</v>
      </c>
      <c r="C866" s="284"/>
      <c r="D866" s="284"/>
      <c r="E866" s="284"/>
      <c r="F866" s="11" t="s">
        <v>20</v>
      </c>
      <c r="G866" s="134"/>
      <c r="H866" s="60" t="s">
        <v>363</v>
      </c>
      <c r="I866" s="44" t="s">
        <v>110</v>
      </c>
      <c r="J866" s="135">
        <v>295</v>
      </c>
      <c r="K866" s="70">
        <v>155</v>
      </c>
      <c r="L866" s="48">
        <f>J866*K866</f>
        <v>45725</v>
      </c>
      <c r="M866" s="136">
        <v>295</v>
      </c>
      <c r="N866" s="136">
        <v>295</v>
      </c>
      <c r="O866" s="409">
        <v>155</v>
      </c>
      <c r="P866" s="49">
        <f t="shared" si="26"/>
        <v>45725</v>
      </c>
      <c r="Q866" s="49">
        <f t="shared" si="27"/>
        <v>45725</v>
      </c>
    </row>
    <row r="867" spans="1:17" ht="13" x14ac:dyDescent="0.35">
      <c r="A867" s="11" t="s">
        <v>633</v>
      </c>
      <c r="B867" s="163" t="s">
        <v>358</v>
      </c>
      <c r="C867" s="284"/>
      <c r="D867" s="284"/>
      <c r="E867" s="284"/>
      <c r="F867" s="11"/>
      <c r="G867" s="11"/>
      <c r="H867" s="57" t="s">
        <v>364</v>
      </c>
      <c r="I867" s="44"/>
      <c r="J867" s="117"/>
      <c r="K867" s="70"/>
      <c r="L867" s="48"/>
      <c r="M867" s="118"/>
      <c r="N867" s="118"/>
      <c r="O867" s="409"/>
      <c r="P867" s="49">
        <f t="shared" si="26"/>
        <v>0</v>
      </c>
      <c r="Q867" s="49">
        <f t="shared" si="27"/>
        <v>0</v>
      </c>
    </row>
    <row r="868" spans="1:17" ht="26" x14ac:dyDescent="0.35">
      <c r="A868" s="11" t="s">
        <v>633</v>
      </c>
      <c r="B868" s="163" t="s">
        <v>358</v>
      </c>
      <c r="C868" s="284"/>
      <c r="D868" s="284"/>
      <c r="E868" s="284"/>
      <c r="F868" s="11"/>
      <c r="G868" s="11"/>
      <c r="H868" s="57" t="s">
        <v>365</v>
      </c>
      <c r="I868" s="44"/>
      <c r="J868" s="117"/>
      <c r="K868" s="70"/>
      <c r="L868" s="48"/>
      <c r="M868" s="118"/>
      <c r="N868" s="118"/>
      <c r="O868" s="409"/>
      <c r="P868" s="49">
        <f t="shared" si="26"/>
        <v>0</v>
      </c>
      <c r="Q868" s="49">
        <f t="shared" si="27"/>
        <v>0</v>
      </c>
    </row>
    <row r="869" spans="1:17" ht="14.5" x14ac:dyDescent="0.35">
      <c r="A869" s="11" t="s">
        <v>633</v>
      </c>
      <c r="B869" s="163" t="s">
        <v>358</v>
      </c>
      <c r="C869" s="284"/>
      <c r="D869" s="284"/>
      <c r="E869" s="284"/>
      <c r="F869" s="11" t="s">
        <v>26</v>
      </c>
      <c r="G869" s="11"/>
      <c r="H869" s="60" t="s">
        <v>366</v>
      </c>
      <c r="I869" s="44" t="s">
        <v>110</v>
      </c>
      <c r="J869" s="135">
        <v>702</v>
      </c>
      <c r="K869" s="70">
        <v>95</v>
      </c>
      <c r="L869" s="48">
        <f>J869*K869</f>
        <v>66690</v>
      </c>
      <c r="M869" s="136">
        <v>702</v>
      </c>
      <c r="N869" s="136">
        <v>702</v>
      </c>
      <c r="O869" s="409">
        <v>95</v>
      </c>
      <c r="P869" s="49">
        <f t="shared" si="26"/>
        <v>66690</v>
      </c>
      <c r="Q869" s="49">
        <f t="shared" si="27"/>
        <v>66690</v>
      </c>
    </row>
    <row r="870" spans="1:17" ht="13" x14ac:dyDescent="0.35">
      <c r="A870" s="11" t="s">
        <v>633</v>
      </c>
      <c r="B870" s="163" t="s">
        <v>369</v>
      </c>
      <c r="C870" s="284"/>
      <c r="D870" s="284"/>
      <c r="E870" s="284"/>
      <c r="F870" s="11"/>
      <c r="G870" s="11"/>
      <c r="H870" s="43" t="s">
        <v>634</v>
      </c>
      <c r="I870" s="44"/>
      <c r="J870" s="116"/>
      <c r="K870" s="192"/>
      <c r="L870" s="48"/>
      <c r="M870" s="46"/>
      <c r="N870" s="46"/>
      <c r="O870" s="407"/>
      <c r="P870" s="49">
        <f t="shared" si="26"/>
        <v>0</v>
      </c>
      <c r="Q870" s="49">
        <f t="shared" si="27"/>
        <v>0</v>
      </c>
    </row>
    <row r="871" spans="1:17" ht="13" x14ac:dyDescent="0.35">
      <c r="A871" s="11" t="s">
        <v>633</v>
      </c>
      <c r="B871" s="163" t="s">
        <v>369</v>
      </c>
      <c r="C871" s="284"/>
      <c r="D871" s="284"/>
      <c r="E871" s="284"/>
      <c r="F871" s="11"/>
      <c r="G871" s="11"/>
      <c r="H871" s="43" t="s">
        <v>635</v>
      </c>
      <c r="I871" s="44"/>
      <c r="J871" s="116"/>
      <c r="K871" s="192"/>
      <c r="L871" s="48"/>
      <c r="M871" s="46"/>
      <c r="N871" s="46"/>
      <c r="O871" s="407"/>
      <c r="P871" s="49">
        <f t="shared" si="26"/>
        <v>0</v>
      </c>
      <c r="Q871" s="49">
        <f t="shared" si="27"/>
        <v>0</v>
      </c>
    </row>
    <row r="872" spans="1:17" ht="13" x14ac:dyDescent="0.35">
      <c r="A872" s="11" t="s">
        <v>633</v>
      </c>
      <c r="B872" s="163" t="s">
        <v>369</v>
      </c>
      <c r="C872" s="284"/>
      <c r="D872" s="284"/>
      <c r="E872" s="284"/>
      <c r="F872" s="11"/>
      <c r="G872" s="11"/>
      <c r="H872" s="43" t="s">
        <v>370</v>
      </c>
      <c r="I872" s="44"/>
      <c r="J872" s="116"/>
      <c r="K872" s="192"/>
      <c r="L872" s="48"/>
      <c r="M872" s="46"/>
      <c r="N872" s="46"/>
      <c r="O872" s="407"/>
      <c r="P872" s="49">
        <f t="shared" si="26"/>
        <v>0</v>
      </c>
      <c r="Q872" s="49">
        <f t="shared" si="27"/>
        <v>0</v>
      </c>
    </row>
    <row r="873" spans="1:17" ht="13" x14ac:dyDescent="0.35">
      <c r="A873" s="11" t="s">
        <v>633</v>
      </c>
      <c r="B873" s="163" t="s">
        <v>369</v>
      </c>
      <c r="C873" s="284"/>
      <c r="D873" s="284"/>
      <c r="E873" s="284"/>
      <c r="F873" s="11"/>
      <c r="G873" s="11"/>
      <c r="H873" s="43" t="s">
        <v>371</v>
      </c>
      <c r="I873" s="44"/>
      <c r="J873" s="116"/>
      <c r="K873" s="192"/>
      <c r="L873" s="48"/>
      <c r="M873" s="46"/>
      <c r="N873" s="46"/>
      <c r="O873" s="407"/>
      <c r="P873" s="49">
        <f t="shared" si="26"/>
        <v>0</v>
      </c>
      <c r="Q873" s="49">
        <f t="shared" si="27"/>
        <v>0</v>
      </c>
    </row>
    <row r="874" spans="1:17" ht="13" x14ac:dyDescent="0.35">
      <c r="A874" s="11" t="s">
        <v>633</v>
      </c>
      <c r="B874" s="163" t="s">
        <v>369</v>
      </c>
      <c r="C874" s="284"/>
      <c r="D874" s="284"/>
      <c r="E874" s="284"/>
      <c r="F874" s="11"/>
      <c r="G874" s="11"/>
      <c r="H874" s="57" t="s">
        <v>100</v>
      </c>
      <c r="I874" s="44"/>
      <c r="J874" s="116"/>
      <c r="K874" s="192"/>
      <c r="L874" s="48"/>
      <c r="M874" s="46"/>
      <c r="N874" s="46"/>
      <c r="O874" s="407"/>
      <c r="P874" s="49">
        <f t="shared" si="26"/>
        <v>0</v>
      </c>
      <c r="Q874" s="49">
        <f t="shared" si="27"/>
        <v>0</v>
      </c>
    </row>
    <row r="875" spans="1:17" x14ac:dyDescent="0.35">
      <c r="A875" s="11" t="s">
        <v>633</v>
      </c>
      <c r="B875" s="163" t="s">
        <v>369</v>
      </c>
      <c r="C875" s="284"/>
      <c r="D875" s="284"/>
      <c r="E875" s="284"/>
      <c r="F875" s="11"/>
      <c r="G875" s="11"/>
      <c r="H875" s="60" t="s">
        <v>101</v>
      </c>
      <c r="I875" s="44"/>
      <c r="J875" s="116"/>
      <c r="K875" s="192"/>
      <c r="L875" s="48"/>
      <c r="M875" s="46"/>
      <c r="N875" s="46"/>
      <c r="O875" s="407"/>
      <c r="P875" s="49">
        <f t="shared" si="26"/>
        <v>0</v>
      </c>
      <c r="Q875" s="49">
        <f t="shared" si="27"/>
        <v>0</v>
      </c>
    </row>
    <row r="876" spans="1:17" ht="13" x14ac:dyDescent="0.35">
      <c r="A876" s="11" t="s">
        <v>633</v>
      </c>
      <c r="B876" s="163" t="s">
        <v>369</v>
      </c>
      <c r="C876" s="284"/>
      <c r="D876" s="284"/>
      <c r="E876" s="284"/>
      <c r="F876" s="11"/>
      <c r="G876" s="11"/>
      <c r="H876" s="57" t="s">
        <v>333</v>
      </c>
      <c r="I876" s="44"/>
      <c r="J876" s="116"/>
      <c r="K876" s="192"/>
      <c r="L876" s="48"/>
      <c r="M876" s="46"/>
      <c r="N876" s="46"/>
      <c r="O876" s="407"/>
      <c r="P876" s="49">
        <f t="shared" si="26"/>
        <v>0</v>
      </c>
      <c r="Q876" s="49">
        <f t="shared" si="27"/>
        <v>0</v>
      </c>
    </row>
    <row r="877" spans="1:17" x14ac:dyDescent="0.35">
      <c r="A877" s="11" t="s">
        <v>633</v>
      </c>
      <c r="B877" s="163" t="s">
        <v>369</v>
      </c>
      <c r="C877" s="284"/>
      <c r="D877" s="284"/>
      <c r="E877" s="284"/>
      <c r="F877" s="11"/>
      <c r="G877" s="11"/>
      <c r="H877" s="62" t="s">
        <v>372</v>
      </c>
      <c r="I877" s="44"/>
      <c r="J877" s="116"/>
      <c r="K877" s="192"/>
      <c r="L877" s="48"/>
      <c r="M877" s="46"/>
      <c r="N877" s="46"/>
      <c r="O877" s="407"/>
      <c r="P877" s="49">
        <f t="shared" si="26"/>
        <v>0</v>
      </c>
      <c r="Q877" s="49">
        <f t="shared" si="27"/>
        <v>0</v>
      </c>
    </row>
    <row r="878" spans="1:17" ht="25" x14ac:dyDescent="0.35">
      <c r="A878" s="11" t="s">
        <v>633</v>
      </c>
      <c r="B878" s="163" t="s">
        <v>369</v>
      </c>
      <c r="C878" s="284"/>
      <c r="D878" s="284"/>
      <c r="E878" s="284"/>
      <c r="F878" s="11"/>
      <c r="G878" s="11"/>
      <c r="H878" s="60" t="s">
        <v>373</v>
      </c>
      <c r="I878" s="44"/>
      <c r="J878" s="116"/>
      <c r="K878" s="192"/>
      <c r="L878" s="48"/>
      <c r="M878" s="46"/>
      <c r="N878" s="46"/>
      <c r="O878" s="407"/>
      <c r="P878" s="49">
        <f t="shared" si="26"/>
        <v>0</v>
      </c>
      <c r="Q878" s="49">
        <f t="shared" si="27"/>
        <v>0</v>
      </c>
    </row>
    <row r="879" spans="1:17" x14ac:dyDescent="0.35">
      <c r="A879" s="11" t="s">
        <v>633</v>
      </c>
      <c r="B879" s="163" t="s">
        <v>369</v>
      </c>
      <c r="C879" s="284"/>
      <c r="D879" s="284"/>
      <c r="E879" s="284"/>
      <c r="F879" s="11"/>
      <c r="G879" s="11"/>
      <c r="H879" s="62" t="s">
        <v>374</v>
      </c>
      <c r="I879" s="44"/>
      <c r="J879" s="116"/>
      <c r="K879" s="192"/>
      <c r="L879" s="48"/>
      <c r="M879" s="46"/>
      <c r="N879" s="46"/>
      <c r="O879" s="407"/>
      <c r="P879" s="49">
        <f t="shared" si="26"/>
        <v>0</v>
      </c>
      <c r="Q879" s="49">
        <f t="shared" si="27"/>
        <v>0</v>
      </c>
    </row>
    <row r="880" spans="1:17" ht="75" x14ac:dyDescent="0.35">
      <c r="A880" s="11" t="s">
        <v>633</v>
      </c>
      <c r="B880" s="163" t="s">
        <v>369</v>
      </c>
      <c r="C880" s="284"/>
      <c r="D880" s="284"/>
      <c r="E880" s="284"/>
      <c r="F880" s="11"/>
      <c r="G880" s="11"/>
      <c r="H880" s="60" t="s">
        <v>375</v>
      </c>
      <c r="I880" s="44"/>
      <c r="J880" s="116"/>
      <c r="K880" s="192"/>
      <c r="L880" s="48"/>
      <c r="M880" s="46"/>
      <c r="N880" s="46"/>
      <c r="O880" s="407"/>
      <c r="P880" s="49">
        <f t="shared" si="26"/>
        <v>0</v>
      </c>
      <c r="Q880" s="49">
        <f t="shared" si="27"/>
        <v>0</v>
      </c>
    </row>
    <row r="881" spans="1:17" x14ac:dyDescent="0.35">
      <c r="A881" s="11" t="s">
        <v>633</v>
      </c>
      <c r="B881" s="163" t="s">
        <v>369</v>
      </c>
      <c r="C881" s="284"/>
      <c r="D881" s="284"/>
      <c r="E881" s="284"/>
      <c r="F881" s="11"/>
      <c r="G881" s="11"/>
      <c r="H881" s="62" t="s">
        <v>376</v>
      </c>
      <c r="I881" s="44"/>
      <c r="J881" s="116"/>
      <c r="K881" s="192"/>
      <c r="L881" s="48"/>
      <c r="M881" s="46"/>
      <c r="N881" s="46"/>
      <c r="O881" s="407"/>
      <c r="P881" s="49">
        <f t="shared" si="26"/>
        <v>0</v>
      </c>
      <c r="Q881" s="49">
        <f t="shared" si="27"/>
        <v>0</v>
      </c>
    </row>
    <row r="882" spans="1:17" ht="25" x14ac:dyDescent="0.35">
      <c r="A882" s="11" t="s">
        <v>633</v>
      </c>
      <c r="B882" s="163" t="s">
        <v>369</v>
      </c>
      <c r="C882" s="284"/>
      <c r="D882" s="284"/>
      <c r="E882" s="284"/>
      <c r="F882" s="11"/>
      <c r="G882" s="11"/>
      <c r="H882" s="60" t="s">
        <v>377</v>
      </c>
      <c r="I882" s="44"/>
      <c r="J882" s="116"/>
      <c r="K882" s="192"/>
      <c r="L882" s="48"/>
      <c r="M882" s="46"/>
      <c r="N882" s="46"/>
      <c r="O882" s="407"/>
      <c r="P882" s="49">
        <f t="shared" si="26"/>
        <v>0</v>
      </c>
      <c r="Q882" s="49">
        <f t="shared" si="27"/>
        <v>0</v>
      </c>
    </row>
    <row r="883" spans="1:17" x14ac:dyDescent="0.35">
      <c r="A883" s="11" t="s">
        <v>633</v>
      </c>
      <c r="B883" s="163" t="s">
        <v>369</v>
      </c>
      <c r="C883" s="284"/>
      <c r="D883" s="284"/>
      <c r="E883" s="284"/>
      <c r="F883" s="11"/>
      <c r="G883" s="11"/>
      <c r="H883" s="62" t="s">
        <v>378</v>
      </c>
      <c r="I883" s="44"/>
      <c r="J883" s="116"/>
      <c r="K883" s="192"/>
      <c r="L883" s="48"/>
      <c r="M883" s="46"/>
      <c r="N883" s="46"/>
      <c r="O883" s="407"/>
      <c r="P883" s="49">
        <f t="shared" si="26"/>
        <v>0</v>
      </c>
      <c r="Q883" s="49">
        <f t="shared" si="27"/>
        <v>0</v>
      </c>
    </row>
    <row r="884" spans="1:17" ht="37.5" x14ac:dyDescent="0.35">
      <c r="A884" s="11" t="s">
        <v>633</v>
      </c>
      <c r="B884" s="163" t="s">
        <v>369</v>
      </c>
      <c r="C884" s="284"/>
      <c r="D884" s="284"/>
      <c r="E884" s="284"/>
      <c r="F884" s="11"/>
      <c r="G884" s="11"/>
      <c r="H884" s="60" t="s">
        <v>379</v>
      </c>
      <c r="I884" s="44"/>
      <c r="J884" s="116"/>
      <c r="K884" s="192"/>
      <c r="L884" s="48"/>
      <c r="M884" s="46"/>
      <c r="N884" s="46"/>
      <c r="O884" s="407"/>
      <c r="P884" s="49">
        <f t="shared" si="26"/>
        <v>0</v>
      </c>
      <c r="Q884" s="49">
        <f t="shared" si="27"/>
        <v>0</v>
      </c>
    </row>
    <row r="885" spans="1:17" x14ac:dyDescent="0.35">
      <c r="A885" s="11" t="s">
        <v>633</v>
      </c>
      <c r="B885" s="163" t="s">
        <v>369</v>
      </c>
      <c r="C885" s="284"/>
      <c r="D885" s="284"/>
      <c r="E885" s="284"/>
      <c r="F885" s="11"/>
      <c r="G885" s="11"/>
      <c r="H885" s="62" t="s">
        <v>380</v>
      </c>
      <c r="I885" s="44"/>
      <c r="J885" s="116"/>
      <c r="K885" s="192"/>
      <c r="L885" s="48"/>
      <c r="M885" s="46"/>
      <c r="N885" s="46"/>
      <c r="O885" s="407"/>
      <c r="P885" s="49">
        <f t="shared" si="26"/>
        <v>0</v>
      </c>
      <c r="Q885" s="49">
        <f t="shared" si="27"/>
        <v>0</v>
      </c>
    </row>
    <row r="886" spans="1:17" ht="62.5" x14ac:dyDescent="0.35">
      <c r="A886" s="11" t="s">
        <v>633</v>
      </c>
      <c r="B886" s="163" t="s">
        <v>369</v>
      </c>
      <c r="C886" s="284"/>
      <c r="D886" s="284"/>
      <c r="E886" s="284"/>
      <c r="F886" s="11"/>
      <c r="G886" s="11"/>
      <c r="H886" s="60" t="s">
        <v>381</v>
      </c>
      <c r="I886" s="44"/>
      <c r="J886" s="116"/>
      <c r="K886" s="192"/>
      <c r="L886" s="48"/>
      <c r="M886" s="46"/>
      <c r="N886" s="46"/>
      <c r="O886" s="407"/>
      <c r="P886" s="49">
        <f t="shared" si="26"/>
        <v>0</v>
      </c>
      <c r="Q886" s="49">
        <f t="shared" si="27"/>
        <v>0</v>
      </c>
    </row>
    <row r="887" spans="1:17" x14ac:dyDescent="0.35">
      <c r="A887" s="11" t="s">
        <v>633</v>
      </c>
      <c r="B887" s="163" t="s">
        <v>369</v>
      </c>
      <c r="C887" s="284"/>
      <c r="D887" s="284"/>
      <c r="E887" s="284"/>
      <c r="F887" s="11"/>
      <c r="G887" s="11"/>
      <c r="H887" s="62" t="s">
        <v>382</v>
      </c>
      <c r="I887" s="44"/>
      <c r="J887" s="116"/>
      <c r="K887" s="192"/>
      <c r="L887" s="48"/>
      <c r="M887" s="46"/>
      <c r="N887" s="46"/>
      <c r="O887" s="407"/>
      <c r="P887" s="49">
        <f t="shared" si="26"/>
        <v>0</v>
      </c>
      <c r="Q887" s="49">
        <f t="shared" si="27"/>
        <v>0</v>
      </c>
    </row>
    <row r="888" spans="1:17" ht="75" x14ac:dyDescent="0.35">
      <c r="A888" s="11" t="s">
        <v>633</v>
      </c>
      <c r="B888" s="163" t="s">
        <v>369</v>
      </c>
      <c r="C888" s="284"/>
      <c r="D888" s="284"/>
      <c r="E888" s="284"/>
      <c r="F888" s="11"/>
      <c r="G888" s="11"/>
      <c r="H888" s="60" t="s">
        <v>383</v>
      </c>
      <c r="I888" s="44"/>
      <c r="J888" s="116"/>
      <c r="K888" s="192"/>
      <c r="L888" s="48"/>
      <c r="M888" s="46"/>
      <c r="N888" s="46"/>
      <c r="O888" s="407"/>
      <c r="P888" s="49">
        <f t="shared" si="26"/>
        <v>0</v>
      </c>
      <c r="Q888" s="49">
        <f t="shared" si="27"/>
        <v>0</v>
      </c>
    </row>
    <row r="889" spans="1:17" x14ac:dyDescent="0.35">
      <c r="A889" s="11" t="s">
        <v>633</v>
      </c>
      <c r="B889" s="163" t="s">
        <v>369</v>
      </c>
      <c r="C889" s="284"/>
      <c r="D889" s="284"/>
      <c r="E889" s="284"/>
      <c r="F889" s="11"/>
      <c r="G889" s="11"/>
      <c r="H889" s="62" t="s">
        <v>384</v>
      </c>
      <c r="I889" s="44"/>
      <c r="J889" s="116"/>
      <c r="K889" s="192"/>
      <c r="L889" s="48"/>
      <c r="M889" s="46"/>
      <c r="N889" s="46"/>
      <c r="O889" s="407"/>
      <c r="P889" s="49">
        <f t="shared" si="26"/>
        <v>0</v>
      </c>
      <c r="Q889" s="49">
        <f t="shared" si="27"/>
        <v>0</v>
      </c>
    </row>
    <row r="890" spans="1:17" ht="50" x14ac:dyDescent="0.35">
      <c r="A890" s="11" t="s">
        <v>633</v>
      </c>
      <c r="B890" s="163" t="s">
        <v>369</v>
      </c>
      <c r="C890" s="284"/>
      <c r="D890" s="284"/>
      <c r="E890" s="284"/>
      <c r="F890" s="11"/>
      <c r="G890" s="11"/>
      <c r="H890" s="60" t="s">
        <v>385</v>
      </c>
      <c r="I890" s="44"/>
      <c r="J890" s="116"/>
      <c r="K890" s="192"/>
      <c r="L890" s="48"/>
      <c r="M890" s="46"/>
      <c r="N890" s="46"/>
      <c r="O890" s="407"/>
      <c r="P890" s="49">
        <f t="shared" si="26"/>
        <v>0</v>
      </c>
      <c r="Q890" s="49">
        <f t="shared" si="27"/>
        <v>0</v>
      </c>
    </row>
    <row r="891" spans="1:17" x14ac:dyDescent="0.35">
      <c r="A891" s="11" t="s">
        <v>633</v>
      </c>
      <c r="B891" s="163" t="s">
        <v>369</v>
      </c>
      <c r="C891" s="284"/>
      <c r="D891" s="284"/>
      <c r="E891" s="284"/>
      <c r="F891" s="11"/>
      <c r="G891" s="11"/>
      <c r="H891" s="62" t="s">
        <v>386</v>
      </c>
      <c r="I891" s="44"/>
      <c r="J891" s="116"/>
      <c r="K891" s="192"/>
      <c r="L891" s="48"/>
      <c r="M891" s="46"/>
      <c r="N891" s="46"/>
      <c r="O891" s="407"/>
      <c r="P891" s="49">
        <f t="shared" si="26"/>
        <v>0</v>
      </c>
      <c r="Q891" s="49">
        <f t="shared" si="27"/>
        <v>0</v>
      </c>
    </row>
    <row r="892" spans="1:17" ht="37.5" x14ac:dyDescent="0.35">
      <c r="A892" s="11" t="s">
        <v>633</v>
      </c>
      <c r="B892" s="163" t="s">
        <v>369</v>
      </c>
      <c r="C892" s="284"/>
      <c r="D892" s="284"/>
      <c r="E892" s="284"/>
      <c r="F892" s="11"/>
      <c r="G892" s="11"/>
      <c r="H892" s="60" t="s">
        <v>387</v>
      </c>
      <c r="I892" s="44"/>
      <c r="J892" s="116"/>
      <c r="K892" s="192"/>
      <c r="L892" s="48"/>
      <c r="M892" s="46"/>
      <c r="N892" s="46"/>
      <c r="O892" s="407"/>
      <c r="P892" s="49">
        <f t="shared" si="26"/>
        <v>0</v>
      </c>
      <c r="Q892" s="49">
        <f t="shared" si="27"/>
        <v>0</v>
      </c>
    </row>
    <row r="893" spans="1:17" x14ac:dyDescent="0.35">
      <c r="A893" s="11" t="s">
        <v>633</v>
      </c>
      <c r="B893" s="163" t="s">
        <v>369</v>
      </c>
      <c r="C893" s="284"/>
      <c r="D893" s="284"/>
      <c r="E893" s="284"/>
      <c r="F893" s="11"/>
      <c r="G893" s="11"/>
      <c r="H893" s="62" t="s">
        <v>388</v>
      </c>
      <c r="I893" s="44"/>
      <c r="J893" s="116"/>
      <c r="K893" s="192"/>
      <c r="L893" s="48"/>
      <c r="M893" s="46"/>
      <c r="N893" s="46"/>
      <c r="O893" s="407"/>
      <c r="P893" s="49">
        <f t="shared" si="26"/>
        <v>0</v>
      </c>
      <c r="Q893" s="49">
        <f t="shared" si="27"/>
        <v>0</v>
      </c>
    </row>
    <row r="894" spans="1:17" ht="37.5" x14ac:dyDescent="0.35">
      <c r="A894" s="11" t="s">
        <v>633</v>
      </c>
      <c r="B894" s="163" t="s">
        <v>369</v>
      </c>
      <c r="C894" s="284"/>
      <c r="D894" s="284"/>
      <c r="E894" s="284"/>
      <c r="F894" s="11"/>
      <c r="G894" s="11"/>
      <c r="H894" s="60" t="s">
        <v>389</v>
      </c>
      <c r="I894" s="44"/>
      <c r="J894" s="116"/>
      <c r="K894" s="192"/>
      <c r="L894" s="48"/>
      <c r="M894" s="46"/>
      <c r="N894" s="46"/>
      <c r="O894" s="407"/>
      <c r="P894" s="49">
        <f t="shared" si="26"/>
        <v>0</v>
      </c>
      <c r="Q894" s="49">
        <f t="shared" si="27"/>
        <v>0</v>
      </c>
    </row>
    <row r="895" spans="1:17" x14ac:dyDescent="0.35">
      <c r="A895" s="11" t="s">
        <v>633</v>
      </c>
      <c r="B895" s="163" t="s">
        <v>369</v>
      </c>
      <c r="C895" s="284"/>
      <c r="D895" s="284"/>
      <c r="E895" s="284"/>
      <c r="F895" s="11"/>
      <c r="G895" s="11"/>
      <c r="H895" s="62" t="s">
        <v>390</v>
      </c>
      <c r="I895" s="44"/>
      <c r="J895" s="116"/>
      <c r="K895" s="192"/>
      <c r="L895" s="48"/>
      <c r="M895" s="46"/>
      <c r="N895" s="46"/>
      <c r="O895" s="407"/>
      <c r="P895" s="49">
        <f t="shared" si="26"/>
        <v>0</v>
      </c>
      <c r="Q895" s="49">
        <f t="shared" si="27"/>
        <v>0</v>
      </c>
    </row>
    <row r="896" spans="1:17" x14ac:dyDescent="0.35">
      <c r="A896" s="11" t="s">
        <v>633</v>
      </c>
      <c r="B896" s="163" t="s">
        <v>369</v>
      </c>
      <c r="C896" s="284"/>
      <c r="D896" s="284"/>
      <c r="E896" s="284"/>
      <c r="F896" s="11"/>
      <c r="G896" s="11"/>
      <c r="H896" s="60" t="s">
        <v>391</v>
      </c>
      <c r="I896" s="44"/>
      <c r="J896" s="116"/>
      <c r="K896" s="192"/>
      <c r="L896" s="48"/>
      <c r="M896" s="46"/>
      <c r="N896" s="46"/>
      <c r="O896" s="407"/>
      <c r="P896" s="49">
        <f t="shared" si="26"/>
        <v>0</v>
      </c>
      <c r="Q896" s="49">
        <f t="shared" si="27"/>
        <v>0</v>
      </c>
    </row>
    <row r="897" spans="1:17" x14ac:dyDescent="0.35">
      <c r="A897" s="11" t="s">
        <v>633</v>
      </c>
      <c r="B897" s="163" t="s">
        <v>369</v>
      </c>
      <c r="C897" s="284"/>
      <c r="D897" s="284"/>
      <c r="E897" s="284"/>
      <c r="F897" s="11"/>
      <c r="G897" s="11"/>
      <c r="H897" s="62" t="s">
        <v>392</v>
      </c>
      <c r="I897" s="44"/>
      <c r="J897" s="116"/>
      <c r="K897" s="192"/>
      <c r="L897" s="48"/>
      <c r="M897" s="46"/>
      <c r="N897" s="46"/>
      <c r="O897" s="407"/>
      <c r="P897" s="49">
        <f t="shared" si="26"/>
        <v>0</v>
      </c>
      <c r="Q897" s="49">
        <f t="shared" si="27"/>
        <v>0</v>
      </c>
    </row>
    <row r="898" spans="1:17" ht="50" x14ac:dyDescent="0.35">
      <c r="A898" s="11" t="s">
        <v>633</v>
      </c>
      <c r="B898" s="163" t="s">
        <v>369</v>
      </c>
      <c r="C898" s="284"/>
      <c r="D898" s="284"/>
      <c r="E898" s="284"/>
      <c r="F898" s="11"/>
      <c r="G898" s="11"/>
      <c r="H898" s="60" t="s">
        <v>393</v>
      </c>
      <c r="I898" s="44"/>
      <c r="J898" s="116"/>
      <c r="K898" s="192"/>
      <c r="L898" s="48"/>
      <c r="M898" s="46"/>
      <c r="N898" s="46"/>
      <c r="O898" s="407"/>
      <c r="P898" s="49">
        <f t="shared" si="26"/>
        <v>0</v>
      </c>
      <c r="Q898" s="49">
        <f t="shared" si="27"/>
        <v>0</v>
      </c>
    </row>
    <row r="899" spans="1:17" ht="25" x14ac:dyDescent="0.35">
      <c r="A899" s="11" t="s">
        <v>633</v>
      </c>
      <c r="B899" s="163" t="s">
        <v>369</v>
      </c>
      <c r="C899" s="284"/>
      <c r="D899" s="284"/>
      <c r="E899" s="284"/>
      <c r="F899" s="11"/>
      <c r="G899" s="11"/>
      <c r="H899" s="60" t="s">
        <v>394</v>
      </c>
      <c r="I899" s="44"/>
      <c r="J899" s="116"/>
      <c r="K899" s="192"/>
      <c r="L899" s="48"/>
      <c r="M899" s="46"/>
      <c r="N899" s="46"/>
      <c r="O899" s="407"/>
      <c r="P899" s="49">
        <f t="shared" si="26"/>
        <v>0</v>
      </c>
      <c r="Q899" s="49">
        <f t="shared" si="27"/>
        <v>0</v>
      </c>
    </row>
    <row r="900" spans="1:17" x14ac:dyDescent="0.35">
      <c r="A900" s="11" t="s">
        <v>633</v>
      </c>
      <c r="B900" s="163" t="s">
        <v>369</v>
      </c>
      <c r="C900" s="284"/>
      <c r="D900" s="284"/>
      <c r="E900" s="284"/>
      <c r="F900" s="11"/>
      <c r="G900" s="11"/>
      <c r="H900" s="62" t="s">
        <v>395</v>
      </c>
      <c r="I900" s="44"/>
      <c r="J900" s="116"/>
      <c r="K900" s="192"/>
      <c r="L900" s="48"/>
      <c r="M900" s="46"/>
      <c r="N900" s="46"/>
      <c r="O900" s="407"/>
      <c r="P900" s="49">
        <f t="shared" si="26"/>
        <v>0</v>
      </c>
      <c r="Q900" s="49">
        <f t="shared" si="27"/>
        <v>0</v>
      </c>
    </row>
    <row r="901" spans="1:17" ht="25" x14ac:dyDescent="0.35">
      <c r="A901" s="11" t="s">
        <v>633</v>
      </c>
      <c r="B901" s="163" t="s">
        <v>369</v>
      </c>
      <c r="C901" s="284"/>
      <c r="D901" s="284"/>
      <c r="E901" s="284"/>
      <c r="F901" s="11"/>
      <c r="G901" s="11"/>
      <c r="H901" s="60" t="s">
        <v>396</v>
      </c>
      <c r="I901" s="44"/>
      <c r="J901" s="116"/>
      <c r="K901" s="192"/>
      <c r="L901" s="48"/>
      <c r="M901" s="46"/>
      <c r="N901" s="46"/>
      <c r="O901" s="407"/>
      <c r="P901" s="49">
        <f t="shared" si="26"/>
        <v>0</v>
      </c>
      <c r="Q901" s="49">
        <f t="shared" si="27"/>
        <v>0</v>
      </c>
    </row>
    <row r="902" spans="1:17" ht="25" x14ac:dyDescent="0.35">
      <c r="A902" s="11" t="s">
        <v>633</v>
      </c>
      <c r="B902" s="163" t="s">
        <v>369</v>
      </c>
      <c r="C902" s="284"/>
      <c r="D902" s="284"/>
      <c r="E902" s="284"/>
      <c r="F902" s="11"/>
      <c r="G902" s="11"/>
      <c r="H902" s="60" t="s">
        <v>397</v>
      </c>
      <c r="I902" s="44"/>
      <c r="J902" s="116"/>
      <c r="K902" s="192"/>
      <c r="L902" s="48"/>
      <c r="M902" s="46"/>
      <c r="N902" s="46"/>
      <c r="O902" s="407"/>
      <c r="P902" s="49">
        <f t="shared" si="26"/>
        <v>0</v>
      </c>
      <c r="Q902" s="49">
        <f t="shared" si="27"/>
        <v>0</v>
      </c>
    </row>
    <row r="903" spans="1:17" x14ac:dyDescent="0.35">
      <c r="A903" s="11" t="s">
        <v>633</v>
      </c>
      <c r="B903" s="163" t="s">
        <v>369</v>
      </c>
      <c r="C903" s="284"/>
      <c r="D903" s="284"/>
      <c r="E903" s="284"/>
      <c r="F903" s="11"/>
      <c r="G903" s="11"/>
      <c r="H903" s="62" t="s">
        <v>398</v>
      </c>
      <c r="I903" s="44"/>
      <c r="J903" s="116"/>
      <c r="K903" s="192"/>
      <c r="L903" s="48"/>
      <c r="M903" s="46"/>
      <c r="N903" s="46"/>
      <c r="O903" s="407"/>
      <c r="P903" s="49">
        <f t="shared" si="26"/>
        <v>0</v>
      </c>
      <c r="Q903" s="49">
        <f t="shared" si="27"/>
        <v>0</v>
      </c>
    </row>
    <row r="904" spans="1:17" ht="50" x14ac:dyDescent="0.35">
      <c r="A904" s="11" t="s">
        <v>633</v>
      </c>
      <c r="B904" s="163" t="s">
        <v>369</v>
      </c>
      <c r="C904" s="284"/>
      <c r="D904" s="284"/>
      <c r="E904" s="284"/>
      <c r="F904" s="11"/>
      <c r="G904" s="11"/>
      <c r="H904" s="60" t="s">
        <v>399</v>
      </c>
      <c r="I904" s="44"/>
      <c r="J904" s="116"/>
      <c r="K904" s="192"/>
      <c r="L904" s="48"/>
      <c r="M904" s="46"/>
      <c r="N904" s="46"/>
      <c r="O904" s="407"/>
      <c r="P904" s="49">
        <f t="shared" si="26"/>
        <v>0</v>
      </c>
      <c r="Q904" s="49">
        <f t="shared" si="27"/>
        <v>0</v>
      </c>
    </row>
    <row r="905" spans="1:17" ht="50" x14ac:dyDescent="0.35">
      <c r="A905" s="11" t="s">
        <v>633</v>
      </c>
      <c r="B905" s="163" t="s">
        <v>369</v>
      </c>
      <c r="C905" s="284"/>
      <c r="D905" s="284"/>
      <c r="E905" s="284"/>
      <c r="F905" s="11"/>
      <c r="G905" s="11"/>
      <c r="H905" s="60" t="s">
        <v>400</v>
      </c>
      <c r="I905" s="44"/>
      <c r="J905" s="116"/>
      <c r="K905" s="192"/>
      <c r="L905" s="48"/>
      <c r="M905" s="46"/>
      <c r="N905" s="46"/>
      <c r="O905" s="407"/>
      <c r="P905" s="49">
        <f t="shared" si="26"/>
        <v>0</v>
      </c>
      <c r="Q905" s="49">
        <f t="shared" si="27"/>
        <v>0</v>
      </c>
    </row>
    <row r="906" spans="1:17" ht="37.5" x14ac:dyDescent="0.35">
      <c r="A906" s="11" t="s">
        <v>633</v>
      </c>
      <c r="B906" s="163" t="s">
        <v>369</v>
      </c>
      <c r="C906" s="284"/>
      <c r="D906" s="284"/>
      <c r="E906" s="284"/>
      <c r="F906" s="11"/>
      <c r="G906" s="11"/>
      <c r="H906" s="60" t="s">
        <v>401</v>
      </c>
      <c r="I906" s="44"/>
      <c r="J906" s="116"/>
      <c r="K906" s="192"/>
      <c r="L906" s="48"/>
      <c r="M906" s="46"/>
      <c r="N906" s="46"/>
      <c r="O906" s="407"/>
      <c r="P906" s="49">
        <f t="shared" ref="P906:P969" si="28">O906*M906</f>
        <v>0</v>
      </c>
      <c r="Q906" s="49">
        <f t="shared" ref="Q906:Q969" si="29">O906*N906</f>
        <v>0</v>
      </c>
    </row>
    <row r="907" spans="1:17" ht="25" x14ac:dyDescent="0.35">
      <c r="A907" s="11" t="s">
        <v>633</v>
      </c>
      <c r="B907" s="163" t="s">
        <v>369</v>
      </c>
      <c r="C907" s="284"/>
      <c r="D907" s="284"/>
      <c r="E907" s="284"/>
      <c r="F907" s="11"/>
      <c r="G907" s="11"/>
      <c r="H907" s="60" t="s">
        <v>402</v>
      </c>
      <c r="I907" s="44"/>
      <c r="J907" s="116"/>
      <c r="K907" s="192"/>
      <c r="L907" s="48"/>
      <c r="M907" s="46"/>
      <c r="N907" s="46"/>
      <c r="O907" s="407"/>
      <c r="P907" s="49">
        <f t="shared" si="28"/>
        <v>0</v>
      </c>
      <c r="Q907" s="49">
        <f t="shared" si="29"/>
        <v>0</v>
      </c>
    </row>
    <row r="908" spans="1:17" x14ac:dyDescent="0.35">
      <c r="A908" s="11" t="s">
        <v>633</v>
      </c>
      <c r="B908" s="163" t="s">
        <v>369</v>
      </c>
      <c r="C908" s="284"/>
      <c r="D908" s="284"/>
      <c r="E908" s="284"/>
      <c r="F908" s="11"/>
      <c r="G908" s="11"/>
      <c r="H908" s="62" t="s">
        <v>403</v>
      </c>
      <c r="I908" s="44"/>
      <c r="J908" s="116"/>
      <c r="K908" s="192"/>
      <c r="L908" s="48"/>
      <c r="M908" s="46"/>
      <c r="N908" s="46"/>
      <c r="O908" s="407"/>
      <c r="P908" s="49">
        <f t="shared" si="28"/>
        <v>0</v>
      </c>
      <c r="Q908" s="49">
        <f t="shared" si="29"/>
        <v>0</v>
      </c>
    </row>
    <row r="909" spans="1:17" ht="62.5" x14ac:dyDescent="0.35">
      <c r="A909" s="11" t="s">
        <v>633</v>
      </c>
      <c r="B909" s="163" t="s">
        <v>369</v>
      </c>
      <c r="C909" s="284"/>
      <c r="D909" s="284"/>
      <c r="E909" s="284"/>
      <c r="F909" s="11"/>
      <c r="G909" s="11"/>
      <c r="H909" s="60" t="s">
        <v>404</v>
      </c>
      <c r="I909" s="44"/>
      <c r="J909" s="116"/>
      <c r="K909" s="192"/>
      <c r="L909" s="48"/>
      <c r="M909" s="46"/>
      <c r="N909" s="46"/>
      <c r="O909" s="407"/>
      <c r="P909" s="49">
        <f t="shared" si="28"/>
        <v>0</v>
      </c>
      <c r="Q909" s="49">
        <f t="shared" si="29"/>
        <v>0</v>
      </c>
    </row>
    <row r="910" spans="1:17" ht="13" x14ac:dyDescent="0.35">
      <c r="A910" s="11" t="s">
        <v>633</v>
      </c>
      <c r="B910" s="163" t="s">
        <v>369</v>
      </c>
      <c r="C910" s="284"/>
      <c r="D910" s="284"/>
      <c r="E910" s="284"/>
      <c r="F910" s="11"/>
      <c r="G910" s="61"/>
      <c r="H910" s="193" t="s">
        <v>672</v>
      </c>
      <c r="I910" s="44"/>
      <c r="J910" s="194"/>
      <c r="K910" s="192"/>
      <c r="L910" s="195"/>
      <c r="M910" s="64"/>
      <c r="N910" s="64"/>
      <c r="O910" s="407"/>
      <c r="P910" s="196">
        <f t="shared" si="28"/>
        <v>0</v>
      </c>
      <c r="Q910" s="196">
        <f t="shared" si="29"/>
        <v>0</v>
      </c>
    </row>
    <row r="911" spans="1:17" ht="13" x14ac:dyDescent="0.35">
      <c r="A911" s="11" t="s">
        <v>633</v>
      </c>
      <c r="B911" s="163" t="s">
        <v>369</v>
      </c>
      <c r="C911" s="284"/>
      <c r="D911" s="284"/>
      <c r="E911" s="284"/>
      <c r="F911" s="11"/>
      <c r="G911" s="61"/>
      <c r="H911" s="193" t="s">
        <v>673</v>
      </c>
      <c r="I911" s="44"/>
      <c r="J911" s="197"/>
      <c r="K911" s="192"/>
      <c r="L911" s="195"/>
      <c r="M911" s="59"/>
      <c r="N911" s="59"/>
      <c r="O911" s="407"/>
      <c r="P911" s="196">
        <f t="shared" si="28"/>
        <v>0</v>
      </c>
      <c r="Q911" s="196">
        <f t="shared" si="29"/>
        <v>0</v>
      </c>
    </row>
    <row r="912" spans="1:17" ht="13" x14ac:dyDescent="0.35">
      <c r="A912" s="11" t="s">
        <v>633</v>
      </c>
      <c r="B912" s="163" t="s">
        <v>369</v>
      </c>
      <c r="C912" s="284"/>
      <c r="D912" s="284"/>
      <c r="E912" s="284"/>
      <c r="F912" s="11"/>
      <c r="G912" s="61"/>
      <c r="H912" s="193" t="s">
        <v>674</v>
      </c>
      <c r="I912" s="44"/>
      <c r="J912" s="194"/>
      <c r="K912" s="192"/>
      <c r="L912" s="195"/>
      <c r="M912" s="64"/>
      <c r="N912" s="64"/>
      <c r="O912" s="407"/>
      <c r="P912" s="196">
        <f t="shared" si="28"/>
        <v>0</v>
      </c>
      <c r="Q912" s="196">
        <f t="shared" si="29"/>
        <v>0</v>
      </c>
    </row>
    <row r="913" spans="1:17" ht="50" x14ac:dyDescent="0.35">
      <c r="A913" s="11" t="s">
        <v>633</v>
      </c>
      <c r="B913" s="163" t="s">
        <v>369</v>
      </c>
      <c r="C913" s="284"/>
      <c r="D913" s="284"/>
      <c r="E913" s="284"/>
      <c r="F913" s="11" t="s">
        <v>20</v>
      </c>
      <c r="G913" s="61"/>
      <c r="H913" s="60" t="s">
        <v>675</v>
      </c>
      <c r="I913" s="44" t="s">
        <v>175</v>
      </c>
      <c r="J913" s="194">
        <v>1</v>
      </c>
      <c r="K913" s="47">
        <v>3700</v>
      </c>
      <c r="L913" s="48">
        <f>J913*K913</f>
        <v>3700</v>
      </c>
      <c r="M913" s="64">
        <v>1</v>
      </c>
      <c r="N913" s="64">
        <v>1</v>
      </c>
      <c r="O913" s="407">
        <v>3700</v>
      </c>
      <c r="P913" s="49">
        <f t="shared" si="28"/>
        <v>3700</v>
      </c>
      <c r="Q913" s="49">
        <f t="shared" si="29"/>
        <v>3700</v>
      </c>
    </row>
    <row r="914" spans="1:17" ht="13" x14ac:dyDescent="0.35">
      <c r="A914" s="11" t="s">
        <v>633</v>
      </c>
      <c r="B914" s="163" t="s">
        <v>369</v>
      </c>
      <c r="C914" s="284"/>
      <c r="D914" s="284"/>
      <c r="E914" s="284"/>
      <c r="F914" s="11"/>
      <c r="G914" s="61"/>
      <c r="H914" s="193" t="s">
        <v>676</v>
      </c>
      <c r="I914" s="44"/>
      <c r="J914" s="197"/>
      <c r="K914" s="192"/>
      <c r="L914" s="48"/>
      <c r="M914" s="59"/>
      <c r="N914" s="59"/>
      <c r="O914" s="407"/>
      <c r="P914" s="49">
        <f t="shared" si="28"/>
        <v>0</v>
      </c>
      <c r="Q914" s="49">
        <f t="shared" si="29"/>
        <v>0</v>
      </c>
    </row>
    <row r="915" spans="1:17" ht="37.5" x14ac:dyDescent="0.35">
      <c r="A915" s="11" t="s">
        <v>633</v>
      </c>
      <c r="B915" s="163" t="s">
        <v>369</v>
      </c>
      <c r="C915" s="284"/>
      <c r="D915" s="284"/>
      <c r="E915" s="284"/>
      <c r="F915" s="11" t="s">
        <v>26</v>
      </c>
      <c r="G915" s="61"/>
      <c r="H915" s="198" t="s">
        <v>677</v>
      </c>
      <c r="I915" s="44" t="s">
        <v>175</v>
      </c>
      <c r="J915" s="197">
        <v>3</v>
      </c>
      <c r="K915" s="192">
        <v>1950</v>
      </c>
      <c r="L915" s="48">
        <f>K915*J915</f>
        <v>5850</v>
      </c>
      <c r="M915" s="59">
        <v>3</v>
      </c>
      <c r="N915" s="59">
        <v>3</v>
      </c>
      <c r="O915" s="407">
        <v>1950</v>
      </c>
      <c r="P915" s="49">
        <f t="shared" si="28"/>
        <v>5850</v>
      </c>
      <c r="Q915" s="49">
        <f t="shared" si="29"/>
        <v>5850</v>
      </c>
    </row>
    <row r="916" spans="1:17" s="205" customFormat="1" ht="25" x14ac:dyDescent="0.35">
      <c r="A916" s="11" t="s">
        <v>633</v>
      </c>
      <c r="B916" s="163" t="s">
        <v>369</v>
      </c>
      <c r="C916" s="284"/>
      <c r="D916" s="284"/>
      <c r="E916" s="284"/>
      <c r="F916" s="11" t="s">
        <v>29</v>
      </c>
      <c r="G916" s="199"/>
      <c r="H916" s="198" t="s">
        <v>678</v>
      </c>
      <c r="I916" s="200" t="s">
        <v>175</v>
      </c>
      <c r="J916" s="201">
        <v>3</v>
      </c>
      <c r="K916" s="192">
        <v>500</v>
      </c>
      <c r="L916" s="203">
        <f>J916*K916</f>
        <v>1500</v>
      </c>
      <c r="M916" s="202">
        <v>3</v>
      </c>
      <c r="N916" s="202">
        <v>3</v>
      </c>
      <c r="O916" s="407">
        <v>500</v>
      </c>
      <c r="P916" s="204">
        <f t="shared" si="28"/>
        <v>1500</v>
      </c>
      <c r="Q916" s="204">
        <f t="shared" si="29"/>
        <v>1500</v>
      </c>
    </row>
    <row r="917" spans="1:17" s="205" customFormat="1" ht="25" x14ac:dyDescent="0.35">
      <c r="A917" s="11" t="s">
        <v>633</v>
      </c>
      <c r="B917" s="163" t="s">
        <v>369</v>
      </c>
      <c r="C917" s="284"/>
      <c r="D917" s="284"/>
      <c r="E917" s="284"/>
      <c r="F917" s="11" t="s">
        <v>32</v>
      </c>
      <c r="G917" s="199"/>
      <c r="H917" s="198" t="s">
        <v>679</v>
      </c>
      <c r="I917" s="200" t="s">
        <v>175</v>
      </c>
      <c r="J917" s="201">
        <v>3</v>
      </c>
      <c r="K917" s="192">
        <v>650</v>
      </c>
      <c r="L917" s="203">
        <f>J917*K917</f>
        <v>1950</v>
      </c>
      <c r="M917" s="202">
        <v>3</v>
      </c>
      <c r="N917" s="202">
        <v>3</v>
      </c>
      <c r="O917" s="407">
        <v>650</v>
      </c>
      <c r="P917" s="204">
        <f t="shared" si="28"/>
        <v>1950</v>
      </c>
      <c r="Q917" s="204">
        <f t="shared" si="29"/>
        <v>1950</v>
      </c>
    </row>
    <row r="918" spans="1:17" ht="13" x14ac:dyDescent="0.35">
      <c r="A918" s="11" t="s">
        <v>633</v>
      </c>
      <c r="B918" s="163" t="s">
        <v>369</v>
      </c>
      <c r="C918" s="284"/>
      <c r="D918" s="365"/>
      <c r="E918" s="365"/>
      <c r="F918" s="11"/>
      <c r="G918" s="61"/>
      <c r="H918" s="193" t="s">
        <v>680</v>
      </c>
      <c r="I918" s="44"/>
      <c r="J918" s="194"/>
      <c r="K918" s="192"/>
      <c r="L918" s="48"/>
      <c r="M918" s="64"/>
      <c r="N918" s="64"/>
      <c r="O918" s="407"/>
      <c r="P918" s="49">
        <f t="shared" si="28"/>
        <v>0</v>
      </c>
      <c r="Q918" s="49">
        <f t="shared" si="29"/>
        <v>0</v>
      </c>
    </row>
    <row r="919" spans="1:17" ht="25" x14ac:dyDescent="0.35">
      <c r="A919" s="11" t="s">
        <v>633</v>
      </c>
      <c r="B919" s="163" t="s">
        <v>369</v>
      </c>
      <c r="C919" s="284"/>
      <c r="D919" s="284"/>
      <c r="E919" s="284"/>
      <c r="F919" s="11" t="s">
        <v>36</v>
      </c>
      <c r="G919" s="61"/>
      <c r="H919" s="198" t="s">
        <v>681</v>
      </c>
      <c r="I919" s="44" t="s">
        <v>175</v>
      </c>
      <c r="J919" s="197">
        <v>2</v>
      </c>
      <c r="K919" s="192">
        <v>2700</v>
      </c>
      <c r="L919" s="48">
        <f>K919*J919</f>
        <v>5400</v>
      </c>
      <c r="M919" s="59">
        <v>2</v>
      </c>
      <c r="N919" s="59">
        <v>2</v>
      </c>
      <c r="O919" s="407">
        <v>2700</v>
      </c>
      <c r="P919" s="49">
        <f t="shared" si="28"/>
        <v>5400</v>
      </c>
      <c r="Q919" s="49">
        <f t="shared" si="29"/>
        <v>5400</v>
      </c>
    </row>
    <row r="920" spans="1:17" ht="13" x14ac:dyDescent="0.35">
      <c r="A920" s="11" t="s">
        <v>633</v>
      </c>
      <c r="B920" s="163" t="s">
        <v>369</v>
      </c>
      <c r="C920" s="284"/>
      <c r="D920" s="365"/>
      <c r="E920" s="365"/>
      <c r="F920" s="11"/>
      <c r="G920" s="61"/>
      <c r="H920" s="193" t="s">
        <v>682</v>
      </c>
      <c r="I920" s="44"/>
      <c r="J920" s="197"/>
      <c r="K920" s="192"/>
      <c r="L920" s="48"/>
      <c r="M920" s="59"/>
      <c r="N920" s="59"/>
      <c r="O920" s="407"/>
      <c r="P920" s="49">
        <f t="shared" si="28"/>
        <v>0</v>
      </c>
      <c r="Q920" s="49">
        <f t="shared" si="29"/>
        <v>0</v>
      </c>
    </row>
    <row r="921" spans="1:17" ht="62.5" x14ac:dyDescent="0.35">
      <c r="A921" s="11" t="s">
        <v>633</v>
      </c>
      <c r="B921" s="163" t="s">
        <v>369</v>
      </c>
      <c r="C921" s="284"/>
      <c r="D921" s="284"/>
      <c r="E921" s="284"/>
      <c r="F921" s="11" t="s">
        <v>39</v>
      </c>
      <c r="G921" s="61"/>
      <c r="H921" s="198" t="s">
        <v>683</v>
      </c>
      <c r="I921" s="44" t="s">
        <v>175</v>
      </c>
      <c r="J921" s="197">
        <v>1</v>
      </c>
      <c r="K921" s="192">
        <v>7500</v>
      </c>
      <c r="L921" s="48">
        <f>K921*J921</f>
        <v>7500</v>
      </c>
      <c r="M921" s="59">
        <v>1</v>
      </c>
      <c r="N921" s="59">
        <v>1</v>
      </c>
      <c r="O921" s="407">
        <v>7500</v>
      </c>
      <c r="P921" s="49">
        <f t="shared" si="28"/>
        <v>7500</v>
      </c>
      <c r="Q921" s="49">
        <f t="shared" si="29"/>
        <v>7500</v>
      </c>
    </row>
    <row r="922" spans="1:17" ht="13" x14ac:dyDescent="0.35">
      <c r="A922" s="11" t="s">
        <v>633</v>
      </c>
      <c r="B922" s="163" t="s">
        <v>369</v>
      </c>
      <c r="C922" s="284"/>
      <c r="D922" s="365"/>
      <c r="E922" s="365"/>
      <c r="F922" s="11"/>
      <c r="G922" s="11"/>
      <c r="H922" s="43" t="s">
        <v>405</v>
      </c>
      <c r="I922" s="44"/>
      <c r="J922" s="58"/>
      <c r="K922" s="47"/>
      <c r="L922" s="48"/>
      <c r="M922" s="59"/>
      <c r="N922" s="59"/>
      <c r="O922" s="407"/>
      <c r="P922" s="49">
        <f t="shared" si="28"/>
        <v>0</v>
      </c>
      <c r="Q922" s="49">
        <f t="shared" si="29"/>
        <v>0</v>
      </c>
    </row>
    <row r="923" spans="1:17" ht="13" x14ac:dyDescent="0.35">
      <c r="A923" s="11" t="s">
        <v>633</v>
      </c>
      <c r="B923" s="163" t="s">
        <v>369</v>
      </c>
      <c r="C923" s="284"/>
      <c r="D923" s="365"/>
      <c r="E923" s="365"/>
      <c r="F923" s="11"/>
      <c r="G923" s="11"/>
      <c r="H923" s="57" t="s">
        <v>406</v>
      </c>
      <c r="I923" s="44"/>
      <c r="J923" s="58"/>
      <c r="K923" s="47"/>
      <c r="L923" s="48"/>
      <c r="M923" s="59"/>
      <c r="N923" s="59"/>
      <c r="O923" s="407"/>
      <c r="P923" s="49">
        <f t="shared" si="28"/>
        <v>0</v>
      </c>
      <c r="Q923" s="49">
        <f t="shared" si="29"/>
        <v>0</v>
      </c>
    </row>
    <row r="924" spans="1:17" ht="25" x14ac:dyDescent="0.35">
      <c r="A924" s="11" t="s">
        <v>633</v>
      </c>
      <c r="B924" s="163" t="s">
        <v>369</v>
      </c>
      <c r="C924" s="284"/>
      <c r="D924" s="284"/>
      <c r="E924" s="284"/>
      <c r="F924" s="11" t="s">
        <v>42</v>
      </c>
      <c r="G924" s="11"/>
      <c r="H924" s="60" t="s">
        <v>407</v>
      </c>
      <c r="I924" s="44" t="s">
        <v>186</v>
      </c>
      <c r="J924" s="58">
        <v>106</v>
      </c>
      <c r="K924" s="47">
        <v>165</v>
      </c>
      <c r="L924" s="48">
        <f>J924*K924</f>
        <v>17490</v>
      </c>
      <c r="M924" s="59">
        <v>106</v>
      </c>
      <c r="N924" s="59">
        <v>106</v>
      </c>
      <c r="O924" s="407">
        <v>165</v>
      </c>
      <c r="P924" s="49">
        <f t="shared" si="28"/>
        <v>17490</v>
      </c>
      <c r="Q924" s="49">
        <f t="shared" si="29"/>
        <v>17490</v>
      </c>
    </row>
    <row r="925" spans="1:17" x14ac:dyDescent="0.35">
      <c r="A925" s="11" t="s">
        <v>633</v>
      </c>
      <c r="B925" s="163" t="s">
        <v>369</v>
      </c>
      <c r="C925" s="284"/>
      <c r="D925" s="284"/>
      <c r="E925" s="284"/>
      <c r="F925" s="11" t="s">
        <v>45</v>
      </c>
      <c r="G925" s="11"/>
      <c r="H925" s="60" t="s">
        <v>408</v>
      </c>
      <c r="I925" s="44" t="s">
        <v>175</v>
      </c>
      <c r="J925" s="85">
        <v>14</v>
      </c>
      <c r="K925" s="47">
        <v>350</v>
      </c>
      <c r="L925" s="48">
        <f>K925*J925</f>
        <v>4900</v>
      </c>
      <c r="M925" s="86">
        <v>14</v>
      </c>
      <c r="N925" s="86">
        <v>14</v>
      </c>
      <c r="O925" s="407">
        <v>350</v>
      </c>
      <c r="P925" s="49">
        <f t="shared" si="28"/>
        <v>4900</v>
      </c>
      <c r="Q925" s="49">
        <f t="shared" si="29"/>
        <v>4900</v>
      </c>
    </row>
    <row r="926" spans="1:17" ht="25" x14ac:dyDescent="0.35">
      <c r="A926" s="11" t="s">
        <v>633</v>
      </c>
      <c r="B926" s="163" t="s">
        <v>369</v>
      </c>
      <c r="C926" s="284"/>
      <c r="D926" s="284"/>
      <c r="E926" s="284"/>
      <c r="F926" s="11" t="s">
        <v>48</v>
      </c>
      <c r="G926" s="61"/>
      <c r="H926" s="60" t="s">
        <v>409</v>
      </c>
      <c r="I926" s="44" t="s">
        <v>175</v>
      </c>
      <c r="J926" s="63">
        <v>14</v>
      </c>
      <c r="K926" s="47">
        <v>250</v>
      </c>
      <c r="L926" s="48">
        <f>J926*K926</f>
        <v>3500</v>
      </c>
      <c r="M926" s="64">
        <v>14</v>
      </c>
      <c r="N926" s="64">
        <v>14</v>
      </c>
      <c r="O926" s="407">
        <v>250</v>
      </c>
      <c r="P926" s="49">
        <f t="shared" si="28"/>
        <v>3500</v>
      </c>
      <c r="Q926" s="49">
        <f t="shared" si="29"/>
        <v>3500</v>
      </c>
    </row>
    <row r="927" spans="1:17" ht="25" x14ac:dyDescent="0.35">
      <c r="A927" s="11" t="s">
        <v>633</v>
      </c>
      <c r="B927" s="163" t="s">
        <v>369</v>
      </c>
      <c r="C927" s="284"/>
      <c r="D927" s="284"/>
      <c r="E927" s="284"/>
      <c r="F927" s="11" t="s">
        <v>51</v>
      </c>
      <c r="G927" s="11"/>
      <c r="H927" s="60" t="s">
        <v>410</v>
      </c>
      <c r="I927" s="44" t="s">
        <v>186</v>
      </c>
      <c r="J927" s="58">
        <f>2.7*14</f>
        <v>37.800000000000004</v>
      </c>
      <c r="K927" s="47">
        <v>165</v>
      </c>
      <c r="L927" s="48">
        <f>J927*K927</f>
        <v>6237.0000000000009</v>
      </c>
      <c r="M927" s="59">
        <f>2.7*14</f>
        <v>37.800000000000004</v>
      </c>
      <c r="N927" s="59">
        <f>2.7*14</f>
        <v>37.800000000000004</v>
      </c>
      <c r="O927" s="407">
        <v>165</v>
      </c>
      <c r="P927" s="49">
        <f t="shared" si="28"/>
        <v>6237.0000000000009</v>
      </c>
      <c r="Q927" s="49">
        <f t="shared" si="29"/>
        <v>6237.0000000000009</v>
      </c>
    </row>
    <row r="928" spans="1:17" x14ac:dyDescent="0.35">
      <c r="A928" s="11" t="s">
        <v>633</v>
      </c>
      <c r="B928" s="163" t="s">
        <v>369</v>
      </c>
      <c r="C928" s="284"/>
      <c r="D928" s="284"/>
      <c r="E928" s="284"/>
      <c r="F928" s="11" t="s">
        <v>53</v>
      </c>
      <c r="G928" s="11"/>
      <c r="H928" s="60" t="s">
        <v>411</v>
      </c>
      <c r="I928" s="44" t="s">
        <v>175</v>
      </c>
      <c r="J928" s="85">
        <v>14</v>
      </c>
      <c r="K928" s="47">
        <v>350</v>
      </c>
      <c r="L928" s="48">
        <f>K928*J928</f>
        <v>4900</v>
      </c>
      <c r="M928" s="86">
        <v>14</v>
      </c>
      <c r="N928" s="86">
        <v>14</v>
      </c>
      <c r="O928" s="407">
        <v>350</v>
      </c>
      <c r="P928" s="49">
        <f t="shared" si="28"/>
        <v>4900</v>
      </c>
      <c r="Q928" s="49">
        <f t="shared" si="29"/>
        <v>4900</v>
      </c>
    </row>
    <row r="929" spans="1:17" ht="13" x14ac:dyDescent="0.35">
      <c r="A929" s="11" t="s">
        <v>633</v>
      </c>
      <c r="B929" s="163" t="s">
        <v>412</v>
      </c>
      <c r="C929" s="284"/>
      <c r="D929" s="284"/>
      <c r="E929" s="284"/>
      <c r="F929" s="11"/>
      <c r="G929" s="11"/>
      <c r="H929" s="43" t="s">
        <v>634</v>
      </c>
      <c r="I929" s="44"/>
      <c r="J929" s="45"/>
      <c r="K929" s="47"/>
      <c r="L929" s="48"/>
      <c r="M929" s="46"/>
      <c r="N929" s="46"/>
      <c r="O929" s="407"/>
      <c r="P929" s="49">
        <f t="shared" si="28"/>
        <v>0</v>
      </c>
      <c r="Q929" s="49">
        <f t="shared" si="29"/>
        <v>0</v>
      </c>
    </row>
    <row r="930" spans="1:17" ht="13" x14ac:dyDescent="0.35">
      <c r="A930" s="11" t="s">
        <v>633</v>
      </c>
      <c r="B930" s="163" t="s">
        <v>412</v>
      </c>
      <c r="C930" s="284"/>
      <c r="D930" s="284"/>
      <c r="E930" s="284"/>
      <c r="F930" s="11"/>
      <c r="G930" s="11"/>
      <c r="H930" s="43" t="s">
        <v>635</v>
      </c>
      <c r="I930" s="44"/>
      <c r="J930" s="45"/>
      <c r="K930" s="47"/>
      <c r="L930" s="48"/>
      <c r="M930" s="46"/>
      <c r="N930" s="46"/>
      <c r="O930" s="407"/>
      <c r="P930" s="49">
        <f t="shared" si="28"/>
        <v>0</v>
      </c>
      <c r="Q930" s="49">
        <f t="shared" si="29"/>
        <v>0</v>
      </c>
    </row>
    <row r="931" spans="1:17" ht="13" x14ac:dyDescent="0.35">
      <c r="A931" s="11" t="s">
        <v>633</v>
      </c>
      <c r="B931" s="163" t="s">
        <v>412</v>
      </c>
      <c r="C931" s="284"/>
      <c r="D931" s="284"/>
      <c r="E931" s="284"/>
      <c r="F931" s="11"/>
      <c r="G931" s="11"/>
      <c r="H931" s="43" t="s">
        <v>413</v>
      </c>
      <c r="I931" s="44"/>
      <c r="J931" s="45"/>
      <c r="K931" s="47"/>
      <c r="L931" s="48"/>
      <c r="M931" s="46"/>
      <c r="N931" s="46"/>
      <c r="O931" s="407"/>
      <c r="P931" s="49">
        <f t="shared" si="28"/>
        <v>0</v>
      </c>
      <c r="Q931" s="49">
        <f t="shared" si="29"/>
        <v>0</v>
      </c>
    </row>
    <row r="932" spans="1:17" ht="13" x14ac:dyDescent="0.35">
      <c r="A932" s="11" t="s">
        <v>633</v>
      </c>
      <c r="B932" s="163" t="s">
        <v>412</v>
      </c>
      <c r="C932" s="284"/>
      <c r="D932" s="284"/>
      <c r="E932" s="284"/>
      <c r="F932" s="11"/>
      <c r="G932" s="11"/>
      <c r="H932" s="43" t="s">
        <v>414</v>
      </c>
      <c r="I932" s="44"/>
      <c r="J932" s="45"/>
      <c r="K932" s="47"/>
      <c r="L932" s="48"/>
      <c r="M932" s="46"/>
      <c r="N932" s="46"/>
      <c r="O932" s="407"/>
      <c r="P932" s="49">
        <f t="shared" si="28"/>
        <v>0</v>
      </c>
      <c r="Q932" s="49">
        <f t="shared" si="29"/>
        <v>0</v>
      </c>
    </row>
    <row r="933" spans="1:17" ht="13" x14ac:dyDescent="0.35">
      <c r="A933" s="11" t="s">
        <v>633</v>
      </c>
      <c r="B933" s="163" t="s">
        <v>412</v>
      </c>
      <c r="C933" s="284"/>
      <c r="D933" s="284"/>
      <c r="E933" s="284"/>
      <c r="F933" s="11"/>
      <c r="G933" s="11"/>
      <c r="H933" s="57" t="s">
        <v>100</v>
      </c>
      <c r="I933" s="44"/>
      <c r="J933" s="45"/>
      <c r="K933" s="47"/>
      <c r="L933" s="48"/>
      <c r="M933" s="46"/>
      <c r="N933" s="46"/>
      <c r="O933" s="407"/>
      <c r="P933" s="49">
        <f t="shared" si="28"/>
        <v>0</v>
      </c>
      <c r="Q933" s="49">
        <f t="shared" si="29"/>
        <v>0</v>
      </c>
    </row>
    <row r="934" spans="1:17" x14ac:dyDescent="0.35">
      <c r="A934" s="11" t="s">
        <v>633</v>
      </c>
      <c r="B934" s="163" t="s">
        <v>412</v>
      </c>
      <c r="C934" s="284"/>
      <c r="D934" s="284"/>
      <c r="E934" s="284"/>
      <c r="F934" s="11"/>
      <c r="G934" s="11"/>
      <c r="H934" s="60" t="s">
        <v>101</v>
      </c>
      <c r="I934" s="44"/>
      <c r="J934" s="45"/>
      <c r="K934" s="47"/>
      <c r="L934" s="48"/>
      <c r="M934" s="46"/>
      <c r="N934" s="46"/>
      <c r="O934" s="407"/>
      <c r="P934" s="49">
        <f t="shared" si="28"/>
        <v>0</v>
      </c>
      <c r="Q934" s="49">
        <f t="shared" si="29"/>
        <v>0</v>
      </c>
    </row>
    <row r="935" spans="1:17" ht="13" x14ac:dyDescent="0.35">
      <c r="A935" s="11" t="s">
        <v>633</v>
      </c>
      <c r="B935" s="163" t="s">
        <v>412</v>
      </c>
      <c r="C935" s="284"/>
      <c r="D935" s="284"/>
      <c r="E935" s="284"/>
      <c r="F935" s="11"/>
      <c r="G935" s="11"/>
      <c r="H935" s="141" t="s">
        <v>684</v>
      </c>
      <c r="I935" s="44"/>
      <c r="J935" s="45"/>
      <c r="K935" s="47"/>
      <c r="L935" s="48"/>
      <c r="M935" s="46"/>
      <c r="N935" s="46"/>
      <c r="O935" s="407"/>
      <c r="P935" s="49">
        <f t="shared" si="28"/>
        <v>0</v>
      </c>
      <c r="Q935" s="49">
        <f t="shared" si="29"/>
        <v>0</v>
      </c>
    </row>
    <row r="936" spans="1:17" ht="25" x14ac:dyDescent="0.35">
      <c r="A936" s="11" t="s">
        <v>633</v>
      </c>
      <c r="B936" s="163" t="s">
        <v>412</v>
      </c>
      <c r="C936" s="284"/>
      <c r="D936" s="284"/>
      <c r="E936" s="284"/>
      <c r="F936" s="11" t="s">
        <v>20</v>
      </c>
      <c r="G936" s="11"/>
      <c r="H936" s="142" t="s">
        <v>685</v>
      </c>
      <c r="I936" s="44" t="s">
        <v>110</v>
      </c>
      <c r="J936" s="45">
        <v>2</v>
      </c>
      <c r="K936" s="47">
        <v>450</v>
      </c>
      <c r="L936" s="48">
        <f>J936*K936</f>
        <v>900</v>
      </c>
      <c r="M936" s="46">
        <v>2</v>
      </c>
      <c r="N936" s="46">
        <v>2</v>
      </c>
      <c r="O936" s="407">
        <v>450</v>
      </c>
      <c r="P936" s="49">
        <f t="shared" si="28"/>
        <v>900</v>
      </c>
      <c r="Q936" s="49">
        <f t="shared" si="29"/>
        <v>900</v>
      </c>
    </row>
    <row r="937" spans="1:17" ht="25" x14ac:dyDescent="0.35">
      <c r="A937" s="11" t="s">
        <v>633</v>
      </c>
      <c r="B937" s="163" t="s">
        <v>412</v>
      </c>
      <c r="C937" s="284"/>
      <c r="D937" s="284"/>
      <c r="E937" s="284"/>
      <c r="F937" s="11" t="s">
        <v>26</v>
      </c>
      <c r="G937" s="11"/>
      <c r="H937" s="142" t="s">
        <v>686</v>
      </c>
      <c r="I937" s="44" t="s">
        <v>110</v>
      </c>
      <c r="J937" s="45">
        <v>23</v>
      </c>
      <c r="K937" s="47">
        <v>450</v>
      </c>
      <c r="L937" s="48">
        <f>J937*K937</f>
        <v>10350</v>
      </c>
      <c r="M937" s="46">
        <v>23</v>
      </c>
      <c r="N937" s="46">
        <v>23</v>
      </c>
      <c r="O937" s="407">
        <v>450</v>
      </c>
      <c r="P937" s="49">
        <f t="shared" si="28"/>
        <v>10350</v>
      </c>
      <c r="Q937" s="49">
        <f t="shared" si="29"/>
        <v>10350</v>
      </c>
    </row>
    <row r="938" spans="1:17" ht="25" x14ac:dyDescent="0.35">
      <c r="A938" s="11" t="s">
        <v>633</v>
      </c>
      <c r="B938" s="163" t="s">
        <v>412</v>
      </c>
      <c r="C938" s="284"/>
      <c r="D938" s="284"/>
      <c r="E938" s="284"/>
      <c r="F938" s="11" t="s">
        <v>29</v>
      </c>
      <c r="G938" s="11"/>
      <c r="H938" s="142" t="s">
        <v>687</v>
      </c>
      <c r="I938" s="44" t="s">
        <v>110</v>
      </c>
      <c r="J938" s="45">
        <v>4</v>
      </c>
      <c r="K938" s="47">
        <v>450</v>
      </c>
      <c r="L938" s="48">
        <f>J938*K938</f>
        <v>1800</v>
      </c>
      <c r="M938" s="46">
        <v>4</v>
      </c>
      <c r="N938" s="46">
        <v>4</v>
      </c>
      <c r="O938" s="407">
        <v>450</v>
      </c>
      <c r="P938" s="49">
        <f t="shared" si="28"/>
        <v>1800</v>
      </c>
      <c r="Q938" s="49">
        <f t="shared" si="29"/>
        <v>1800</v>
      </c>
    </row>
    <row r="939" spans="1:17" ht="25" x14ac:dyDescent="0.35">
      <c r="A939" s="11" t="s">
        <v>633</v>
      </c>
      <c r="B939" s="163" t="s">
        <v>412</v>
      </c>
      <c r="C939" s="284"/>
      <c r="D939" s="284"/>
      <c r="E939" s="284"/>
      <c r="F939" s="11" t="s">
        <v>32</v>
      </c>
      <c r="G939" s="11"/>
      <c r="H939" s="142" t="s">
        <v>688</v>
      </c>
      <c r="I939" s="44" t="s">
        <v>110</v>
      </c>
      <c r="J939" s="45">
        <v>3</v>
      </c>
      <c r="K939" s="47">
        <v>450</v>
      </c>
      <c r="L939" s="48">
        <f>J939*K939</f>
        <v>1350</v>
      </c>
      <c r="M939" s="46">
        <v>3</v>
      </c>
      <c r="N939" s="46">
        <v>3</v>
      </c>
      <c r="O939" s="407">
        <v>450</v>
      </c>
      <c r="P939" s="49">
        <f t="shared" si="28"/>
        <v>1350</v>
      </c>
      <c r="Q939" s="49">
        <f t="shared" si="29"/>
        <v>1350</v>
      </c>
    </row>
    <row r="940" spans="1:17" ht="13" x14ac:dyDescent="0.35">
      <c r="A940" s="11" t="s">
        <v>633</v>
      </c>
      <c r="B940" s="163" t="s">
        <v>418</v>
      </c>
      <c r="C940" s="284"/>
      <c r="D940" s="284"/>
      <c r="E940" s="284"/>
      <c r="F940" s="11"/>
      <c r="G940" s="11"/>
      <c r="H940" s="43" t="s">
        <v>634</v>
      </c>
      <c r="I940" s="44"/>
      <c r="J940" s="45"/>
      <c r="K940" s="47"/>
      <c r="L940" s="48"/>
      <c r="M940" s="46"/>
      <c r="N940" s="46"/>
      <c r="O940" s="407"/>
      <c r="P940" s="49">
        <f t="shared" si="28"/>
        <v>0</v>
      </c>
      <c r="Q940" s="49">
        <f t="shared" si="29"/>
        <v>0</v>
      </c>
    </row>
    <row r="941" spans="1:17" ht="13" x14ac:dyDescent="0.35">
      <c r="A941" s="11" t="s">
        <v>633</v>
      </c>
      <c r="B941" s="163" t="s">
        <v>418</v>
      </c>
      <c r="C941" s="284"/>
      <c r="D941" s="284"/>
      <c r="E941" s="284"/>
      <c r="F941" s="11"/>
      <c r="G941" s="11"/>
      <c r="H941" s="43" t="s">
        <v>635</v>
      </c>
      <c r="I941" s="44"/>
      <c r="J941" s="45"/>
      <c r="K941" s="47"/>
      <c r="L941" s="48"/>
      <c r="M941" s="46"/>
      <c r="N941" s="46"/>
      <c r="O941" s="407"/>
      <c r="P941" s="49">
        <f t="shared" si="28"/>
        <v>0</v>
      </c>
      <c r="Q941" s="49">
        <f t="shared" si="29"/>
        <v>0</v>
      </c>
    </row>
    <row r="942" spans="1:17" ht="13" x14ac:dyDescent="0.35">
      <c r="A942" s="11" t="s">
        <v>633</v>
      </c>
      <c r="B942" s="163" t="s">
        <v>418</v>
      </c>
      <c r="C942" s="284"/>
      <c r="D942" s="284"/>
      <c r="E942" s="284"/>
      <c r="F942" s="11"/>
      <c r="G942" s="11"/>
      <c r="H942" s="43" t="s">
        <v>419</v>
      </c>
      <c r="I942" s="44"/>
      <c r="J942" s="45"/>
      <c r="K942" s="47"/>
      <c r="L942" s="48"/>
      <c r="M942" s="46"/>
      <c r="N942" s="46"/>
      <c r="O942" s="407"/>
      <c r="P942" s="49">
        <f t="shared" si="28"/>
        <v>0</v>
      </c>
      <c r="Q942" s="49">
        <f t="shared" si="29"/>
        <v>0</v>
      </c>
    </row>
    <row r="943" spans="1:17" ht="13" x14ac:dyDescent="0.35">
      <c r="A943" s="11" t="s">
        <v>633</v>
      </c>
      <c r="B943" s="163" t="s">
        <v>418</v>
      </c>
      <c r="C943" s="284"/>
      <c r="D943" s="284"/>
      <c r="E943" s="284"/>
      <c r="F943" s="11"/>
      <c r="G943" s="11"/>
      <c r="H943" s="43" t="s">
        <v>420</v>
      </c>
      <c r="I943" s="44"/>
      <c r="J943" s="45"/>
      <c r="K943" s="47"/>
      <c r="L943" s="48"/>
      <c r="M943" s="46"/>
      <c r="N943" s="46"/>
      <c r="O943" s="407"/>
      <c r="P943" s="49">
        <f t="shared" si="28"/>
        <v>0</v>
      </c>
      <c r="Q943" s="49">
        <f t="shared" si="29"/>
        <v>0</v>
      </c>
    </row>
    <row r="944" spans="1:17" ht="13" x14ac:dyDescent="0.35">
      <c r="A944" s="11" t="s">
        <v>633</v>
      </c>
      <c r="B944" s="163" t="s">
        <v>418</v>
      </c>
      <c r="C944" s="284"/>
      <c r="D944" s="284"/>
      <c r="E944" s="284"/>
      <c r="F944" s="11"/>
      <c r="G944" s="11"/>
      <c r="H944" s="57" t="s">
        <v>100</v>
      </c>
      <c r="I944" s="44"/>
      <c r="J944" s="45"/>
      <c r="K944" s="47"/>
      <c r="L944" s="48"/>
      <c r="M944" s="46"/>
      <c r="N944" s="46"/>
      <c r="O944" s="407"/>
      <c r="P944" s="49">
        <f t="shared" si="28"/>
        <v>0</v>
      </c>
      <c r="Q944" s="49">
        <f t="shared" si="29"/>
        <v>0</v>
      </c>
    </row>
    <row r="945" spans="1:17" x14ac:dyDescent="0.35">
      <c r="A945" s="11" t="s">
        <v>633</v>
      </c>
      <c r="B945" s="163" t="s">
        <v>418</v>
      </c>
      <c r="C945" s="284"/>
      <c r="D945" s="284"/>
      <c r="E945" s="284"/>
      <c r="F945" s="11"/>
      <c r="G945" s="11"/>
      <c r="H945" s="60" t="s">
        <v>101</v>
      </c>
      <c r="I945" s="44"/>
      <c r="J945" s="45"/>
      <c r="K945" s="47"/>
      <c r="L945" s="48"/>
      <c r="M945" s="46"/>
      <c r="N945" s="46"/>
      <c r="O945" s="407"/>
      <c r="P945" s="49">
        <f t="shared" si="28"/>
        <v>0</v>
      </c>
      <c r="Q945" s="49">
        <f t="shared" si="29"/>
        <v>0</v>
      </c>
    </row>
    <row r="946" spans="1:17" ht="13" x14ac:dyDescent="0.35">
      <c r="A946" s="11" t="s">
        <v>633</v>
      </c>
      <c r="B946" s="163" t="s">
        <v>418</v>
      </c>
      <c r="C946" s="284"/>
      <c r="D946" s="284"/>
      <c r="E946" s="284"/>
      <c r="F946" s="11"/>
      <c r="G946" s="11"/>
      <c r="H946" s="57" t="s">
        <v>333</v>
      </c>
      <c r="I946" s="44"/>
      <c r="J946" s="45"/>
      <c r="K946" s="47"/>
      <c r="L946" s="48"/>
      <c r="M946" s="46"/>
      <c r="N946" s="46"/>
      <c r="O946" s="407"/>
      <c r="P946" s="49">
        <f t="shared" si="28"/>
        <v>0</v>
      </c>
      <c r="Q946" s="49">
        <f t="shared" si="29"/>
        <v>0</v>
      </c>
    </row>
    <row r="947" spans="1:17" ht="112.5" x14ac:dyDescent="0.35">
      <c r="A947" s="11" t="s">
        <v>633</v>
      </c>
      <c r="B947" s="163" t="s">
        <v>418</v>
      </c>
      <c r="C947" s="284"/>
      <c r="D947" s="284"/>
      <c r="E947" s="284"/>
      <c r="F947" s="11"/>
      <c r="G947" s="11"/>
      <c r="H947" s="60" t="s">
        <v>421</v>
      </c>
      <c r="I947" s="44"/>
      <c r="J947" s="117"/>
      <c r="K947" s="47"/>
      <c r="L947" s="48"/>
      <c r="M947" s="118"/>
      <c r="N947" s="118"/>
      <c r="O947" s="407"/>
      <c r="P947" s="49">
        <f t="shared" si="28"/>
        <v>0</v>
      </c>
      <c r="Q947" s="49">
        <f t="shared" si="29"/>
        <v>0</v>
      </c>
    </row>
    <row r="948" spans="1:17" x14ac:dyDescent="0.35">
      <c r="A948" s="11" t="s">
        <v>633</v>
      </c>
      <c r="B948" s="163" t="s">
        <v>418</v>
      </c>
      <c r="C948" s="284"/>
      <c r="D948" s="284"/>
      <c r="E948" s="284"/>
      <c r="F948" s="11"/>
      <c r="G948" s="11"/>
      <c r="H948" s="62" t="s">
        <v>422</v>
      </c>
      <c r="I948" s="44"/>
      <c r="J948" s="45"/>
      <c r="K948" s="47"/>
      <c r="L948" s="48"/>
      <c r="M948" s="46"/>
      <c r="N948" s="46"/>
      <c r="O948" s="407"/>
      <c r="P948" s="49">
        <f t="shared" si="28"/>
        <v>0</v>
      </c>
      <c r="Q948" s="49">
        <f t="shared" si="29"/>
        <v>0</v>
      </c>
    </row>
    <row r="949" spans="1:17" x14ac:dyDescent="0.35">
      <c r="A949" s="11" t="s">
        <v>633</v>
      </c>
      <c r="B949" s="163" t="s">
        <v>418</v>
      </c>
      <c r="C949" s="284"/>
      <c r="D949" s="284"/>
      <c r="E949" s="284"/>
      <c r="F949" s="11"/>
      <c r="G949" s="11"/>
      <c r="H949" s="62" t="s">
        <v>423</v>
      </c>
      <c r="I949" s="44"/>
      <c r="J949" s="45"/>
      <c r="K949" s="47"/>
      <c r="L949" s="48"/>
      <c r="M949" s="46"/>
      <c r="N949" s="46"/>
      <c r="O949" s="407"/>
      <c r="P949" s="49">
        <f t="shared" si="28"/>
        <v>0</v>
      </c>
      <c r="Q949" s="49">
        <f t="shared" si="29"/>
        <v>0</v>
      </c>
    </row>
    <row r="950" spans="1:17" ht="50" x14ac:dyDescent="0.35">
      <c r="A950" s="11" t="s">
        <v>633</v>
      </c>
      <c r="B950" s="163" t="s">
        <v>418</v>
      </c>
      <c r="C950" s="284"/>
      <c r="D950" s="284"/>
      <c r="E950" s="284"/>
      <c r="F950" s="11"/>
      <c r="G950" s="11"/>
      <c r="H950" s="60" t="s">
        <v>424</v>
      </c>
      <c r="I950" s="44"/>
      <c r="J950" s="45"/>
      <c r="K950" s="47"/>
      <c r="L950" s="48"/>
      <c r="M950" s="46"/>
      <c r="N950" s="46"/>
      <c r="O950" s="407"/>
      <c r="P950" s="49">
        <f t="shared" si="28"/>
        <v>0</v>
      </c>
      <c r="Q950" s="49">
        <f t="shared" si="29"/>
        <v>0</v>
      </c>
    </row>
    <row r="951" spans="1:17" x14ac:dyDescent="0.35">
      <c r="A951" s="11" t="s">
        <v>633</v>
      </c>
      <c r="B951" s="163" t="s">
        <v>418</v>
      </c>
      <c r="C951" s="284"/>
      <c r="D951" s="284"/>
      <c r="E951" s="284"/>
      <c r="F951" s="11"/>
      <c r="G951" s="11"/>
      <c r="H951" s="62" t="s">
        <v>425</v>
      </c>
      <c r="I951" s="44"/>
      <c r="J951" s="45"/>
      <c r="K951" s="47"/>
      <c r="L951" s="48"/>
      <c r="M951" s="46"/>
      <c r="N951" s="46"/>
      <c r="O951" s="407"/>
      <c r="P951" s="49">
        <f t="shared" si="28"/>
        <v>0</v>
      </c>
      <c r="Q951" s="49">
        <f t="shared" si="29"/>
        <v>0</v>
      </c>
    </row>
    <row r="952" spans="1:17" ht="25" x14ac:dyDescent="0.35">
      <c r="A952" s="11" t="s">
        <v>633</v>
      </c>
      <c r="B952" s="163" t="s">
        <v>418</v>
      </c>
      <c r="C952" s="284"/>
      <c r="D952" s="284"/>
      <c r="E952" s="284"/>
      <c r="F952" s="11"/>
      <c r="G952" s="11"/>
      <c r="H952" s="143" t="s">
        <v>426</v>
      </c>
      <c r="I952" s="44"/>
      <c r="J952" s="45"/>
      <c r="K952" s="47"/>
      <c r="L952" s="48"/>
      <c r="M952" s="46"/>
      <c r="N952" s="46"/>
      <c r="O952" s="407"/>
      <c r="P952" s="49">
        <f t="shared" si="28"/>
        <v>0</v>
      </c>
      <c r="Q952" s="49">
        <f t="shared" si="29"/>
        <v>0</v>
      </c>
    </row>
    <row r="953" spans="1:17" ht="25" x14ac:dyDescent="0.35">
      <c r="A953" s="11" t="s">
        <v>633</v>
      </c>
      <c r="B953" s="163" t="s">
        <v>418</v>
      </c>
      <c r="C953" s="284"/>
      <c r="D953" s="284"/>
      <c r="E953" s="284"/>
      <c r="F953" s="11"/>
      <c r="G953" s="11"/>
      <c r="H953" s="143" t="s">
        <v>427</v>
      </c>
      <c r="I953" s="44"/>
      <c r="J953" s="45"/>
      <c r="K953" s="47"/>
      <c r="L953" s="48"/>
      <c r="M953" s="46"/>
      <c r="N953" s="46"/>
      <c r="O953" s="407"/>
      <c r="P953" s="49">
        <f t="shared" si="28"/>
        <v>0</v>
      </c>
      <c r="Q953" s="49">
        <f t="shared" si="29"/>
        <v>0</v>
      </c>
    </row>
    <row r="954" spans="1:17" x14ac:dyDescent="0.35">
      <c r="A954" s="11" t="s">
        <v>633</v>
      </c>
      <c r="B954" s="163" t="s">
        <v>418</v>
      </c>
      <c r="C954" s="284"/>
      <c r="D954" s="284"/>
      <c r="E954" s="284"/>
      <c r="F954" s="11"/>
      <c r="G954" s="11"/>
      <c r="H954" s="62" t="s">
        <v>428</v>
      </c>
      <c r="I954" s="44"/>
      <c r="J954" s="45"/>
      <c r="K954" s="47"/>
      <c r="L954" s="48"/>
      <c r="M954" s="46"/>
      <c r="N954" s="46"/>
      <c r="O954" s="407"/>
      <c r="P954" s="49">
        <f t="shared" si="28"/>
        <v>0</v>
      </c>
      <c r="Q954" s="49">
        <f t="shared" si="29"/>
        <v>0</v>
      </c>
    </row>
    <row r="955" spans="1:17" ht="37.5" x14ac:dyDescent="0.35">
      <c r="A955" s="11" t="s">
        <v>633</v>
      </c>
      <c r="B955" s="163" t="s">
        <v>418</v>
      </c>
      <c r="C955" s="284"/>
      <c r="D955" s="284"/>
      <c r="E955" s="284"/>
      <c r="F955" s="11"/>
      <c r="G955" s="11"/>
      <c r="H955" s="143" t="s">
        <v>429</v>
      </c>
      <c r="I955" s="44"/>
      <c r="J955" s="45"/>
      <c r="K955" s="47"/>
      <c r="L955" s="48"/>
      <c r="M955" s="46"/>
      <c r="N955" s="46"/>
      <c r="O955" s="407"/>
      <c r="P955" s="49">
        <f t="shared" si="28"/>
        <v>0</v>
      </c>
      <c r="Q955" s="49">
        <f t="shared" si="29"/>
        <v>0</v>
      </c>
    </row>
    <row r="956" spans="1:17" ht="13" x14ac:dyDescent="0.35">
      <c r="A956" s="11" t="s">
        <v>633</v>
      </c>
      <c r="B956" s="163" t="s">
        <v>418</v>
      </c>
      <c r="C956" s="284"/>
      <c r="D956" s="284"/>
      <c r="E956" s="284"/>
      <c r="F956" s="11"/>
      <c r="G956" s="11"/>
      <c r="H956" s="57" t="s">
        <v>430</v>
      </c>
      <c r="I956" s="44"/>
      <c r="J956" s="45"/>
      <c r="K956" s="47"/>
      <c r="L956" s="48"/>
      <c r="M956" s="46"/>
      <c r="N956" s="46"/>
      <c r="O956" s="407"/>
      <c r="P956" s="49">
        <f t="shared" si="28"/>
        <v>0</v>
      </c>
      <c r="Q956" s="49">
        <f t="shared" si="29"/>
        <v>0</v>
      </c>
    </row>
    <row r="957" spans="1:17" ht="13" x14ac:dyDescent="0.35">
      <c r="A957" s="11" t="s">
        <v>633</v>
      </c>
      <c r="B957" s="163" t="s">
        <v>418</v>
      </c>
      <c r="C957" s="284"/>
      <c r="D957" s="284"/>
      <c r="E957" s="284"/>
      <c r="F957" s="11"/>
      <c r="G957" s="11"/>
      <c r="H957" s="57" t="s">
        <v>431</v>
      </c>
      <c r="I957" s="44"/>
      <c r="J957" s="45"/>
      <c r="K957" s="47"/>
      <c r="L957" s="48"/>
      <c r="M957" s="46"/>
      <c r="N957" s="46"/>
      <c r="O957" s="407"/>
      <c r="P957" s="49">
        <f t="shared" si="28"/>
        <v>0</v>
      </c>
      <c r="Q957" s="49">
        <f t="shared" si="29"/>
        <v>0</v>
      </c>
    </row>
    <row r="958" spans="1:17" ht="26" x14ac:dyDescent="0.35">
      <c r="A958" s="11" t="s">
        <v>633</v>
      </c>
      <c r="B958" s="163" t="s">
        <v>418</v>
      </c>
      <c r="C958" s="284"/>
      <c r="D958" s="284"/>
      <c r="E958" s="284"/>
      <c r="F958" s="11"/>
      <c r="G958" s="11"/>
      <c r="H958" s="57" t="s">
        <v>432</v>
      </c>
      <c r="I958" s="44"/>
      <c r="J958" s="45"/>
      <c r="K958" s="47"/>
      <c r="L958" s="48"/>
      <c r="M958" s="46"/>
      <c r="N958" s="46"/>
      <c r="O958" s="407"/>
      <c r="P958" s="49">
        <f t="shared" si="28"/>
        <v>0</v>
      </c>
      <c r="Q958" s="49">
        <f t="shared" si="29"/>
        <v>0</v>
      </c>
    </row>
    <row r="959" spans="1:17" ht="14.5" x14ac:dyDescent="0.35">
      <c r="A959" s="11" t="s">
        <v>633</v>
      </c>
      <c r="B959" s="163" t="s">
        <v>418</v>
      </c>
      <c r="C959" s="284"/>
      <c r="D959" s="284"/>
      <c r="E959" s="284"/>
      <c r="F959" s="11" t="s">
        <v>20</v>
      </c>
      <c r="G959" s="11"/>
      <c r="H959" s="60" t="s">
        <v>433</v>
      </c>
      <c r="I959" s="44" t="s">
        <v>110</v>
      </c>
      <c r="J959" s="45">
        <f>J869</f>
        <v>702</v>
      </c>
      <c r="K959" s="47">
        <v>85</v>
      </c>
      <c r="L959" s="48">
        <f>J959*K959</f>
        <v>59670</v>
      </c>
      <c r="M959" s="46">
        <f>M869</f>
        <v>702</v>
      </c>
      <c r="N959" s="46">
        <f>N869</f>
        <v>702</v>
      </c>
      <c r="O959" s="407">
        <v>85</v>
      </c>
      <c r="P959" s="49">
        <f t="shared" si="28"/>
        <v>59670</v>
      </c>
      <c r="Q959" s="49">
        <f t="shared" si="29"/>
        <v>59670</v>
      </c>
    </row>
    <row r="960" spans="1:17" ht="14.5" x14ac:dyDescent="0.35">
      <c r="A960" s="11" t="s">
        <v>633</v>
      </c>
      <c r="B960" s="163" t="s">
        <v>418</v>
      </c>
      <c r="C960" s="284"/>
      <c r="D960" s="284"/>
      <c r="E960" s="284"/>
      <c r="F960" s="11" t="s">
        <v>26</v>
      </c>
      <c r="G960" s="11"/>
      <c r="H960" s="60" t="s">
        <v>434</v>
      </c>
      <c r="I960" s="44" t="s">
        <v>110</v>
      </c>
      <c r="J960" s="45">
        <f>J959*0.15</f>
        <v>105.3</v>
      </c>
      <c r="K960" s="47">
        <v>85</v>
      </c>
      <c r="L960" s="48">
        <f>J960*K960</f>
        <v>8950.5</v>
      </c>
      <c r="M960" s="46">
        <f>M959*0.15</f>
        <v>105.3</v>
      </c>
      <c r="N960" s="46">
        <f>N959*0.15</f>
        <v>105.3</v>
      </c>
      <c r="O960" s="407">
        <v>85</v>
      </c>
      <c r="P960" s="49">
        <f t="shared" si="28"/>
        <v>8950.5</v>
      </c>
      <c r="Q960" s="49">
        <f t="shared" si="29"/>
        <v>8950.5</v>
      </c>
    </row>
    <row r="961" spans="1:17" ht="13" x14ac:dyDescent="0.35">
      <c r="A961" s="11" t="s">
        <v>633</v>
      </c>
      <c r="B961" s="163" t="s">
        <v>418</v>
      </c>
      <c r="C961" s="284"/>
      <c r="D961" s="284"/>
      <c r="E961" s="284"/>
      <c r="F961" s="11"/>
      <c r="G961" s="11"/>
      <c r="H961" s="57" t="s">
        <v>689</v>
      </c>
      <c r="I961" s="44"/>
      <c r="J961" s="45"/>
      <c r="K961" s="47"/>
      <c r="L961" s="48"/>
      <c r="M961" s="46"/>
      <c r="N961" s="46"/>
      <c r="O961" s="407"/>
      <c r="P961" s="49">
        <f t="shared" si="28"/>
        <v>0</v>
      </c>
      <c r="Q961" s="49">
        <f t="shared" si="29"/>
        <v>0</v>
      </c>
    </row>
    <row r="962" spans="1:17" ht="26" x14ac:dyDescent="0.35">
      <c r="A962" s="11" t="s">
        <v>633</v>
      </c>
      <c r="B962" s="163" t="s">
        <v>418</v>
      </c>
      <c r="C962" s="284"/>
      <c r="D962" s="284"/>
      <c r="E962" s="284"/>
      <c r="F962" s="11"/>
      <c r="G962" s="11"/>
      <c r="H962" s="57" t="s">
        <v>690</v>
      </c>
      <c r="I962" s="44"/>
      <c r="J962" s="45"/>
      <c r="K962" s="47"/>
      <c r="L962" s="48"/>
      <c r="M962" s="46"/>
      <c r="N962" s="46"/>
      <c r="O962" s="407"/>
      <c r="P962" s="49">
        <f t="shared" si="28"/>
        <v>0</v>
      </c>
      <c r="Q962" s="49">
        <f t="shared" si="29"/>
        <v>0</v>
      </c>
    </row>
    <row r="963" spans="1:17" ht="14.5" x14ac:dyDescent="0.35">
      <c r="A963" s="11" t="s">
        <v>633</v>
      </c>
      <c r="B963" s="163" t="s">
        <v>418</v>
      </c>
      <c r="C963" s="284"/>
      <c r="D963" s="284"/>
      <c r="E963" s="284"/>
      <c r="F963" s="11" t="s">
        <v>29</v>
      </c>
      <c r="G963" s="11"/>
      <c r="H963" s="60" t="s">
        <v>691</v>
      </c>
      <c r="I963" s="44" t="s">
        <v>110</v>
      </c>
      <c r="J963" s="45">
        <v>11</v>
      </c>
      <c r="K963" s="47">
        <v>85</v>
      </c>
      <c r="L963" s="48">
        <f>J963*K963</f>
        <v>935</v>
      </c>
      <c r="M963" s="46">
        <v>11</v>
      </c>
      <c r="N963" s="46">
        <v>11</v>
      </c>
      <c r="O963" s="407">
        <v>85</v>
      </c>
      <c r="P963" s="49">
        <f t="shared" si="28"/>
        <v>935</v>
      </c>
      <c r="Q963" s="49">
        <f t="shared" si="29"/>
        <v>935</v>
      </c>
    </row>
    <row r="964" spans="1:17" ht="13" x14ac:dyDescent="0.35">
      <c r="A964" s="11" t="s">
        <v>633</v>
      </c>
      <c r="B964" s="163" t="s">
        <v>418</v>
      </c>
      <c r="C964" s="284"/>
      <c r="D964" s="284"/>
      <c r="E964" s="284"/>
      <c r="F964" s="11"/>
      <c r="G964" s="11"/>
      <c r="H964" s="57" t="s">
        <v>435</v>
      </c>
      <c r="I964" s="44"/>
      <c r="J964" s="45"/>
      <c r="K964" s="47"/>
      <c r="L964" s="48"/>
      <c r="M964" s="46"/>
      <c r="N964" s="46"/>
      <c r="O964" s="407"/>
      <c r="P964" s="49">
        <f t="shared" si="28"/>
        <v>0</v>
      </c>
      <c r="Q964" s="49">
        <f t="shared" si="29"/>
        <v>0</v>
      </c>
    </row>
    <row r="965" spans="1:17" ht="26" x14ac:dyDescent="0.35">
      <c r="A965" s="11" t="s">
        <v>633</v>
      </c>
      <c r="B965" s="163" t="s">
        <v>418</v>
      </c>
      <c r="C965" s="284"/>
      <c r="D965" s="284"/>
      <c r="E965" s="284"/>
      <c r="F965" s="11"/>
      <c r="G965" s="11"/>
      <c r="H965" s="57" t="s">
        <v>436</v>
      </c>
      <c r="I965" s="44"/>
      <c r="J965" s="45"/>
      <c r="K965" s="47"/>
      <c r="L965" s="48"/>
      <c r="M965" s="46"/>
      <c r="N965" s="46"/>
      <c r="O965" s="407"/>
      <c r="P965" s="49">
        <f t="shared" si="28"/>
        <v>0</v>
      </c>
      <c r="Q965" s="49">
        <f t="shared" si="29"/>
        <v>0</v>
      </c>
    </row>
    <row r="966" spans="1:17" ht="14.5" x14ac:dyDescent="0.35">
      <c r="A966" s="11" t="s">
        <v>633</v>
      </c>
      <c r="B966" s="163" t="s">
        <v>418</v>
      </c>
      <c r="C966" s="284"/>
      <c r="D966" s="284"/>
      <c r="E966" s="284"/>
      <c r="F966" s="144" t="s">
        <v>32</v>
      </c>
      <c r="G966" s="144"/>
      <c r="H966" s="146" t="s">
        <v>437</v>
      </c>
      <c r="I966" s="147" t="s">
        <v>110</v>
      </c>
      <c r="J966" s="206">
        <f>J765</f>
        <v>295</v>
      </c>
      <c r="K966" s="208">
        <v>85</v>
      </c>
      <c r="L966" s="151">
        <f>J966*K966</f>
        <v>25075</v>
      </c>
      <c r="M966" s="207">
        <f>M765</f>
        <v>295</v>
      </c>
      <c r="N966" s="207">
        <f>N765</f>
        <v>295</v>
      </c>
      <c r="O966" s="423">
        <v>85</v>
      </c>
      <c r="P966" s="152">
        <f t="shared" si="28"/>
        <v>25075</v>
      </c>
      <c r="Q966" s="152">
        <f t="shared" si="29"/>
        <v>25075</v>
      </c>
    </row>
    <row r="967" spans="1:17" ht="14.5" x14ac:dyDescent="0.35">
      <c r="A967" s="11" t="s">
        <v>633</v>
      </c>
      <c r="B967" s="163" t="s">
        <v>418</v>
      </c>
      <c r="C967" s="284"/>
      <c r="D967" s="284"/>
      <c r="E967" s="284"/>
      <c r="F967" s="11" t="s">
        <v>36</v>
      </c>
      <c r="G967" s="11"/>
      <c r="H967" s="60" t="s">
        <v>438</v>
      </c>
      <c r="I967" s="44" t="s">
        <v>110</v>
      </c>
      <c r="J967" s="45">
        <f>J768*0.3</f>
        <v>103.5</v>
      </c>
      <c r="K967" s="47">
        <v>85</v>
      </c>
      <c r="L967" s="48">
        <f>J967*K967</f>
        <v>8797.5</v>
      </c>
      <c r="M967" s="46">
        <f>M768*0.3</f>
        <v>103.5</v>
      </c>
      <c r="N967" s="46">
        <f>N768*0.3</f>
        <v>103.5</v>
      </c>
      <c r="O967" s="407">
        <v>85</v>
      </c>
      <c r="P967" s="49">
        <f t="shared" si="28"/>
        <v>8797.5</v>
      </c>
      <c r="Q967" s="49">
        <f t="shared" si="29"/>
        <v>8797.5</v>
      </c>
    </row>
    <row r="968" spans="1:17" x14ac:dyDescent="0.35">
      <c r="A968" s="11" t="s">
        <v>633</v>
      </c>
      <c r="B968" s="163" t="s">
        <v>418</v>
      </c>
      <c r="C968" s="284"/>
      <c r="D968" s="284"/>
      <c r="E968" s="284"/>
      <c r="F968" s="11" t="s">
        <v>39</v>
      </c>
      <c r="G968" s="134"/>
      <c r="H968" s="60" t="s">
        <v>692</v>
      </c>
      <c r="I968" s="44" t="s">
        <v>186</v>
      </c>
      <c r="J968" s="209">
        <v>106</v>
      </c>
      <c r="K968" s="211">
        <v>95</v>
      </c>
      <c r="L968" s="48">
        <f>J968*K968</f>
        <v>10070</v>
      </c>
      <c r="M968" s="210">
        <v>106</v>
      </c>
      <c r="N968" s="210">
        <v>106</v>
      </c>
      <c r="O968" s="424">
        <v>95</v>
      </c>
      <c r="P968" s="49">
        <f t="shared" si="28"/>
        <v>10070</v>
      </c>
      <c r="Q968" s="49">
        <f t="shared" si="29"/>
        <v>10070</v>
      </c>
    </row>
    <row r="969" spans="1:17" ht="13" x14ac:dyDescent="0.35">
      <c r="A969" s="11" t="s">
        <v>633</v>
      </c>
      <c r="B969" s="163" t="s">
        <v>418</v>
      </c>
      <c r="C969" s="284"/>
      <c r="D969" s="284"/>
      <c r="E969" s="284"/>
      <c r="F969" s="11"/>
      <c r="G969" s="134"/>
      <c r="H969" s="57" t="s">
        <v>440</v>
      </c>
      <c r="I969" s="44"/>
      <c r="J969" s="122"/>
      <c r="K969" s="121"/>
      <c r="L969" s="48"/>
      <c r="M969" s="120"/>
      <c r="N969" s="120"/>
      <c r="O969" s="413"/>
      <c r="P969" s="49">
        <f t="shared" si="28"/>
        <v>0</v>
      </c>
      <c r="Q969" s="49">
        <f t="shared" si="29"/>
        <v>0</v>
      </c>
    </row>
    <row r="970" spans="1:17" ht="26" x14ac:dyDescent="0.35">
      <c r="A970" s="11" t="s">
        <v>633</v>
      </c>
      <c r="B970" s="163" t="s">
        <v>418</v>
      </c>
      <c r="C970" s="284"/>
      <c r="D970" s="284"/>
      <c r="E970" s="284"/>
      <c r="F970" s="11"/>
      <c r="G970" s="134"/>
      <c r="H970" s="57" t="s">
        <v>441</v>
      </c>
      <c r="I970" s="44"/>
      <c r="J970" s="122"/>
      <c r="K970" s="121"/>
      <c r="L970" s="48"/>
      <c r="M970" s="120"/>
      <c r="N970" s="120"/>
      <c r="O970" s="413"/>
      <c r="P970" s="49">
        <f t="shared" ref="P970:P1033" si="30">O970*M970</f>
        <v>0</v>
      </c>
      <c r="Q970" s="49">
        <f t="shared" ref="Q970:Q1033" si="31">O970*N970</f>
        <v>0</v>
      </c>
    </row>
    <row r="971" spans="1:17" ht="14.5" x14ac:dyDescent="0.35">
      <c r="A971" s="11" t="s">
        <v>633</v>
      </c>
      <c r="B971" s="163" t="s">
        <v>418</v>
      </c>
      <c r="C971" s="284"/>
      <c r="D971" s="284"/>
      <c r="E971" s="284"/>
      <c r="F971" s="11" t="s">
        <v>42</v>
      </c>
      <c r="G971" s="134"/>
      <c r="H971" s="60" t="s">
        <v>442</v>
      </c>
      <c r="I971" s="44" t="s">
        <v>110</v>
      </c>
      <c r="J971" s="122">
        <v>50</v>
      </c>
      <c r="K971" s="121">
        <v>85</v>
      </c>
      <c r="L971" s="48">
        <f>J971*K971</f>
        <v>4250</v>
      </c>
      <c r="M971" s="120">
        <v>50</v>
      </c>
      <c r="N971" s="120">
        <v>50</v>
      </c>
      <c r="O971" s="413">
        <v>85</v>
      </c>
      <c r="P971" s="49">
        <f t="shared" si="30"/>
        <v>4250</v>
      </c>
      <c r="Q971" s="49">
        <f t="shared" si="31"/>
        <v>4250</v>
      </c>
    </row>
    <row r="972" spans="1:17" ht="14.5" x14ac:dyDescent="0.35">
      <c r="A972" s="11" t="s">
        <v>633</v>
      </c>
      <c r="B972" s="163" t="s">
        <v>418</v>
      </c>
      <c r="C972" s="284"/>
      <c r="D972" s="284"/>
      <c r="E972" s="284"/>
      <c r="F972" s="11" t="s">
        <v>45</v>
      </c>
      <c r="G972" s="134"/>
      <c r="H972" s="60" t="s">
        <v>443</v>
      </c>
      <c r="I972" s="44" t="s">
        <v>110</v>
      </c>
      <c r="J972" s="122">
        <v>32</v>
      </c>
      <c r="K972" s="121">
        <v>85</v>
      </c>
      <c r="L972" s="48">
        <f>J972*K972</f>
        <v>2720</v>
      </c>
      <c r="M972" s="120">
        <v>32</v>
      </c>
      <c r="N972" s="120">
        <v>32</v>
      </c>
      <c r="O972" s="413">
        <v>85</v>
      </c>
      <c r="P972" s="49">
        <f t="shared" si="30"/>
        <v>2720</v>
      </c>
      <c r="Q972" s="49">
        <f t="shared" si="31"/>
        <v>2720</v>
      </c>
    </row>
    <row r="973" spans="1:17" ht="13" x14ac:dyDescent="0.35">
      <c r="A973" s="11" t="s">
        <v>633</v>
      </c>
      <c r="B973" s="163" t="s">
        <v>418</v>
      </c>
      <c r="C973" s="284"/>
      <c r="D973" s="284"/>
      <c r="E973" s="284"/>
      <c r="F973" s="11"/>
      <c r="G973" s="134"/>
      <c r="H973" s="193" t="s">
        <v>693</v>
      </c>
      <c r="I973" s="44"/>
      <c r="J973" s="212"/>
      <c r="K973" s="214"/>
      <c r="L973" s="48"/>
      <c r="M973" s="213"/>
      <c r="N973" s="213"/>
      <c r="O973" s="424"/>
      <c r="P973" s="49">
        <f t="shared" si="30"/>
        <v>0</v>
      </c>
      <c r="Q973" s="49">
        <f t="shared" si="31"/>
        <v>0</v>
      </c>
    </row>
    <row r="974" spans="1:17" ht="26" x14ac:dyDescent="0.35">
      <c r="A974" s="11" t="s">
        <v>633</v>
      </c>
      <c r="B974" s="163" t="s">
        <v>418</v>
      </c>
      <c r="C974" s="284"/>
      <c r="D974" s="284"/>
      <c r="E974" s="284"/>
      <c r="F974" s="11"/>
      <c r="G974" s="134"/>
      <c r="H974" s="57" t="s">
        <v>694</v>
      </c>
      <c r="I974" s="44"/>
      <c r="J974" s="212"/>
      <c r="K974" s="214"/>
      <c r="L974" s="48"/>
      <c r="M974" s="213"/>
      <c r="N974" s="213"/>
      <c r="O974" s="424"/>
      <c r="P974" s="49">
        <f t="shared" si="30"/>
        <v>0</v>
      </c>
      <c r="Q974" s="49">
        <f t="shared" si="31"/>
        <v>0</v>
      </c>
    </row>
    <row r="975" spans="1:17" ht="14.5" x14ac:dyDescent="0.35">
      <c r="A975" s="11" t="s">
        <v>633</v>
      </c>
      <c r="B975" s="163" t="s">
        <v>418</v>
      </c>
      <c r="C975" s="284"/>
      <c r="D975" s="284"/>
      <c r="E975" s="284"/>
      <c r="F975" s="11" t="s">
        <v>48</v>
      </c>
      <c r="G975" s="134"/>
      <c r="H975" s="60" t="s">
        <v>695</v>
      </c>
      <c r="I975" s="44" t="s">
        <v>110</v>
      </c>
      <c r="J975" s="212">
        <v>72</v>
      </c>
      <c r="K975" s="211">
        <v>85</v>
      </c>
      <c r="L975" s="48">
        <f>J975*K975</f>
        <v>6120</v>
      </c>
      <c r="M975" s="213">
        <v>72</v>
      </c>
      <c r="N975" s="213">
        <v>72</v>
      </c>
      <c r="O975" s="424">
        <v>85</v>
      </c>
      <c r="P975" s="49">
        <f t="shared" si="30"/>
        <v>6120</v>
      </c>
      <c r="Q975" s="49">
        <f t="shared" si="31"/>
        <v>6120</v>
      </c>
    </row>
    <row r="976" spans="1:17" x14ac:dyDescent="0.35">
      <c r="A976" s="11" t="s">
        <v>633</v>
      </c>
      <c r="B976" s="163" t="s">
        <v>418</v>
      </c>
      <c r="C976" s="284"/>
      <c r="D976" s="284"/>
      <c r="E976" s="284"/>
      <c r="F976" s="11" t="s">
        <v>51</v>
      </c>
      <c r="G976" s="134"/>
      <c r="H976" s="60" t="s">
        <v>696</v>
      </c>
      <c r="I976" s="44" t="s">
        <v>186</v>
      </c>
      <c r="J976" s="215">
        <v>320</v>
      </c>
      <c r="K976" s="211">
        <v>95</v>
      </c>
      <c r="L976" s="48">
        <f>J976*K976</f>
        <v>30400</v>
      </c>
      <c r="M976" s="216">
        <v>320</v>
      </c>
      <c r="N976" s="216">
        <v>320</v>
      </c>
      <c r="O976" s="424">
        <v>95</v>
      </c>
      <c r="P976" s="49">
        <f t="shared" si="30"/>
        <v>30400</v>
      </c>
      <c r="Q976" s="49">
        <f t="shared" si="31"/>
        <v>30400</v>
      </c>
    </row>
    <row r="977" spans="1:17" ht="13" x14ac:dyDescent="0.35">
      <c r="A977" s="11" t="s">
        <v>633</v>
      </c>
      <c r="B977" s="163" t="s">
        <v>448</v>
      </c>
      <c r="C977" s="284"/>
      <c r="D977" s="284"/>
      <c r="E977" s="284"/>
      <c r="F977" s="217"/>
      <c r="G977" s="50"/>
      <c r="H977" s="43" t="s">
        <v>95</v>
      </c>
      <c r="I977" s="44"/>
      <c r="J977" s="45"/>
      <c r="K977" s="47"/>
      <c r="L977" s="55"/>
      <c r="M977" s="46"/>
      <c r="N977" s="46"/>
      <c r="O977" s="407"/>
      <c r="P977" s="56">
        <f t="shared" si="30"/>
        <v>0</v>
      </c>
      <c r="Q977" s="56">
        <f t="shared" si="31"/>
        <v>0</v>
      </c>
    </row>
    <row r="978" spans="1:17" ht="13" x14ac:dyDescent="0.35">
      <c r="A978" s="11" t="s">
        <v>633</v>
      </c>
      <c r="B978" s="163" t="s">
        <v>448</v>
      </c>
      <c r="C978" s="284"/>
      <c r="D978" s="284"/>
      <c r="E978" s="284"/>
      <c r="F978" s="217"/>
      <c r="G978" s="50"/>
      <c r="H978" s="43" t="s">
        <v>635</v>
      </c>
      <c r="I978" s="44"/>
      <c r="J978" s="45"/>
      <c r="K978" s="47"/>
      <c r="L978" s="55"/>
      <c r="M978" s="46"/>
      <c r="N978" s="46"/>
      <c r="O978" s="407"/>
      <c r="P978" s="56">
        <f t="shared" si="30"/>
        <v>0</v>
      </c>
      <c r="Q978" s="56">
        <f t="shared" si="31"/>
        <v>0</v>
      </c>
    </row>
    <row r="979" spans="1:17" ht="13" x14ac:dyDescent="0.35">
      <c r="A979" s="11" t="s">
        <v>633</v>
      </c>
      <c r="B979" s="163" t="s">
        <v>448</v>
      </c>
      <c r="C979" s="284"/>
      <c r="D979" s="284"/>
      <c r="E979" s="284"/>
      <c r="F979" s="217"/>
      <c r="G979" s="50"/>
      <c r="H979" s="43" t="s">
        <v>449</v>
      </c>
      <c r="I979" s="44"/>
      <c r="J979" s="45"/>
      <c r="K979" s="47"/>
      <c r="L979" s="55"/>
      <c r="M979" s="46"/>
      <c r="N979" s="46"/>
      <c r="O979" s="407"/>
      <c r="P979" s="56">
        <f t="shared" si="30"/>
        <v>0</v>
      </c>
      <c r="Q979" s="56">
        <f t="shared" si="31"/>
        <v>0</v>
      </c>
    </row>
    <row r="980" spans="1:17" ht="13" x14ac:dyDescent="0.35">
      <c r="A980" s="11" t="s">
        <v>633</v>
      </c>
      <c r="B980" s="163" t="s">
        <v>448</v>
      </c>
      <c r="C980" s="284"/>
      <c r="D980" s="284"/>
      <c r="E980" s="284"/>
      <c r="F980" s="217"/>
      <c r="G980" s="50"/>
      <c r="H980" s="43" t="s">
        <v>697</v>
      </c>
      <c r="I980" s="44"/>
      <c r="J980" s="45"/>
      <c r="K980" s="47"/>
      <c r="L980" s="55"/>
      <c r="M980" s="46"/>
      <c r="N980" s="46"/>
      <c r="O980" s="407"/>
      <c r="P980" s="56">
        <f t="shared" si="30"/>
        <v>0</v>
      </c>
      <c r="Q980" s="56">
        <f t="shared" si="31"/>
        <v>0</v>
      </c>
    </row>
    <row r="981" spans="1:17" ht="13" x14ac:dyDescent="0.35">
      <c r="A981" s="11" t="s">
        <v>633</v>
      </c>
      <c r="B981" s="163" t="s">
        <v>448</v>
      </c>
      <c r="C981" s="284"/>
      <c r="D981" s="284"/>
      <c r="E981" s="284"/>
      <c r="F981" s="217"/>
      <c r="G981" s="50"/>
      <c r="H981" s="57" t="s">
        <v>100</v>
      </c>
      <c r="I981" s="44"/>
      <c r="J981" s="45"/>
      <c r="K981" s="47"/>
      <c r="L981" s="55"/>
      <c r="M981" s="46"/>
      <c r="N981" s="46"/>
      <c r="O981" s="407"/>
      <c r="P981" s="56">
        <f t="shared" si="30"/>
        <v>0</v>
      </c>
      <c r="Q981" s="56">
        <f t="shared" si="31"/>
        <v>0</v>
      </c>
    </row>
    <row r="982" spans="1:17" ht="13" x14ac:dyDescent="0.35">
      <c r="A982" s="11" t="s">
        <v>633</v>
      </c>
      <c r="B982" s="163" t="s">
        <v>448</v>
      </c>
      <c r="C982" s="284"/>
      <c r="D982" s="284"/>
      <c r="E982" s="284"/>
      <c r="F982" s="217"/>
      <c r="G982" s="50"/>
      <c r="H982" s="60" t="s">
        <v>101</v>
      </c>
      <c r="I982" s="44"/>
      <c r="J982" s="45"/>
      <c r="K982" s="47"/>
      <c r="L982" s="55"/>
      <c r="M982" s="46"/>
      <c r="N982" s="46"/>
      <c r="O982" s="407"/>
      <c r="P982" s="56">
        <f t="shared" si="30"/>
        <v>0</v>
      </c>
      <c r="Q982" s="56">
        <f t="shared" si="31"/>
        <v>0</v>
      </c>
    </row>
    <row r="983" spans="1:17" ht="13" x14ac:dyDescent="0.3">
      <c r="A983" s="11" t="s">
        <v>633</v>
      </c>
      <c r="B983" s="163" t="s">
        <v>448</v>
      </c>
      <c r="C983" s="284"/>
      <c r="D983" s="284"/>
      <c r="E983" s="284"/>
      <c r="F983" s="217"/>
      <c r="G983" s="50"/>
      <c r="H983" s="218" t="s">
        <v>698</v>
      </c>
      <c r="I983" s="44"/>
      <c r="J983" s="45"/>
      <c r="K983" s="47"/>
      <c r="L983" s="55"/>
      <c r="M983" s="46"/>
      <c r="N983" s="46"/>
      <c r="O983" s="407"/>
      <c r="P983" s="56">
        <f t="shared" si="30"/>
        <v>0</v>
      </c>
      <c r="Q983" s="56">
        <f t="shared" si="31"/>
        <v>0</v>
      </c>
    </row>
    <row r="984" spans="1:17" ht="13" x14ac:dyDescent="0.3">
      <c r="A984" s="11" t="s">
        <v>633</v>
      </c>
      <c r="B984" s="163" t="s">
        <v>448</v>
      </c>
      <c r="C984" s="284"/>
      <c r="D984" s="284"/>
      <c r="E984" s="284"/>
      <c r="F984" s="217"/>
      <c r="G984" s="50"/>
      <c r="H984" s="219" t="s">
        <v>699</v>
      </c>
      <c r="I984" s="44"/>
      <c r="J984" s="45"/>
      <c r="K984" s="47"/>
      <c r="L984" s="55"/>
      <c r="M984" s="46"/>
      <c r="N984" s="46"/>
      <c r="O984" s="407"/>
      <c r="P984" s="56">
        <f t="shared" si="30"/>
        <v>0</v>
      </c>
      <c r="Q984" s="56">
        <f t="shared" si="31"/>
        <v>0</v>
      </c>
    </row>
    <row r="985" spans="1:17" ht="26" x14ac:dyDescent="0.3">
      <c r="A985" s="11" t="s">
        <v>633</v>
      </c>
      <c r="B985" s="163" t="s">
        <v>448</v>
      </c>
      <c r="C985" s="284"/>
      <c r="D985" s="284"/>
      <c r="E985" s="284"/>
      <c r="F985" s="217"/>
      <c r="G985" s="50"/>
      <c r="H985" s="219" t="s">
        <v>452</v>
      </c>
      <c r="I985" s="44"/>
      <c r="J985" s="45"/>
      <c r="K985" s="47"/>
      <c r="L985" s="55"/>
      <c r="M985" s="46"/>
      <c r="N985" s="46"/>
      <c r="O985" s="407"/>
      <c r="P985" s="56">
        <f t="shared" si="30"/>
        <v>0</v>
      </c>
      <c r="Q985" s="56">
        <f t="shared" si="31"/>
        <v>0</v>
      </c>
    </row>
    <row r="986" spans="1:17" ht="50" x14ac:dyDescent="0.25">
      <c r="A986" s="11" t="s">
        <v>633</v>
      </c>
      <c r="B986" s="163" t="s">
        <v>448</v>
      </c>
      <c r="C986" s="284"/>
      <c r="D986" s="284"/>
      <c r="E986" s="284"/>
      <c r="F986" s="217"/>
      <c r="G986" s="50"/>
      <c r="H986" s="220" t="s">
        <v>453</v>
      </c>
      <c r="I986" s="44"/>
      <c r="J986" s="45"/>
      <c r="K986" s="47"/>
      <c r="L986" s="55"/>
      <c r="M986" s="46"/>
      <c r="N986" s="46"/>
      <c r="O986" s="407"/>
      <c r="P986" s="56">
        <f t="shared" si="30"/>
        <v>0</v>
      </c>
      <c r="Q986" s="56">
        <f t="shared" si="31"/>
        <v>0</v>
      </c>
    </row>
    <row r="987" spans="1:17" ht="13" x14ac:dyDescent="0.3">
      <c r="A987" s="11" t="s">
        <v>633</v>
      </c>
      <c r="B987" s="163" t="s">
        <v>448</v>
      </c>
      <c r="C987" s="284"/>
      <c r="D987" s="284"/>
      <c r="E987" s="284"/>
      <c r="F987" s="217"/>
      <c r="G987" s="50"/>
      <c r="H987" s="218" t="s">
        <v>700</v>
      </c>
      <c r="I987" s="44"/>
      <c r="J987" s="45"/>
      <c r="K987" s="47"/>
      <c r="L987" s="55"/>
      <c r="M987" s="46"/>
      <c r="N987" s="46"/>
      <c r="O987" s="407"/>
      <c r="P987" s="56">
        <f t="shared" si="30"/>
        <v>0</v>
      </c>
      <c r="Q987" s="56">
        <f t="shared" si="31"/>
        <v>0</v>
      </c>
    </row>
    <row r="988" spans="1:17" ht="62.5" x14ac:dyDescent="0.35">
      <c r="A988" s="11" t="s">
        <v>633</v>
      </c>
      <c r="B988" s="163" t="s">
        <v>448</v>
      </c>
      <c r="C988" s="284"/>
      <c r="D988" s="284"/>
      <c r="E988" s="284"/>
      <c r="F988" s="163" t="s">
        <v>20</v>
      </c>
      <c r="G988" s="50"/>
      <c r="H988" s="159" t="s">
        <v>455</v>
      </c>
      <c r="I988" s="44" t="s">
        <v>175</v>
      </c>
      <c r="J988" s="45">
        <v>1</v>
      </c>
      <c r="K988" s="47">
        <v>4000</v>
      </c>
      <c r="L988" s="48">
        <f>J988*K988</f>
        <v>4000</v>
      </c>
      <c r="M988" s="46">
        <v>1</v>
      </c>
      <c r="N988" s="46">
        <v>1</v>
      </c>
      <c r="O988" s="407">
        <v>4000</v>
      </c>
      <c r="P988" s="49">
        <f t="shared" si="30"/>
        <v>4000</v>
      </c>
      <c r="Q988" s="49">
        <f t="shared" si="31"/>
        <v>4000</v>
      </c>
    </row>
    <row r="989" spans="1:17" ht="13" x14ac:dyDescent="0.35">
      <c r="A989" s="11" t="s">
        <v>633</v>
      </c>
      <c r="B989" s="163" t="s">
        <v>448</v>
      </c>
      <c r="C989" s="284"/>
      <c r="D989" s="284"/>
      <c r="E989" s="284"/>
      <c r="F989" s="217"/>
      <c r="G989" s="50"/>
      <c r="H989" s="221" t="s">
        <v>701</v>
      </c>
      <c r="I989" s="44"/>
      <c r="J989" s="45"/>
      <c r="K989" s="47"/>
      <c r="L989" s="48"/>
      <c r="M989" s="46"/>
      <c r="N989" s="46"/>
      <c r="O989" s="407"/>
      <c r="P989" s="49">
        <f t="shared" si="30"/>
        <v>0</v>
      </c>
      <c r="Q989" s="49">
        <f t="shared" si="31"/>
        <v>0</v>
      </c>
    </row>
    <row r="990" spans="1:17" ht="13" x14ac:dyDescent="0.35">
      <c r="A990" s="11" t="s">
        <v>633</v>
      </c>
      <c r="B990" s="163" t="s">
        <v>448</v>
      </c>
      <c r="C990" s="284"/>
      <c r="D990" s="284"/>
      <c r="E990" s="284"/>
      <c r="F990" s="217"/>
      <c r="G990" s="50"/>
      <c r="H990" s="221" t="s">
        <v>457</v>
      </c>
      <c r="I990" s="44"/>
      <c r="J990" s="45"/>
      <c r="K990" s="47"/>
      <c r="L990" s="48"/>
      <c r="M990" s="46"/>
      <c r="N990" s="46"/>
      <c r="O990" s="407"/>
      <c r="P990" s="49">
        <f t="shared" si="30"/>
        <v>0</v>
      </c>
      <c r="Q990" s="49">
        <f t="shared" si="31"/>
        <v>0</v>
      </c>
    </row>
    <row r="991" spans="1:17" ht="13" x14ac:dyDescent="0.35">
      <c r="A991" s="11" t="s">
        <v>633</v>
      </c>
      <c r="B991" s="163" t="s">
        <v>448</v>
      </c>
      <c r="C991" s="284"/>
      <c r="D991" s="284"/>
      <c r="E991" s="284"/>
      <c r="F991" s="163" t="s">
        <v>26</v>
      </c>
      <c r="G991" s="50"/>
      <c r="H991" s="222" t="s">
        <v>458</v>
      </c>
      <c r="I991" s="44" t="s">
        <v>175</v>
      </c>
      <c r="J991" s="45">
        <v>5</v>
      </c>
      <c r="K991" s="47">
        <v>300</v>
      </c>
      <c r="L991" s="48">
        <f>J991*K991</f>
        <v>1500</v>
      </c>
      <c r="M991" s="46">
        <v>5</v>
      </c>
      <c r="N991" s="46">
        <v>5</v>
      </c>
      <c r="O991" s="407">
        <v>300</v>
      </c>
      <c r="P991" s="49">
        <f t="shared" si="30"/>
        <v>1500</v>
      </c>
      <c r="Q991" s="49">
        <f t="shared" si="31"/>
        <v>1500</v>
      </c>
    </row>
    <row r="992" spans="1:17" ht="13" x14ac:dyDescent="0.35">
      <c r="A992" s="11" t="s">
        <v>633</v>
      </c>
      <c r="B992" s="163" t="s">
        <v>448</v>
      </c>
      <c r="C992" s="284"/>
      <c r="D992" s="284"/>
      <c r="E992" s="284"/>
      <c r="F992" s="217" t="s">
        <v>29</v>
      </c>
      <c r="G992" s="50"/>
      <c r="H992" s="222" t="s">
        <v>459</v>
      </c>
      <c r="I992" s="44" t="s">
        <v>175</v>
      </c>
      <c r="J992" s="45">
        <v>3</v>
      </c>
      <c r="K992" s="47">
        <v>400</v>
      </c>
      <c r="L992" s="48">
        <f>J992*K992</f>
        <v>1200</v>
      </c>
      <c r="M992" s="46">
        <v>3</v>
      </c>
      <c r="N992" s="46">
        <v>3</v>
      </c>
      <c r="O992" s="407">
        <v>400</v>
      </c>
      <c r="P992" s="49">
        <f t="shared" si="30"/>
        <v>1200</v>
      </c>
      <c r="Q992" s="49">
        <f t="shared" si="31"/>
        <v>1200</v>
      </c>
    </row>
    <row r="993" spans="1:17" ht="13" x14ac:dyDescent="0.35">
      <c r="A993" s="11" t="s">
        <v>633</v>
      </c>
      <c r="B993" s="163" t="s">
        <v>448</v>
      </c>
      <c r="C993" s="284"/>
      <c r="D993" s="284"/>
      <c r="E993" s="284"/>
      <c r="F993" s="163" t="s">
        <v>32</v>
      </c>
      <c r="G993" s="50"/>
      <c r="H993" s="222" t="s">
        <v>461</v>
      </c>
      <c r="I993" s="44" t="s">
        <v>175</v>
      </c>
      <c r="J993" s="45">
        <v>1</v>
      </c>
      <c r="K993" s="47">
        <v>4500</v>
      </c>
      <c r="L993" s="48">
        <f>J993*K993</f>
        <v>4500</v>
      </c>
      <c r="M993" s="46">
        <v>1</v>
      </c>
      <c r="N993" s="46">
        <v>1</v>
      </c>
      <c r="O993" s="407">
        <v>4500</v>
      </c>
      <c r="P993" s="49">
        <f t="shared" si="30"/>
        <v>4500</v>
      </c>
      <c r="Q993" s="49">
        <f t="shared" si="31"/>
        <v>4500</v>
      </c>
    </row>
    <row r="994" spans="1:17" ht="13" x14ac:dyDescent="0.35">
      <c r="A994" s="11" t="s">
        <v>633</v>
      </c>
      <c r="B994" s="163" t="s">
        <v>448</v>
      </c>
      <c r="C994" s="284"/>
      <c r="D994" s="284"/>
      <c r="E994" s="284"/>
      <c r="F994" s="163"/>
      <c r="G994" s="50"/>
      <c r="H994" s="221" t="s">
        <v>462</v>
      </c>
      <c r="I994" s="44"/>
      <c r="J994" s="45"/>
      <c r="K994" s="47"/>
      <c r="L994" s="48"/>
      <c r="M994" s="46"/>
      <c r="N994" s="46"/>
      <c r="O994" s="407"/>
      <c r="P994" s="49">
        <f t="shared" si="30"/>
        <v>0</v>
      </c>
      <c r="Q994" s="49">
        <f t="shared" si="31"/>
        <v>0</v>
      </c>
    </row>
    <row r="995" spans="1:17" ht="13" x14ac:dyDescent="0.35">
      <c r="A995" s="11" t="s">
        <v>633</v>
      </c>
      <c r="B995" s="163" t="s">
        <v>448</v>
      </c>
      <c r="C995" s="284"/>
      <c r="D995" s="284"/>
      <c r="E995" s="284"/>
      <c r="F995" s="163" t="s">
        <v>36</v>
      </c>
      <c r="G995" s="50"/>
      <c r="H995" s="222" t="s">
        <v>463</v>
      </c>
      <c r="I995" s="44" t="s">
        <v>175</v>
      </c>
      <c r="J995" s="45">
        <v>1</v>
      </c>
      <c r="K995" s="47">
        <v>1500</v>
      </c>
      <c r="L995" s="48">
        <f>J995*K995</f>
        <v>1500</v>
      </c>
      <c r="M995" s="46">
        <v>1</v>
      </c>
      <c r="N995" s="46">
        <v>1</v>
      </c>
      <c r="O995" s="407">
        <v>1500</v>
      </c>
      <c r="P995" s="49">
        <f t="shared" si="30"/>
        <v>1500</v>
      </c>
      <c r="Q995" s="49">
        <f t="shared" si="31"/>
        <v>1500</v>
      </c>
    </row>
    <row r="996" spans="1:17" ht="13" x14ac:dyDescent="0.35">
      <c r="A996" s="11" t="s">
        <v>633</v>
      </c>
      <c r="B996" s="163" t="s">
        <v>448</v>
      </c>
      <c r="C996" s="284"/>
      <c r="D996" s="284"/>
      <c r="E996" s="284"/>
      <c r="F996" s="163"/>
      <c r="G996" s="50"/>
      <c r="H996" s="221" t="s">
        <v>702</v>
      </c>
      <c r="I996" s="44"/>
      <c r="J996" s="45"/>
      <c r="K996" s="47"/>
      <c r="L996" s="48"/>
      <c r="M996" s="46"/>
      <c r="N996" s="46"/>
      <c r="O996" s="407"/>
      <c r="P996" s="49">
        <f t="shared" si="30"/>
        <v>0</v>
      </c>
      <c r="Q996" s="49">
        <f t="shared" si="31"/>
        <v>0</v>
      </c>
    </row>
    <row r="997" spans="1:17" ht="13" x14ac:dyDescent="0.35">
      <c r="A997" s="11" t="s">
        <v>633</v>
      </c>
      <c r="B997" s="163" t="s">
        <v>448</v>
      </c>
      <c r="C997" s="284"/>
      <c r="D997" s="284"/>
      <c r="E997" s="284"/>
      <c r="F997" s="163"/>
      <c r="G997" s="50"/>
      <c r="H997" s="221" t="s">
        <v>466</v>
      </c>
      <c r="I997" s="44"/>
      <c r="J997" s="45"/>
      <c r="K997" s="47"/>
      <c r="L997" s="55"/>
      <c r="M997" s="46"/>
      <c r="N997" s="46"/>
      <c r="O997" s="407"/>
      <c r="P997" s="56">
        <f t="shared" si="30"/>
        <v>0</v>
      </c>
      <c r="Q997" s="56">
        <f t="shared" si="31"/>
        <v>0</v>
      </c>
    </row>
    <row r="998" spans="1:17" ht="13" x14ac:dyDescent="0.35">
      <c r="A998" s="11" t="s">
        <v>633</v>
      </c>
      <c r="B998" s="163" t="s">
        <v>448</v>
      </c>
      <c r="C998" s="284"/>
      <c r="D998" s="284"/>
      <c r="E998" s="284"/>
      <c r="F998" s="163" t="s">
        <v>42</v>
      </c>
      <c r="G998" s="50"/>
      <c r="H998" s="222" t="s">
        <v>467</v>
      </c>
      <c r="I998" s="44" t="s">
        <v>703</v>
      </c>
      <c r="J998" s="45">
        <v>11</v>
      </c>
      <c r="K998" s="47">
        <v>100</v>
      </c>
      <c r="L998" s="48">
        <f>J998*K998</f>
        <v>1100</v>
      </c>
      <c r="M998" s="46">
        <v>11</v>
      </c>
      <c r="N998" s="46">
        <v>11</v>
      </c>
      <c r="O998" s="407">
        <v>100</v>
      </c>
      <c r="P998" s="49">
        <f t="shared" si="30"/>
        <v>1100</v>
      </c>
      <c r="Q998" s="49">
        <f t="shared" si="31"/>
        <v>1100</v>
      </c>
    </row>
    <row r="999" spans="1:17" ht="13" x14ac:dyDescent="0.3">
      <c r="A999" s="11" t="s">
        <v>633</v>
      </c>
      <c r="B999" s="163" t="s">
        <v>448</v>
      </c>
      <c r="C999" s="284"/>
      <c r="D999" s="284"/>
      <c r="E999" s="284"/>
      <c r="F999" s="163"/>
      <c r="G999" s="50"/>
      <c r="H999" s="223" t="s">
        <v>704</v>
      </c>
      <c r="I999" s="44"/>
      <c r="J999" s="45"/>
      <c r="K999" s="47"/>
      <c r="L999" s="55"/>
      <c r="M999" s="46"/>
      <c r="N999" s="46"/>
      <c r="O999" s="407"/>
      <c r="P999" s="56">
        <f t="shared" si="30"/>
        <v>0</v>
      </c>
      <c r="Q999" s="56">
        <f t="shared" si="31"/>
        <v>0</v>
      </c>
    </row>
    <row r="1000" spans="1:17" ht="13" x14ac:dyDescent="0.3">
      <c r="A1000" s="11" t="s">
        <v>633</v>
      </c>
      <c r="B1000" s="163" t="s">
        <v>448</v>
      </c>
      <c r="C1000" s="284"/>
      <c r="D1000" s="284"/>
      <c r="E1000" s="284"/>
      <c r="F1000" s="163"/>
      <c r="G1000" s="50"/>
      <c r="H1000" s="218" t="s">
        <v>705</v>
      </c>
      <c r="I1000" s="44"/>
      <c r="J1000" s="45"/>
      <c r="K1000" s="47"/>
      <c r="L1000" s="55"/>
      <c r="M1000" s="46"/>
      <c r="N1000" s="46"/>
      <c r="O1000" s="407"/>
      <c r="P1000" s="56">
        <f t="shared" si="30"/>
        <v>0</v>
      </c>
      <c r="Q1000" s="56">
        <f t="shared" si="31"/>
        <v>0</v>
      </c>
    </row>
    <row r="1001" spans="1:17" ht="13" x14ac:dyDescent="0.25">
      <c r="A1001" s="11" t="s">
        <v>633</v>
      </c>
      <c r="B1001" s="163" t="s">
        <v>448</v>
      </c>
      <c r="C1001" s="284"/>
      <c r="D1001" s="284"/>
      <c r="E1001" s="284"/>
      <c r="F1001" s="163"/>
      <c r="G1001" s="50"/>
      <c r="H1001" s="224" t="s">
        <v>497</v>
      </c>
      <c r="I1001" s="44"/>
      <c r="J1001" s="45"/>
      <c r="K1001" s="47"/>
      <c r="L1001" s="55"/>
      <c r="M1001" s="46"/>
      <c r="N1001" s="46"/>
      <c r="O1001" s="407"/>
      <c r="P1001" s="56">
        <f t="shared" si="30"/>
        <v>0</v>
      </c>
      <c r="Q1001" s="56">
        <f t="shared" si="31"/>
        <v>0</v>
      </c>
    </row>
    <row r="1002" spans="1:17" ht="13" x14ac:dyDescent="0.25">
      <c r="A1002" s="11" t="s">
        <v>633</v>
      </c>
      <c r="B1002" s="163" t="s">
        <v>448</v>
      </c>
      <c r="C1002" s="284"/>
      <c r="D1002" s="284"/>
      <c r="E1002" s="284"/>
      <c r="F1002" s="163"/>
      <c r="G1002" s="50"/>
      <c r="H1002" s="220" t="s">
        <v>498</v>
      </c>
      <c r="I1002" s="44"/>
      <c r="J1002" s="45"/>
      <c r="K1002" s="47"/>
      <c r="L1002" s="55"/>
      <c r="M1002" s="46"/>
      <c r="N1002" s="46"/>
      <c r="O1002" s="407"/>
      <c r="P1002" s="56">
        <f t="shared" si="30"/>
        <v>0</v>
      </c>
      <c r="Q1002" s="56">
        <f t="shared" si="31"/>
        <v>0</v>
      </c>
    </row>
    <row r="1003" spans="1:17" ht="13" x14ac:dyDescent="0.3">
      <c r="A1003" s="11" t="s">
        <v>633</v>
      </c>
      <c r="B1003" s="163" t="s">
        <v>448</v>
      </c>
      <c r="C1003" s="284"/>
      <c r="D1003" s="284"/>
      <c r="E1003" s="284"/>
      <c r="F1003" s="163"/>
      <c r="G1003" s="50"/>
      <c r="H1003" s="218" t="s">
        <v>499</v>
      </c>
      <c r="I1003" s="44"/>
      <c r="J1003" s="45"/>
      <c r="K1003" s="47"/>
      <c r="L1003" s="55"/>
      <c r="M1003" s="46"/>
      <c r="N1003" s="46"/>
      <c r="O1003" s="407"/>
      <c r="P1003" s="56">
        <f t="shared" si="30"/>
        <v>0</v>
      </c>
      <c r="Q1003" s="56">
        <f t="shared" si="31"/>
        <v>0</v>
      </c>
    </row>
    <row r="1004" spans="1:17" ht="13" x14ac:dyDescent="0.3">
      <c r="A1004" s="11" t="s">
        <v>633</v>
      </c>
      <c r="B1004" s="163" t="s">
        <v>448</v>
      </c>
      <c r="C1004" s="284"/>
      <c r="D1004" s="284"/>
      <c r="E1004" s="284"/>
      <c r="F1004" s="163"/>
      <c r="G1004" s="50"/>
      <c r="H1004" s="225" t="s">
        <v>706</v>
      </c>
      <c r="I1004" s="44"/>
      <c r="J1004" s="45"/>
      <c r="K1004" s="47"/>
      <c r="L1004" s="55"/>
      <c r="M1004" s="46"/>
      <c r="N1004" s="46"/>
      <c r="O1004" s="407"/>
      <c r="P1004" s="56">
        <f t="shared" si="30"/>
        <v>0</v>
      </c>
      <c r="Q1004" s="56">
        <f t="shared" si="31"/>
        <v>0</v>
      </c>
    </row>
    <row r="1005" spans="1:17" ht="62.5" x14ac:dyDescent="0.35">
      <c r="A1005" s="11" t="s">
        <v>633</v>
      </c>
      <c r="B1005" s="163" t="s">
        <v>448</v>
      </c>
      <c r="C1005" s="284"/>
      <c r="D1005" s="284"/>
      <c r="E1005" s="284"/>
      <c r="F1005" s="226"/>
      <c r="G1005" s="227"/>
      <c r="H1005" s="159" t="s">
        <v>500</v>
      </c>
      <c r="I1005" s="228"/>
      <c r="J1005" s="229"/>
      <c r="K1005" s="231"/>
      <c r="L1005" s="232"/>
      <c r="M1005" s="230"/>
      <c r="N1005" s="230"/>
      <c r="O1005" s="425"/>
      <c r="P1005" s="233">
        <f t="shared" si="30"/>
        <v>0</v>
      </c>
      <c r="Q1005" s="233">
        <f t="shared" si="31"/>
        <v>0</v>
      </c>
    </row>
    <row r="1006" spans="1:17" ht="13" x14ac:dyDescent="0.35">
      <c r="A1006" s="11" t="s">
        <v>633</v>
      </c>
      <c r="B1006" s="163" t="s">
        <v>448</v>
      </c>
      <c r="C1006" s="284"/>
      <c r="D1006" s="284"/>
      <c r="E1006" s="284"/>
      <c r="F1006" s="163" t="s">
        <v>48</v>
      </c>
      <c r="G1006" s="50"/>
      <c r="H1006" s="222" t="s">
        <v>502</v>
      </c>
      <c r="I1006" s="44" t="s">
        <v>186</v>
      </c>
      <c r="J1006" s="45">
        <v>1500</v>
      </c>
      <c r="K1006" s="47">
        <v>20</v>
      </c>
      <c r="L1006" s="48">
        <f>J1006*K1006</f>
        <v>30000</v>
      </c>
      <c r="M1006" s="46">
        <v>1500</v>
      </c>
      <c r="N1006" s="46">
        <v>1500</v>
      </c>
      <c r="O1006" s="407">
        <v>20</v>
      </c>
      <c r="P1006" s="49">
        <f t="shared" si="30"/>
        <v>30000</v>
      </c>
      <c r="Q1006" s="49">
        <f t="shared" si="31"/>
        <v>30000</v>
      </c>
    </row>
    <row r="1007" spans="1:17" ht="13" x14ac:dyDescent="0.35">
      <c r="A1007" s="11" t="s">
        <v>633</v>
      </c>
      <c r="B1007" s="163" t="s">
        <v>448</v>
      </c>
      <c r="C1007" s="284"/>
      <c r="D1007" s="284"/>
      <c r="E1007" s="284"/>
      <c r="F1007" s="163" t="s">
        <v>51</v>
      </c>
      <c r="G1007" s="50"/>
      <c r="H1007" s="222" t="s">
        <v>504</v>
      </c>
      <c r="I1007" s="44" t="s">
        <v>186</v>
      </c>
      <c r="J1007" s="45">
        <v>1000</v>
      </c>
      <c r="K1007" s="47">
        <v>22</v>
      </c>
      <c r="L1007" s="48">
        <f>J1007*K1007</f>
        <v>22000</v>
      </c>
      <c r="M1007" s="46">
        <v>1000</v>
      </c>
      <c r="N1007" s="46">
        <v>1000</v>
      </c>
      <c r="O1007" s="407">
        <v>22</v>
      </c>
      <c r="P1007" s="49">
        <f t="shared" si="30"/>
        <v>22000</v>
      </c>
      <c r="Q1007" s="49">
        <f t="shared" si="31"/>
        <v>22000</v>
      </c>
    </row>
    <row r="1008" spans="1:17" ht="37.5" x14ac:dyDescent="0.35">
      <c r="A1008" s="11" t="s">
        <v>633</v>
      </c>
      <c r="B1008" s="163" t="s">
        <v>448</v>
      </c>
      <c r="C1008" s="284"/>
      <c r="D1008" s="284"/>
      <c r="E1008" s="284"/>
      <c r="F1008" s="163"/>
      <c r="G1008" s="50"/>
      <c r="H1008" s="159" t="s">
        <v>505</v>
      </c>
      <c r="I1008" s="44"/>
      <c r="J1008" s="45"/>
      <c r="K1008" s="47"/>
      <c r="L1008" s="55"/>
      <c r="M1008" s="46"/>
      <c r="N1008" s="46"/>
      <c r="O1008" s="407"/>
      <c r="P1008" s="56">
        <f t="shared" si="30"/>
        <v>0</v>
      </c>
      <c r="Q1008" s="56">
        <f t="shared" si="31"/>
        <v>0</v>
      </c>
    </row>
    <row r="1009" spans="1:17" ht="13" x14ac:dyDescent="0.35">
      <c r="A1009" s="11" t="s">
        <v>633</v>
      </c>
      <c r="B1009" s="163" t="s">
        <v>448</v>
      </c>
      <c r="C1009" s="284"/>
      <c r="D1009" s="284"/>
      <c r="E1009" s="284"/>
      <c r="F1009" s="163" t="s">
        <v>53</v>
      </c>
      <c r="G1009" s="50"/>
      <c r="H1009" s="222" t="s">
        <v>707</v>
      </c>
      <c r="I1009" s="44" t="s">
        <v>175</v>
      </c>
      <c r="J1009" s="45">
        <v>50</v>
      </c>
      <c r="K1009" s="47">
        <v>24</v>
      </c>
      <c r="L1009" s="48">
        <f>J1009*K1009</f>
        <v>1200</v>
      </c>
      <c r="M1009" s="46">
        <v>50</v>
      </c>
      <c r="N1009" s="46">
        <v>50</v>
      </c>
      <c r="O1009" s="407">
        <v>24</v>
      </c>
      <c r="P1009" s="49">
        <f t="shared" si="30"/>
        <v>1200</v>
      </c>
      <c r="Q1009" s="49">
        <f t="shared" si="31"/>
        <v>1200</v>
      </c>
    </row>
    <row r="1010" spans="1:17" ht="25" x14ac:dyDescent="0.25">
      <c r="A1010" s="11" t="s">
        <v>633</v>
      </c>
      <c r="B1010" s="163" t="s">
        <v>448</v>
      </c>
      <c r="C1010" s="284"/>
      <c r="D1010" s="284"/>
      <c r="E1010" s="284"/>
      <c r="F1010" s="163"/>
      <c r="G1010" s="50"/>
      <c r="H1010" s="161" t="s">
        <v>508</v>
      </c>
      <c r="I1010" s="44"/>
      <c r="J1010" s="45"/>
      <c r="K1010" s="47"/>
      <c r="L1010" s="55"/>
      <c r="M1010" s="46"/>
      <c r="N1010" s="46"/>
      <c r="O1010" s="407"/>
      <c r="P1010" s="56">
        <f t="shared" si="30"/>
        <v>0</v>
      </c>
      <c r="Q1010" s="56">
        <f t="shared" si="31"/>
        <v>0</v>
      </c>
    </row>
    <row r="1011" spans="1:17" ht="25" x14ac:dyDescent="0.25">
      <c r="A1011" s="11" t="s">
        <v>633</v>
      </c>
      <c r="B1011" s="163" t="s">
        <v>448</v>
      </c>
      <c r="C1011" s="284"/>
      <c r="D1011" s="284"/>
      <c r="E1011" s="284"/>
      <c r="F1011" s="163"/>
      <c r="G1011" s="50"/>
      <c r="H1011" s="161" t="s">
        <v>509</v>
      </c>
      <c r="I1011" s="44"/>
      <c r="J1011" s="45"/>
      <c r="K1011" s="47"/>
      <c r="L1011" s="55"/>
      <c r="M1011" s="46"/>
      <c r="N1011" s="46"/>
      <c r="O1011" s="407"/>
      <c r="P1011" s="56">
        <f t="shared" si="30"/>
        <v>0</v>
      </c>
      <c r="Q1011" s="56">
        <f t="shared" si="31"/>
        <v>0</v>
      </c>
    </row>
    <row r="1012" spans="1:17" ht="16" customHeight="1" x14ac:dyDescent="0.25">
      <c r="A1012" s="11" t="s">
        <v>633</v>
      </c>
      <c r="B1012" s="163" t="s">
        <v>448</v>
      </c>
      <c r="C1012" s="284"/>
      <c r="D1012" s="284"/>
      <c r="E1012" s="284"/>
      <c r="F1012" s="163" t="s">
        <v>55</v>
      </c>
      <c r="G1012" s="50"/>
      <c r="H1012" s="234" t="s">
        <v>511</v>
      </c>
      <c r="I1012" s="44" t="s">
        <v>175</v>
      </c>
      <c r="J1012" s="45">
        <v>20</v>
      </c>
      <c r="K1012" s="47">
        <v>19</v>
      </c>
      <c r="L1012" s="48">
        <f>J1012*K1012</f>
        <v>380</v>
      </c>
      <c r="M1012" s="46">
        <v>20</v>
      </c>
      <c r="N1012" s="46">
        <v>20</v>
      </c>
      <c r="O1012" s="407">
        <v>19</v>
      </c>
      <c r="P1012" s="49">
        <f t="shared" si="30"/>
        <v>380</v>
      </c>
      <c r="Q1012" s="49">
        <f t="shared" si="31"/>
        <v>380</v>
      </c>
    </row>
    <row r="1013" spans="1:17" ht="16" customHeight="1" x14ac:dyDescent="0.25">
      <c r="A1013" s="11" t="s">
        <v>633</v>
      </c>
      <c r="B1013" s="163" t="s">
        <v>448</v>
      </c>
      <c r="C1013" s="284"/>
      <c r="D1013" s="284"/>
      <c r="E1013" s="284"/>
      <c r="F1013" s="163" t="s">
        <v>58</v>
      </c>
      <c r="G1013" s="50"/>
      <c r="H1013" s="234" t="s">
        <v>513</v>
      </c>
      <c r="I1013" s="44" t="s">
        <v>175</v>
      </c>
      <c r="J1013" s="45">
        <v>80</v>
      </c>
      <c r="K1013" s="47">
        <v>20</v>
      </c>
      <c r="L1013" s="48">
        <f>J1013*K1013</f>
        <v>1600</v>
      </c>
      <c r="M1013" s="46">
        <v>80</v>
      </c>
      <c r="N1013" s="46">
        <v>80</v>
      </c>
      <c r="O1013" s="407">
        <v>20</v>
      </c>
      <c r="P1013" s="49">
        <f t="shared" si="30"/>
        <v>1600</v>
      </c>
      <c r="Q1013" s="49">
        <f t="shared" si="31"/>
        <v>1600</v>
      </c>
    </row>
    <row r="1014" spans="1:17" ht="16" customHeight="1" x14ac:dyDescent="0.25">
      <c r="A1014" s="11" t="s">
        <v>633</v>
      </c>
      <c r="B1014" s="163" t="s">
        <v>448</v>
      </c>
      <c r="C1014" s="284"/>
      <c r="D1014" s="284"/>
      <c r="E1014" s="284"/>
      <c r="F1014" s="163"/>
      <c r="G1014" s="50"/>
      <c r="H1014" s="234" t="s">
        <v>708</v>
      </c>
      <c r="I1014" s="44" t="s">
        <v>175</v>
      </c>
      <c r="J1014" s="45">
        <v>5</v>
      </c>
      <c r="K1014" s="47">
        <v>350</v>
      </c>
      <c r="L1014" s="48">
        <f>J1014*K1014</f>
        <v>1750</v>
      </c>
      <c r="M1014" s="46">
        <v>5</v>
      </c>
      <c r="N1014" s="46">
        <v>5</v>
      </c>
      <c r="O1014" s="407">
        <v>350</v>
      </c>
      <c r="P1014" s="49">
        <f t="shared" si="30"/>
        <v>1750</v>
      </c>
      <c r="Q1014" s="49">
        <f t="shared" si="31"/>
        <v>1750</v>
      </c>
    </row>
    <row r="1015" spans="1:17" ht="16" customHeight="1" x14ac:dyDescent="0.3">
      <c r="A1015" s="11" t="s">
        <v>633</v>
      </c>
      <c r="B1015" s="163" t="s">
        <v>448</v>
      </c>
      <c r="C1015" s="284"/>
      <c r="D1015" s="284"/>
      <c r="E1015" s="284"/>
      <c r="F1015" s="163"/>
      <c r="G1015" s="50"/>
      <c r="H1015" s="235" t="s">
        <v>514</v>
      </c>
      <c r="I1015" s="44"/>
      <c r="J1015" s="45"/>
      <c r="K1015" s="47"/>
      <c r="L1015" s="55"/>
      <c r="M1015" s="46"/>
      <c r="N1015" s="46"/>
      <c r="O1015" s="407"/>
      <c r="P1015" s="56">
        <f t="shared" si="30"/>
        <v>0</v>
      </c>
      <c r="Q1015" s="56">
        <f t="shared" si="31"/>
        <v>0</v>
      </c>
    </row>
    <row r="1016" spans="1:17" ht="16" customHeight="1" x14ac:dyDescent="0.25">
      <c r="A1016" s="11" t="s">
        <v>633</v>
      </c>
      <c r="B1016" s="163" t="s">
        <v>448</v>
      </c>
      <c r="C1016" s="284"/>
      <c r="D1016" s="284"/>
      <c r="E1016" s="284"/>
      <c r="F1016" s="163" t="s">
        <v>87</v>
      </c>
      <c r="G1016" s="50"/>
      <c r="H1016" s="234" t="s">
        <v>516</v>
      </c>
      <c r="I1016" s="44" t="s">
        <v>175</v>
      </c>
      <c r="J1016" s="45">
        <v>5</v>
      </c>
      <c r="K1016" s="47">
        <v>25</v>
      </c>
      <c r="L1016" s="48">
        <f>J1016*K1016</f>
        <v>125</v>
      </c>
      <c r="M1016" s="46">
        <v>5</v>
      </c>
      <c r="N1016" s="46">
        <v>5</v>
      </c>
      <c r="O1016" s="407">
        <v>25</v>
      </c>
      <c r="P1016" s="49">
        <f t="shared" si="30"/>
        <v>125</v>
      </c>
      <c r="Q1016" s="49">
        <f t="shared" si="31"/>
        <v>125</v>
      </c>
    </row>
    <row r="1017" spans="1:17" ht="16" customHeight="1" x14ac:dyDescent="0.25">
      <c r="A1017" s="11" t="s">
        <v>633</v>
      </c>
      <c r="B1017" s="163" t="s">
        <v>448</v>
      </c>
      <c r="C1017" s="284"/>
      <c r="D1017" s="284"/>
      <c r="E1017" s="284"/>
      <c r="F1017" s="163"/>
      <c r="G1017" s="50"/>
      <c r="H1017" s="234" t="s">
        <v>709</v>
      </c>
      <c r="I1017" s="44" t="s">
        <v>175</v>
      </c>
      <c r="J1017" s="45">
        <v>5</v>
      </c>
      <c r="K1017" s="47">
        <v>400</v>
      </c>
      <c r="L1017" s="48">
        <f>J1017*K1017</f>
        <v>2000</v>
      </c>
      <c r="M1017" s="46">
        <v>5</v>
      </c>
      <c r="N1017" s="46">
        <v>5</v>
      </c>
      <c r="O1017" s="407">
        <v>400</v>
      </c>
      <c r="P1017" s="49">
        <f t="shared" si="30"/>
        <v>2000</v>
      </c>
      <c r="Q1017" s="49">
        <f t="shared" si="31"/>
        <v>2000</v>
      </c>
    </row>
    <row r="1018" spans="1:17" ht="16" customHeight="1" x14ac:dyDescent="0.3">
      <c r="A1018" s="11" t="s">
        <v>633</v>
      </c>
      <c r="B1018" s="163" t="s">
        <v>448</v>
      </c>
      <c r="C1018" s="284"/>
      <c r="D1018" s="284"/>
      <c r="E1018" s="284"/>
      <c r="F1018" s="163"/>
      <c r="G1018" s="50"/>
      <c r="H1018" s="235" t="s">
        <v>517</v>
      </c>
      <c r="I1018" s="44"/>
      <c r="J1018" s="45"/>
      <c r="K1018" s="47"/>
      <c r="L1018" s="55"/>
      <c r="M1018" s="46"/>
      <c r="N1018" s="46"/>
      <c r="O1018" s="407"/>
      <c r="P1018" s="56">
        <f t="shared" si="30"/>
        <v>0</v>
      </c>
      <c r="Q1018" s="56">
        <f t="shared" si="31"/>
        <v>0</v>
      </c>
    </row>
    <row r="1019" spans="1:17" ht="16" customHeight="1" x14ac:dyDescent="0.25">
      <c r="A1019" s="11" t="s">
        <v>633</v>
      </c>
      <c r="B1019" s="163" t="s">
        <v>448</v>
      </c>
      <c r="C1019" s="284"/>
      <c r="D1019" s="284"/>
      <c r="E1019" s="284"/>
      <c r="F1019" s="163"/>
      <c r="G1019" s="50"/>
      <c r="H1019" s="224" t="s">
        <v>710</v>
      </c>
      <c r="I1019" s="44"/>
      <c r="J1019" s="45"/>
      <c r="K1019" s="47"/>
      <c r="L1019" s="55"/>
      <c r="M1019" s="46"/>
      <c r="N1019" s="46"/>
      <c r="O1019" s="407"/>
      <c r="P1019" s="56">
        <f t="shared" si="30"/>
        <v>0</v>
      </c>
      <c r="Q1019" s="56">
        <f t="shared" si="31"/>
        <v>0</v>
      </c>
    </row>
    <row r="1020" spans="1:17" ht="16" customHeight="1" x14ac:dyDescent="0.25">
      <c r="A1020" s="11" t="s">
        <v>633</v>
      </c>
      <c r="B1020" s="163" t="s">
        <v>448</v>
      </c>
      <c r="C1020" s="284"/>
      <c r="D1020" s="284"/>
      <c r="E1020" s="284"/>
      <c r="F1020" s="163"/>
      <c r="G1020" s="50"/>
      <c r="H1020" s="224" t="s">
        <v>711</v>
      </c>
      <c r="I1020" s="44"/>
      <c r="J1020" s="45"/>
      <c r="K1020" s="47"/>
      <c r="L1020" s="55"/>
      <c r="M1020" s="46"/>
      <c r="N1020" s="46"/>
      <c r="O1020" s="407"/>
      <c r="P1020" s="56">
        <f t="shared" si="30"/>
        <v>0</v>
      </c>
      <c r="Q1020" s="56">
        <f t="shared" si="31"/>
        <v>0</v>
      </c>
    </row>
    <row r="1021" spans="1:17" ht="16" customHeight="1" x14ac:dyDescent="0.25">
      <c r="A1021" s="11" t="s">
        <v>633</v>
      </c>
      <c r="B1021" s="163" t="s">
        <v>448</v>
      </c>
      <c r="C1021" s="284"/>
      <c r="D1021" s="284"/>
      <c r="E1021" s="284"/>
      <c r="F1021" s="163" t="s">
        <v>90</v>
      </c>
      <c r="G1021" s="50"/>
      <c r="H1021" s="236" t="s">
        <v>521</v>
      </c>
      <c r="I1021" s="44" t="s">
        <v>186</v>
      </c>
      <c r="J1021" s="45">
        <v>1950</v>
      </c>
      <c r="K1021" s="47">
        <v>10</v>
      </c>
      <c r="L1021" s="48">
        <f>J1021*K1021</f>
        <v>19500</v>
      </c>
      <c r="M1021" s="46">
        <v>1950</v>
      </c>
      <c r="N1021" s="46">
        <v>1950</v>
      </c>
      <c r="O1021" s="407">
        <v>10</v>
      </c>
      <c r="P1021" s="49">
        <f t="shared" si="30"/>
        <v>19500</v>
      </c>
      <c r="Q1021" s="49">
        <f t="shared" si="31"/>
        <v>19500</v>
      </c>
    </row>
    <row r="1022" spans="1:17" ht="16" customHeight="1" x14ac:dyDescent="0.25">
      <c r="A1022" s="11" t="s">
        <v>633</v>
      </c>
      <c r="B1022" s="163" t="s">
        <v>448</v>
      </c>
      <c r="C1022" s="284"/>
      <c r="D1022" s="284"/>
      <c r="E1022" s="284"/>
      <c r="F1022" s="163" t="s">
        <v>187</v>
      </c>
      <c r="G1022" s="50"/>
      <c r="H1022" s="236" t="s">
        <v>523</v>
      </c>
      <c r="I1022" s="44" t="s">
        <v>186</v>
      </c>
      <c r="J1022" s="45">
        <v>600</v>
      </c>
      <c r="K1022" s="47">
        <v>12</v>
      </c>
      <c r="L1022" s="48">
        <f>J1022*K1022</f>
        <v>7200</v>
      </c>
      <c r="M1022" s="46">
        <v>600</v>
      </c>
      <c r="N1022" s="46">
        <v>600</v>
      </c>
      <c r="O1022" s="407">
        <v>12</v>
      </c>
      <c r="P1022" s="49">
        <f t="shared" si="30"/>
        <v>7200</v>
      </c>
      <c r="Q1022" s="49">
        <f t="shared" si="31"/>
        <v>7200</v>
      </c>
    </row>
    <row r="1023" spans="1:17" ht="16" customHeight="1" x14ac:dyDescent="0.25">
      <c r="A1023" s="11" t="s">
        <v>633</v>
      </c>
      <c r="B1023" s="163" t="s">
        <v>448</v>
      </c>
      <c r="C1023" s="284"/>
      <c r="D1023" s="284"/>
      <c r="E1023" s="284"/>
      <c r="F1023" s="163" t="s">
        <v>484</v>
      </c>
      <c r="G1023" s="50"/>
      <c r="H1023" s="236" t="s">
        <v>525</v>
      </c>
      <c r="I1023" s="44" t="s">
        <v>186</v>
      </c>
      <c r="J1023" s="45">
        <v>300</v>
      </c>
      <c r="K1023" s="47">
        <v>21.5</v>
      </c>
      <c r="L1023" s="48">
        <f>J1023*K1023</f>
        <v>6450</v>
      </c>
      <c r="M1023" s="46">
        <v>300</v>
      </c>
      <c r="N1023" s="46">
        <v>300</v>
      </c>
      <c r="O1023" s="407">
        <v>21.5</v>
      </c>
      <c r="P1023" s="49">
        <f t="shared" si="30"/>
        <v>6450</v>
      </c>
      <c r="Q1023" s="49">
        <f t="shared" si="31"/>
        <v>6450</v>
      </c>
    </row>
    <row r="1024" spans="1:17" ht="16" customHeight="1" x14ac:dyDescent="0.25">
      <c r="A1024" s="11" t="s">
        <v>633</v>
      </c>
      <c r="B1024" s="163" t="s">
        <v>448</v>
      </c>
      <c r="C1024" s="284"/>
      <c r="D1024" s="284"/>
      <c r="E1024" s="284"/>
      <c r="F1024" s="163"/>
      <c r="G1024" s="50"/>
      <c r="H1024" s="237" t="s">
        <v>712</v>
      </c>
      <c r="I1024" s="44"/>
      <c r="J1024" s="45"/>
      <c r="K1024" s="47"/>
      <c r="L1024" s="55"/>
      <c r="M1024" s="46"/>
      <c r="N1024" s="46"/>
      <c r="O1024" s="407"/>
      <c r="P1024" s="56">
        <f t="shared" si="30"/>
        <v>0</v>
      </c>
      <c r="Q1024" s="56">
        <f t="shared" si="31"/>
        <v>0</v>
      </c>
    </row>
    <row r="1025" spans="1:17" ht="16" customHeight="1" x14ac:dyDescent="0.25">
      <c r="A1025" s="11" t="s">
        <v>633</v>
      </c>
      <c r="B1025" s="163" t="s">
        <v>448</v>
      </c>
      <c r="C1025" s="284"/>
      <c r="D1025" s="284"/>
      <c r="E1025" s="284"/>
      <c r="F1025" s="163"/>
      <c r="G1025" s="50"/>
      <c r="H1025" s="237" t="s">
        <v>713</v>
      </c>
      <c r="I1025" s="44"/>
      <c r="J1025" s="45"/>
      <c r="K1025" s="47"/>
      <c r="L1025" s="55"/>
      <c r="M1025" s="46"/>
      <c r="N1025" s="46"/>
      <c r="O1025" s="407"/>
      <c r="P1025" s="56">
        <f t="shared" si="30"/>
        <v>0</v>
      </c>
      <c r="Q1025" s="56">
        <f t="shared" si="31"/>
        <v>0</v>
      </c>
    </row>
    <row r="1026" spans="1:17" ht="16" customHeight="1" x14ac:dyDescent="0.25">
      <c r="A1026" s="11" t="s">
        <v>633</v>
      </c>
      <c r="B1026" s="163" t="s">
        <v>448</v>
      </c>
      <c r="C1026" s="284"/>
      <c r="D1026" s="284"/>
      <c r="E1026" s="284"/>
      <c r="F1026" s="163" t="s">
        <v>487</v>
      </c>
      <c r="G1026" s="50"/>
      <c r="H1026" s="236" t="s">
        <v>521</v>
      </c>
      <c r="I1026" s="44" t="s">
        <v>186</v>
      </c>
      <c r="J1026" s="45">
        <v>2850</v>
      </c>
      <c r="K1026" s="47">
        <v>10</v>
      </c>
      <c r="L1026" s="48">
        <f>J1026*K1026</f>
        <v>28500</v>
      </c>
      <c r="M1026" s="46">
        <v>2850</v>
      </c>
      <c r="N1026" s="46">
        <v>2850</v>
      </c>
      <c r="O1026" s="407">
        <v>10</v>
      </c>
      <c r="P1026" s="49">
        <f t="shared" si="30"/>
        <v>28500</v>
      </c>
      <c r="Q1026" s="49">
        <f t="shared" si="31"/>
        <v>28500</v>
      </c>
    </row>
    <row r="1027" spans="1:17" ht="13" x14ac:dyDescent="0.3">
      <c r="A1027" s="11" t="s">
        <v>633</v>
      </c>
      <c r="B1027" s="163" t="s">
        <v>448</v>
      </c>
      <c r="C1027" s="284"/>
      <c r="D1027" s="284"/>
      <c r="E1027" s="284"/>
      <c r="F1027" s="163"/>
      <c r="G1027" s="50"/>
      <c r="H1027" s="218" t="s">
        <v>530</v>
      </c>
      <c r="I1027" s="44"/>
      <c r="J1027" s="45"/>
      <c r="K1027" s="47"/>
      <c r="L1027" s="48"/>
      <c r="M1027" s="46"/>
      <c r="N1027" s="46"/>
      <c r="O1027" s="407"/>
      <c r="P1027" s="49">
        <f t="shared" si="30"/>
        <v>0</v>
      </c>
      <c r="Q1027" s="49">
        <f t="shared" si="31"/>
        <v>0</v>
      </c>
    </row>
    <row r="1028" spans="1:17" ht="13" x14ac:dyDescent="0.25">
      <c r="A1028" s="11" t="s">
        <v>633</v>
      </c>
      <c r="B1028" s="163" t="s">
        <v>448</v>
      </c>
      <c r="C1028" s="284"/>
      <c r="D1028" s="284"/>
      <c r="E1028" s="284"/>
      <c r="F1028" s="163"/>
      <c r="G1028" s="50"/>
      <c r="H1028" s="224" t="s">
        <v>714</v>
      </c>
      <c r="I1028" s="44"/>
      <c r="J1028" s="45"/>
      <c r="K1028" s="47"/>
      <c r="L1028" s="48"/>
      <c r="M1028" s="46"/>
      <c r="N1028" s="46"/>
      <c r="O1028" s="407"/>
      <c r="P1028" s="49">
        <f t="shared" si="30"/>
        <v>0</v>
      </c>
      <c r="Q1028" s="49">
        <f t="shared" si="31"/>
        <v>0</v>
      </c>
    </row>
    <row r="1029" spans="1:17" ht="13" x14ac:dyDescent="0.25">
      <c r="A1029" s="11" t="s">
        <v>633</v>
      </c>
      <c r="B1029" s="163" t="s">
        <v>448</v>
      </c>
      <c r="C1029" s="284"/>
      <c r="D1029" s="284"/>
      <c r="E1029" s="284"/>
      <c r="F1029" s="163"/>
      <c r="G1029" s="50"/>
      <c r="H1029" s="224" t="s">
        <v>715</v>
      </c>
      <c r="I1029" s="44"/>
      <c r="J1029" s="45"/>
      <c r="K1029" s="47"/>
      <c r="L1029" s="48"/>
      <c r="M1029" s="46"/>
      <c r="N1029" s="46"/>
      <c r="O1029" s="407"/>
      <c r="P1029" s="49">
        <f t="shared" si="30"/>
        <v>0</v>
      </c>
      <c r="Q1029" s="49">
        <f t="shared" si="31"/>
        <v>0</v>
      </c>
    </row>
    <row r="1030" spans="1:17" ht="13" x14ac:dyDescent="0.3">
      <c r="A1030" s="11" t="s">
        <v>633</v>
      </c>
      <c r="B1030" s="163" t="s">
        <v>448</v>
      </c>
      <c r="C1030" s="284"/>
      <c r="D1030" s="284"/>
      <c r="E1030" s="284"/>
      <c r="F1030" s="163"/>
      <c r="G1030" s="50"/>
      <c r="H1030" s="218" t="s">
        <v>532</v>
      </c>
      <c r="I1030" s="44"/>
      <c r="J1030" s="45"/>
      <c r="K1030" s="47"/>
      <c r="L1030" s="48"/>
      <c r="M1030" s="46"/>
      <c r="N1030" s="46"/>
      <c r="O1030" s="407"/>
      <c r="P1030" s="49">
        <f t="shared" si="30"/>
        <v>0</v>
      </c>
      <c r="Q1030" s="49">
        <f t="shared" si="31"/>
        <v>0</v>
      </c>
    </row>
    <row r="1031" spans="1:17" ht="13" x14ac:dyDescent="0.25">
      <c r="A1031" s="11" t="s">
        <v>633</v>
      </c>
      <c r="B1031" s="163" t="s">
        <v>448</v>
      </c>
      <c r="C1031" s="284"/>
      <c r="D1031" s="284"/>
      <c r="E1031" s="284"/>
      <c r="F1031" s="163" t="s">
        <v>489</v>
      </c>
      <c r="G1031" s="50"/>
      <c r="H1031" s="224" t="s">
        <v>716</v>
      </c>
      <c r="I1031" s="44" t="s">
        <v>175</v>
      </c>
      <c r="J1031" s="45"/>
      <c r="K1031" s="47"/>
      <c r="L1031" s="48"/>
      <c r="M1031" s="46"/>
      <c r="N1031" s="46"/>
      <c r="O1031" s="407"/>
      <c r="P1031" s="49">
        <f t="shared" si="30"/>
        <v>0</v>
      </c>
      <c r="Q1031" s="49">
        <f t="shared" si="31"/>
        <v>0</v>
      </c>
    </row>
    <row r="1032" spans="1:17" ht="13" x14ac:dyDescent="0.25">
      <c r="A1032" s="11" t="s">
        <v>633</v>
      </c>
      <c r="B1032" s="163" t="s">
        <v>448</v>
      </c>
      <c r="C1032" s="284"/>
      <c r="D1032" s="284"/>
      <c r="E1032" s="284"/>
      <c r="F1032" s="163"/>
      <c r="G1032" s="50"/>
      <c r="H1032" s="220" t="s">
        <v>717</v>
      </c>
      <c r="I1032" s="44"/>
      <c r="J1032" s="45"/>
      <c r="K1032" s="47"/>
      <c r="L1032" s="48"/>
      <c r="M1032" s="46"/>
      <c r="N1032" s="46"/>
      <c r="O1032" s="407"/>
      <c r="P1032" s="49">
        <f t="shared" si="30"/>
        <v>0</v>
      </c>
      <c r="Q1032" s="49">
        <f t="shared" si="31"/>
        <v>0</v>
      </c>
    </row>
    <row r="1033" spans="1:17" ht="13" x14ac:dyDescent="0.25">
      <c r="A1033" s="11" t="s">
        <v>633</v>
      </c>
      <c r="B1033" s="163" t="s">
        <v>448</v>
      </c>
      <c r="C1033" s="284"/>
      <c r="D1033" s="284"/>
      <c r="E1033" s="284"/>
      <c r="F1033" s="163" t="s">
        <v>491</v>
      </c>
      <c r="G1033" s="50"/>
      <c r="H1033" s="220" t="s">
        <v>533</v>
      </c>
      <c r="I1033" s="44" t="s">
        <v>175</v>
      </c>
      <c r="J1033" s="45">
        <v>36</v>
      </c>
      <c r="K1033" s="47">
        <v>200</v>
      </c>
      <c r="L1033" s="48">
        <f>J1033*K1033</f>
        <v>7200</v>
      </c>
      <c r="M1033" s="46">
        <v>36</v>
      </c>
      <c r="N1033" s="46">
        <v>36</v>
      </c>
      <c r="O1033" s="407">
        <v>200</v>
      </c>
      <c r="P1033" s="49">
        <f t="shared" si="30"/>
        <v>7200</v>
      </c>
      <c r="Q1033" s="49">
        <f t="shared" si="31"/>
        <v>7200</v>
      </c>
    </row>
    <row r="1034" spans="1:17" ht="13" x14ac:dyDescent="0.25">
      <c r="A1034" s="11" t="s">
        <v>633</v>
      </c>
      <c r="B1034" s="163" t="s">
        <v>448</v>
      </c>
      <c r="C1034" s="284"/>
      <c r="D1034" s="284"/>
      <c r="E1034" s="284"/>
      <c r="F1034" s="163"/>
      <c r="G1034" s="50"/>
      <c r="H1034" s="220" t="s">
        <v>535</v>
      </c>
      <c r="I1034" s="44"/>
      <c r="J1034" s="45"/>
      <c r="K1034" s="47"/>
      <c r="L1034" s="55"/>
      <c r="M1034" s="46"/>
      <c r="N1034" s="46"/>
      <c r="O1034" s="407"/>
      <c r="P1034" s="56">
        <f t="shared" ref="P1034:P1097" si="32">O1034*M1034</f>
        <v>0</v>
      </c>
      <c r="Q1034" s="56">
        <f t="shared" ref="Q1034:Q1097" si="33">O1034*N1034</f>
        <v>0</v>
      </c>
    </row>
    <row r="1035" spans="1:17" ht="13" x14ac:dyDescent="0.25">
      <c r="A1035" s="11" t="s">
        <v>633</v>
      </c>
      <c r="B1035" s="163" t="s">
        <v>448</v>
      </c>
      <c r="C1035" s="284"/>
      <c r="D1035" s="284"/>
      <c r="E1035" s="284"/>
      <c r="F1035" s="238"/>
      <c r="G1035" s="239"/>
      <c r="H1035" s="240" t="s">
        <v>537</v>
      </c>
      <c r="I1035" s="147" t="s">
        <v>175</v>
      </c>
      <c r="J1035" s="206">
        <v>20</v>
      </c>
      <c r="K1035" s="208">
        <v>350</v>
      </c>
      <c r="L1035" s="151">
        <f>J1035*K1035</f>
        <v>7000</v>
      </c>
      <c r="M1035" s="207">
        <v>20</v>
      </c>
      <c r="N1035" s="207">
        <v>20</v>
      </c>
      <c r="O1035" s="423">
        <v>350</v>
      </c>
      <c r="P1035" s="152">
        <f t="shared" si="32"/>
        <v>7000</v>
      </c>
      <c r="Q1035" s="152">
        <f t="shared" si="33"/>
        <v>7000</v>
      </c>
    </row>
    <row r="1036" spans="1:17" ht="13" x14ac:dyDescent="0.25">
      <c r="A1036" s="11" t="s">
        <v>633</v>
      </c>
      <c r="B1036" s="163" t="s">
        <v>448</v>
      </c>
      <c r="C1036" s="284"/>
      <c r="D1036" s="284"/>
      <c r="E1036" s="284"/>
      <c r="F1036" s="163"/>
      <c r="G1036" s="50"/>
      <c r="H1036" s="234" t="s">
        <v>539</v>
      </c>
      <c r="I1036" s="44" t="s">
        <v>175</v>
      </c>
      <c r="J1036" s="45">
        <v>20</v>
      </c>
      <c r="K1036" s="47">
        <v>350</v>
      </c>
      <c r="L1036" s="48">
        <f>J1036*K1036</f>
        <v>7000</v>
      </c>
      <c r="M1036" s="46">
        <v>20</v>
      </c>
      <c r="N1036" s="46">
        <v>20</v>
      </c>
      <c r="O1036" s="407">
        <v>350</v>
      </c>
      <c r="P1036" s="49">
        <f t="shared" si="32"/>
        <v>7000</v>
      </c>
      <c r="Q1036" s="49">
        <f t="shared" si="33"/>
        <v>7000</v>
      </c>
    </row>
    <row r="1037" spans="1:17" ht="13" x14ac:dyDescent="0.25">
      <c r="A1037" s="11" t="s">
        <v>633</v>
      </c>
      <c r="B1037" s="163" t="s">
        <v>448</v>
      </c>
      <c r="C1037" s="284"/>
      <c r="D1037" s="284"/>
      <c r="E1037" s="284"/>
      <c r="F1037" s="163"/>
      <c r="G1037" s="50"/>
      <c r="H1037" s="234" t="s">
        <v>718</v>
      </c>
      <c r="I1037" s="44" t="s">
        <v>175</v>
      </c>
      <c r="J1037" s="45"/>
      <c r="K1037" s="47"/>
      <c r="L1037" s="48"/>
      <c r="M1037" s="46"/>
      <c r="N1037" s="46"/>
      <c r="O1037" s="407"/>
      <c r="P1037" s="49">
        <f t="shared" si="32"/>
        <v>0</v>
      </c>
      <c r="Q1037" s="49">
        <f t="shared" si="33"/>
        <v>0</v>
      </c>
    </row>
    <row r="1038" spans="1:17" ht="13" x14ac:dyDescent="0.35">
      <c r="A1038" s="11" t="s">
        <v>633</v>
      </c>
      <c r="B1038" s="163" t="s">
        <v>448</v>
      </c>
      <c r="C1038" s="284"/>
      <c r="D1038" s="284"/>
      <c r="E1038" s="284"/>
      <c r="F1038" s="163"/>
      <c r="G1038" s="50"/>
      <c r="H1038" s="222" t="s">
        <v>719</v>
      </c>
      <c r="I1038" s="44" t="s">
        <v>175</v>
      </c>
      <c r="J1038" s="45"/>
      <c r="K1038" s="47"/>
      <c r="M1038" s="46"/>
      <c r="N1038" s="46"/>
      <c r="O1038" s="407"/>
      <c r="P1038" s="242">
        <f t="shared" si="32"/>
        <v>0</v>
      </c>
      <c r="Q1038" s="242">
        <f t="shared" si="33"/>
        <v>0</v>
      </c>
    </row>
    <row r="1039" spans="1:17" ht="13" x14ac:dyDescent="0.35">
      <c r="A1039" s="11" t="s">
        <v>633</v>
      </c>
      <c r="B1039" s="163" t="s">
        <v>448</v>
      </c>
      <c r="C1039" s="284"/>
      <c r="D1039" s="284"/>
      <c r="E1039" s="284"/>
      <c r="F1039" s="163"/>
      <c r="G1039" s="50"/>
      <c r="H1039" s="222" t="s">
        <v>541</v>
      </c>
      <c r="I1039" s="44" t="s">
        <v>175</v>
      </c>
      <c r="J1039" s="45"/>
      <c r="K1039" s="47"/>
      <c r="L1039" s="48"/>
      <c r="M1039" s="46"/>
      <c r="N1039" s="46"/>
      <c r="O1039" s="407"/>
      <c r="P1039" s="49">
        <f t="shared" si="32"/>
        <v>0</v>
      </c>
      <c r="Q1039" s="49">
        <f t="shared" si="33"/>
        <v>0</v>
      </c>
    </row>
    <row r="1040" spans="1:17" ht="13" x14ac:dyDescent="0.35">
      <c r="A1040" s="11" t="s">
        <v>633</v>
      </c>
      <c r="B1040" s="163" t="s">
        <v>448</v>
      </c>
      <c r="C1040" s="284"/>
      <c r="D1040" s="284"/>
      <c r="E1040" s="284"/>
      <c r="F1040" s="163"/>
      <c r="G1040" s="50"/>
      <c r="H1040" s="222" t="s">
        <v>541</v>
      </c>
      <c r="I1040" s="44" t="s">
        <v>175</v>
      </c>
      <c r="J1040" s="45">
        <v>2</v>
      </c>
      <c r="K1040" s="47">
        <v>2000</v>
      </c>
      <c r="L1040" s="48">
        <f>J1040*K1040</f>
        <v>4000</v>
      </c>
      <c r="M1040" s="46">
        <v>2</v>
      </c>
      <c r="N1040" s="46">
        <v>2</v>
      </c>
      <c r="O1040" s="407">
        <v>2000</v>
      </c>
      <c r="P1040" s="49">
        <f t="shared" si="32"/>
        <v>4000</v>
      </c>
      <c r="Q1040" s="49">
        <f t="shared" si="33"/>
        <v>4000</v>
      </c>
    </row>
    <row r="1041" spans="1:17" ht="13" x14ac:dyDescent="0.35">
      <c r="A1041" s="11" t="s">
        <v>633</v>
      </c>
      <c r="B1041" s="163" t="s">
        <v>448</v>
      </c>
      <c r="C1041" s="284"/>
      <c r="D1041" s="284"/>
      <c r="E1041" s="284"/>
      <c r="F1041" s="163"/>
      <c r="G1041" s="50"/>
      <c r="H1041" s="222" t="s">
        <v>545</v>
      </c>
      <c r="I1041" s="44" t="s">
        <v>175</v>
      </c>
      <c r="J1041" s="45">
        <v>5</v>
      </c>
      <c r="K1041" s="47">
        <v>350</v>
      </c>
      <c r="L1041" s="48">
        <f>J1041*K1041</f>
        <v>1750</v>
      </c>
      <c r="M1041" s="46">
        <v>5</v>
      </c>
      <c r="N1041" s="46">
        <v>5</v>
      </c>
      <c r="O1041" s="407">
        <v>350</v>
      </c>
      <c r="P1041" s="49">
        <f t="shared" si="32"/>
        <v>1750</v>
      </c>
      <c r="Q1041" s="49">
        <f t="shared" si="33"/>
        <v>1750</v>
      </c>
    </row>
    <row r="1042" spans="1:17" ht="13" x14ac:dyDescent="0.35">
      <c r="A1042" s="11" t="s">
        <v>633</v>
      </c>
      <c r="B1042" s="163" t="s">
        <v>448</v>
      </c>
      <c r="C1042" s="284"/>
      <c r="D1042" s="284"/>
      <c r="E1042" s="284"/>
      <c r="F1042" s="163"/>
      <c r="G1042" s="50"/>
      <c r="H1042" s="222" t="s">
        <v>547</v>
      </c>
      <c r="I1042" s="44" t="s">
        <v>175</v>
      </c>
      <c r="J1042" s="45">
        <v>5</v>
      </c>
      <c r="K1042" s="47">
        <v>400</v>
      </c>
      <c r="L1042" s="48">
        <f>J1042*K1042</f>
        <v>2000</v>
      </c>
      <c r="M1042" s="46">
        <v>5</v>
      </c>
      <c r="N1042" s="46">
        <v>5</v>
      </c>
      <c r="O1042" s="407">
        <v>400</v>
      </c>
      <c r="P1042" s="49">
        <f t="shared" si="32"/>
        <v>2000</v>
      </c>
      <c r="Q1042" s="49">
        <f t="shared" si="33"/>
        <v>2000</v>
      </c>
    </row>
    <row r="1043" spans="1:17" ht="13" x14ac:dyDescent="0.3">
      <c r="A1043" s="11" t="s">
        <v>633</v>
      </c>
      <c r="B1043" s="163" t="s">
        <v>448</v>
      </c>
      <c r="C1043" s="284"/>
      <c r="D1043" s="284"/>
      <c r="E1043" s="284"/>
      <c r="F1043" s="163"/>
      <c r="G1043" s="50"/>
      <c r="H1043" s="218" t="s">
        <v>548</v>
      </c>
      <c r="I1043" s="44"/>
      <c r="J1043" s="45"/>
      <c r="K1043" s="47"/>
      <c r="L1043" s="55"/>
      <c r="M1043" s="46"/>
      <c r="N1043" s="46"/>
      <c r="O1043" s="407"/>
      <c r="P1043" s="56">
        <f t="shared" si="32"/>
        <v>0</v>
      </c>
      <c r="Q1043" s="56">
        <f t="shared" si="33"/>
        <v>0</v>
      </c>
    </row>
    <row r="1044" spans="1:17" ht="13" x14ac:dyDescent="0.25">
      <c r="A1044" s="11" t="s">
        <v>633</v>
      </c>
      <c r="B1044" s="163" t="s">
        <v>448</v>
      </c>
      <c r="C1044" s="284"/>
      <c r="D1044" s="284"/>
      <c r="E1044" s="284"/>
      <c r="F1044" s="163" t="s">
        <v>494</v>
      </c>
      <c r="G1044" s="50"/>
      <c r="H1044" s="224" t="s">
        <v>550</v>
      </c>
      <c r="I1044" s="44" t="s">
        <v>175</v>
      </c>
      <c r="J1044" s="45">
        <v>16</v>
      </c>
      <c r="K1044" s="47">
        <v>155</v>
      </c>
      <c r="L1044" s="48">
        <f>J1044*K1044</f>
        <v>2480</v>
      </c>
      <c r="M1044" s="46">
        <v>16</v>
      </c>
      <c r="N1044" s="46">
        <v>16</v>
      </c>
      <c r="O1044" s="407">
        <v>155</v>
      </c>
      <c r="P1044" s="49">
        <f t="shared" si="32"/>
        <v>2480</v>
      </c>
      <c r="Q1044" s="49">
        <f t="shared" si="33"/>
        <v>2480</v>
      </c>
    </row>
    <row r="1045" spans="1:17" ht="13" x14ac:dyDescent="0.25">
      <c r="A1045" s="11" t="s">
        <v>633</v>
      </c>
      <c r="B1045" s="163" t="s">
        <v>448</v>
      </c>
      <c r="C1045" s="284"/>
      <c r="D1045" s="284"/>
      <c r="E1045" s="284"/>
      <c r="F1045" s="163"/>
      <c r="G1045" s="50"/>
      <c r="H1045" s="224" t="s">
        <v>552</v>
      </c>
      <c r="I1045" s="44" t="s">
        <v>175</v>
      </c>
      <c r="J1045" s="45">
        <v>6</v>
      </c>
      <c r="K1045" s="47">
        <v>170</v>
      </c>
      <c r="L1045" s="48">
        <f>J1045*K1045</f>
        <v>1020</v>
      </c>
      <c r="M1045" s="46">
        <v>6</v>
      </c>
      <c r="N1045" s="46">
        <v>6</v>
      </c>
      <c r="O1045" s="407">
        <v>170</v>
      </c>
      <c r="P1045" s="49">
        <f t="shared" si="32"/>
        <v>1020</v>
      </c>
      <c r="Q1045" s="49">
        <f t="shared" si="33"/>
        <v>1020</v>
      </c>
    </row>
    <row r="1046" spans="1:17" ht="13" x14ac:dyDescent="0.25">
      <c r="A1046" s="11" t="s">
        <v>633</v>
      </c>
      <c r="B1046" s="163" t="s">
        <v>448</v>
      </c>
      <c r="C1046" s="284"/>
      <c r="D1046" s="284"/>
      <c r="E1046" s="284"/>
      <c r="F1046" s="163"/>
      <c r="G1046" s="50"/>
      <c r="H1046" s="224" t="s">
        <v>554</v>
      </c>
      <c r="I1046" s="44" t="s">
        <v>175</v>
      </c>
      <c r="J1046" s="45"/>
      <c r="K1046" s="47"/>
      <c r="L1046" s="48"/>
      <c r="M1046" s="46"/>
      <c r="N1046" s="46"/>
      <c r="O1046" s="407"/>
      <c r="P1046" s="49">
        <f t="shared" si="32"/>
        <v>0</v>
      </c>
      <c r="Q1046" s="49">
        <f t="shared" si="33"/>
        <v>0</v>
      </c>
    </row>
    <row r="1047" spans="1:17" ht="13" x14ac:dyDescent="0.25">
      <c r="A1047" s="11" t="s">
        <v>633</v>
      </c>
      <c r="B1047" s="163" t="s">
        <v>448</v>
      </c>
      <c r="C1047" s="284"/>
      <c r="D1047" s="284"/>
      <c r="E1047" s="284"/>
      <c r="F1047" s="163"/>
      <c r="G1047" s="50"/>
      <c r="H1047" s="224" t="s">
        <v>556</v>
      </c>
      <c r="I1047" s="44" t="s">
        <v>175</v>
      </c>
      <c r="J1047" s="45"/>
      <c r="K1047" s="47"/>
      <c r="L1047" s="48"/>
      <c r="M1047" s="46"/>
      <c r="N1047" s="46"/>
      <c r="O1047" s="407"/>
      <c r="P1047" s="49">
        <f t="shared" si="32"/>
        <v>0</v>
      </c>
      <c r="Q1047" s="49">
        <f t="shared" si="33"/>
        <v>0</v>
      </c>
    </row>
    <row r="1048" spans="1:17" ht="13" x14ac:dyDescent="0.25">
      <c r="A1048" s="11" t="s">
        <v>633</v>
      </c>
      <c r="B1048" s="163" t="s">
        <v>448</v>
      </c>
      <c r="C1048" s="284"/>
      <c r="D1048" s="284"/>
      <c r="E1048" s="284"/>
      <c r="F1048" s="163"/>
      <c r="G1048" s="50"/>
      <c r="H1048" s="224" t="s">
        <v>558</v>
      </c>
      <c r="I1048" s="44" t="s">
        <v>186</v>
      </c>
      <c r="J1048" s="45">
        <v>950</v>
      </c>
      <c r="K1048" s="47">
        <v>4.2</v>
      </c>
      <c r="L1048" s="48">
        <f>J1048*K1048</f>
        <v>3990</v>
      </c>
      <c r="M1048" s="46">
        <v>950</v>
      </c>
      <c r="N1048" s="46">
        <v>950</v>
      </c>
      <c r="O1048" s="407">
        <v>4.2</v>
      </c>
      <c r="P1048" s="49">
        <f t="shared" si="32"/>
        <v>3990</v>
      </c>
      <c r="Q1048" s="49">
        <f t="shared" si="33"/>
        <v>3990</v>
      </c>
    </row>
    <row r="1049" spans="1:17" ht="13" x14ac:dyDescent="0.25">
      <c r="A1049" s="11" t="s">
        <v>633</v>
      </c>
      <c r="B1049" s="163" t="s">
        <v>448</v>
      </c>
      <c r="C1049" s="284"/>
      <c r="D1049" s="284"/>
      <c r="E1049" s="284"/>
      <c r="F1049" s="163"/>
      <c r="G1049" s="50"/>
      <c r="H1049" s="224" t="s">
        <v>720</v>
      </c>
      <c r="I1049" s="44"/>
      <c r="J1049" s="45"/>
      <c r="K1049" s="47"/>
      <c r="L1049" s="48"/>
      <c r="M1049" s="46"/>
      <c r="N1049" s="46"/>
      <c r="O1049" s="407"/>
      <c r="P1049" s="49">
        <f t="shared" si="32"/>
        <v>0</v>
      </c>
      <c r="Q1049" s="49">
        <f t="shared" si="33"/>
        <v>0</v>
      </c>
    </row>
    <row r="1050" spans="1:17" ht="13" x14ac:dyDescent="0.3">
      <c r="A1050" s="11" t="s">
        <v>633</v>
      </c>
      <c r="B1050" s="163" t="s">
        <v>448</v>
      </c>
      <c r="C1050" s="284"/>
      <c r="D1050" s="284"/>
      <c r="E1050" s="284"/>
      <c r="F1050" s="163"/>
      <c r="G1050" s="50"/>
      <c r="H1050" s="243" t="s">
        <v>721</v>
      </c>
      <c r="I1050" s="44"/>
      <c r="J1050" s="45"/>
      <c r="K1050" s="47"/>
      <c r="L1050" s="48"/>
      <c r="M1050" s="46"/>
      <c r="N1050" s="46"/>
      <c r="O1050" s="407"/>
      <c r="P1050" s="49">
        <f t="shared" si="32"/>
        <v>0</v>
      </c>
      <c r="Q1050" s="49">
        <f t="shared" si="33"/>
        <v>0</v>
      </c>
    </row>
    <row r="1051" spans="1:17" ht="13" x14ac:dyDescent="0.25">
      <c r="A1051" s="11" t="s">
        <v>633</v>
      </c>
      <c r="B1051" s="163" t="s">
        <v>448</v>
      </c>
      <c r="C1051" s="284"/>
      <c r="D1051" s="284"/>
      <c r="E1051" s="284"/>
      <c r="F1051" s="163"/>
      <c r="G1051" s="50"/>
      <c r="H1051" s="224" t="s">
        <v>722</v>
      </c>
      <c r="I1051" s="44"/>
      <c r="J1051" s="45"/>
      <c r="K1051" s="47"/>
      <c r="L1051" s="48"/>
      <c r="M1051" s="46"/>
      <c r="N1051" s="46"/>
      <c r="O1051" s="407"/>
      <c r="P1051" s="49">
        <f t="shared" si="32"/>
        <v>0</v>
      </c>
      <c r="Q1051" s="49">
        <f t="shared" si="33"/>
        <v>0</v>
      </c>
    </row>
    <row r="1052" spans="1:17" ht="13" x14ac:dyDescent="0.25">
      <c r="A1052" s="11" t="s">
        <v>633</v>
      </c>
      <c r="B1052" s="163" t="s">
        <v>448</v>
      </c>
      <c r="C1052" s="284"/>
      <c r="D1052" s="284"/>
      <c r="E1052" s="284"/>
      <c r="F1052" s="163"/>
      <c r="G1052" s="50"/>
      <c r="H1052" s="224" t="s">
        <v>723</v>
      </c>
      <c r="I1052" s="44"/>
      <c r="J1052" s="45"/>
      <c r="K1052" s="47"/>
      <c r="L1052" s="48"/>
      <c r="M1052" s="46"/>
      <c r="N1052" s="46"/>
      <c r="O1052" s="407"/>
      <c r="P1052" s="49">
        <f t="shared" si="32"/>
        <v>0</v>
      </c>
      <c r="Q1052" s="49">
        <f t="shared" si="33"/>
        <v>0</v>
      </c>
    </row>
    <row r="1053" spans="1:17" ht="13" x14ac:dyDescent="0.25">
      <c r="A1053" s="11" t="s">
        <v>633</v>
      </c>
      <c r="B1053" s="163" t="s">
        <v>448</v>
      </c>
      <c r="C1053" s="284"/>
      <c r="D1053" s="284"/>
      <c r="E1053" s="284"/>
      <c r="F1053" s="163"/>
      <c r="G1053" s="50"/>
      <c r="H1053" s="224" t="s">
        <v>724</v>
      </c>
      <c r="I1053" s="44"/>
      <c r="J1053" s="45"/>
      <c r="K1053" s="47"/>
      <c r="L1053" s="48"/>
      <c r="M1053" s="46"/>
      <c r="N1053" s="46"/>
      <c r="O1053" s="407"/>
      <c r="P1053" s="49">
        <f t="shared" si="32"/>
        <v>0</v>
      </c>
      <c r="Q1053" s="49">
        <f t="shared" si="33"/>
        <v>0</v>
      </c>
    </row>
    <row r="1054" spans="1:17" ht="13" x14ac:dyDescent="0.25">
      <c r="A1054" s="11" t="s">
        <v>633</v>
      </c>
      <c r="B1054" s="163" t="s">
        <v>448</v>
      </c>
      <c r="C1054" s="284"/>
      <c r="D1054" s="284"/>
      <c r="E1054" s="284"/>
      <c r="F1054" s="163"/>
      <c r="G1054" s="50"/>
      <c r="H1054" s="224" t="s">
        <v>725</v>
      </c>
      <c r="I1054" s="44"/>
      <c r="J1054" s="45"/>
      <c r="K1054" s="47"/>
      <c r="L1054" s="48"/>
      <c r="M1054" s="46"/>
      <c r="N1054" s="46"/>
      <c r="O1054" s="407"/>
      <c r="P1054" s="49">
        <f t="shared" si="32"/>
        <v>0</v>
      </c>
      <c r="Q1054" s="49">
        <f t="shared" si="33"/>
        <v>0</v>
      </c>
    </row>
    <row r="1055" spans="1:17" ht="13" x14ac:dyDescent="0.25">
      <c r="A1055" s="11" t="s">
        <v>633</v>
      </c>
      <c r="B1055" s="163" t="s">
        <v>448</v>
      </c>
      <c r="C1055" s="284"/>
      <c r="D1055" s="284"/>
      <c r="E1055" s="284"/>
      <c r="F1055" s="163"/>
      <c r="G1055" s="50"/>
      <c r="H1055" s="224" t="s">
        <v>726</v>
      </c>
      <c r="I1055" s="44"/>
      <c r="J1055" s="45"/>
      <c r="K1055" s="47"/>
      <c r="L1055" s="48"/>
      <c r="M1055" s="46"/>
      <c r="N1055" s="46"/>
      <c r="O1055" s="407"/>
      <c r="P1055" s="49">
        <f t="shared" si="32"/>
        <v>0</v>
      </c>
      <c r="Q1055" s="49">
        <f t="shared" si="33"/>
        <v>0</v>
      </c>
    </row>
    <row r="1056" spans="1:17" ht="13" x14ac:dyDescent="0.25">
      <c r="A1056" s="11" t="s">
        <v>633</v>
      </c>
      <c r="B1056" s="163" t="s">
        <v>448</v>
      </c>
      <c r="C1056" s="284"/>
      <c r="D1056" s="284"/>
      <c r="E1056" s="284"/>
      <c r="F1056" s="163"/>
      <c r="G1056" s="50"/>
      <c r="H1056" s="224" t="s">
        <v>727</v>
      </c>
      <c r="I1056" s="44"/>
      <c r="J1056" s="45"/>
      <c r="K1056" s="47"/>
      <c r="L1056" s="48"/>
      <c r="M1056" s="46"/>
      <c r="N1056" s="46"/>
      <c r="O1056" s="407"/>
      <c r="P1056" s="49">
        <f t="shared" si="32"/>
        <v>0</v>
      </c>
      <c r="Q1056" s="49">
        <f t="shared" si="33"/>
        <v>0</v>
      </c>
    </row>
    <row r="1057" spans="1:17" ht="13" x14ac:dyDescent="0.25">
      <c r="A1057" s="11" t="s">
        <v>633</v>
      </c>
      <c r="B1057" s="163" t="s">
        <v>448</v>
      </c>
      <c r="C1057" s="284"/>
      <c r="D1057" s="284"/>
      <c r="E1057" s="284"/>
      <c r="F1057" s="163"/>
      <c r="G1057" s="50"/>
      <c r="H1057" s="224" t="s">
        <v>728</v>
      </c>
      <c r="I1057" s="44"/>
      <c r="J1057" s="45"/>
      <c r="K1057" s="47"/>
      <c r="L1057" s="48"/>
      <c r="M1057" s="46"/>
      <c r="N1057" s="46"/>
      <c r="O1057" s="407"/>
      <c r="P1057" s="49">
        <f t="shared" si="32"/>
        <v>0</v>
      </c>
      <c r="Q1057" s="49">
        <f t="shared" si="33"/>
        <v>0</v>
      </c>
    </row>
    <row r="1058" spans="1:17" ht="13" x14ac:dyDescent="0.25">
      <c r="A1058" s="11" t="s">
        <v>633</v>
      </c>
      <c r="B1058" s="163" t="s">
        <v>448</v>
      </c>
      <c r="C1058" s="284"/>
      <c r="D1058" s="284"/>
      <c r="E1058" s="284"/>
      <c r="F1058" s="163"/>
      <c r="G1058" s="50"/>
      <c r="H1058" s="244" t="s">
        <v>502</v>
      </c>
      <c r="I1058" s="44" t="s">
        <v>186</v>
      </c>
      <c r="J1058" s="45">
        <v>1500</v>
      </c>
      <c r="K1058" s="47">
        <v>20</v>
      </c>
      <c r="L1058" s="48">
        <f>J1058*K1058</f>
        <v>30000</v>
      </c>
      <c r="M1058" s="46">
        <v>1500</v>
      </c>
      <c r="N1058" s="46">
        <v>1500</v>
      </c>
      <c r="O1058" s="407">
        <v>20</v>
      </c>
      <c r="P1058" s="49">
        <f t="shared" si="32"/>
        <v>30000</v>
      </c>
      <c r="Q1058" s="49">
        <f t="shared" si="33"/>
        <v>30000</v>
      </c>
    </row>
    <row r="1059" spans="1:17" ht="13" x14ac:dyDescent="0.25">
      <c r="A1059" s="11" t="s">
        <v>633</v>
      </c>
      <c r="B1059" s="163" t="s">
        <v>448</v>
      </c>
      <c r="C1059" s="284"/>
      <c r="D1059" s="284"/>
      <c r="E1059" s="284"/>
      <c r="F1059" s="163"/>
      <c r="G1059" s="50"/>
      <c r="H1059" s="244" t="s">
        <v>504</v>
      </c>
      <c r="I1059" s="44" t="s">
        <v>186</v>
      </c>
      <c r="J1059" s="45">
        <v>1000</v>
      </c>
      <c r="K1059" s="47">
        <v>22</v>
      </c>
      <c r="L1059" s="48">
        <f>J1059*K1059</f>
        <v>22000</v>
      </c>
      <c r="M1059" s="46">
        <v>1000</v>
      </c>
      <c r="N1059" s="46">
        <v>1000</v>
      </c>
      <c r="O1059" s="407">
        <v>22</v>
      </c>
      <c r="P1059" s="49">
        <f t="shared" si="32"/>
        <v>22000</v>
      </c>
      <c r="Q1059" s="49">
        <f t="shared" si="33"/>
        <v>22000</v>
      </c>
    </row>
    <row r="1060" spans="1:17" ht="13" x14ac:dyDescent="0.25">
      <c r="A1060" s="11" t="s">
        <v>633</v>
      </c>
      <c r="B1060" s="163" t="s">
        <v>448</v>
      </c>
      <c r="C1060" s="284"/>
      <c r="D1060" s="284"/>
      <c r="E1060" s="284"/>
      <c r="F1060" s="163"/>
      <c r="G1060" s="50"/>
      <c r="H1060" s="224" t="s">
        <v>729</v>
      </c>
      <c r="I1060" s="44"/>
      <c r="J1060" s="45"/>
      <c r="K1060" s="47"/>
      <c r="L1060" s="48"/>
      <c r="M1060" s="46"/>
      <c r="N1060" s="46"/>
      <c r="O1060" s="407"/>
      <c r="P1060" s="49">
        <f t="shared" si="32"/>
        <v>0</v>
      </c>
      <c r="Q1060" s="49">
        <f t="shared" si="33"/>
        <v>0</v>
      </c>
    </row>
    <row r="1061" spans="1:17" ht="13" x14ac:dyDescent="0.25">
      <c r="A1061" s="11" t="s">
        <v>633</v>
      </c>
      <c r="B1061" s="163" t="s">
        <v>448</v>
      </c>
      <c r="C1061" s="284"/>
      <c r="D1061" s="284"/>
      <c r="E1061" s="284"/>
      <c r="F1061" s="163"/>
      <c r="G1061" s="50"/>
      <c r="H1061" s="224" t="s">
        <v>730</v>
      </c>
      <c r="I1061" s="44"/>
      <c r="J1061" s="45"/>
      <c r="K1061" s="47"/>
      <c r="L1061" s="48"/>
      <c r="M1061" s="46"/>
      <c r="N1061" s="46"/>
      <c r="O1061" s="407"/>
      <c r="P1061" s="49">
        <f t="shared" si="32"/>
        <v>0</v>
      </c>
      <c r="Q1061" s="49">
        <f t="shared" si="33"/>
        <v>0</v>
      </c>
    </row>
    <row r="1062" spans="1:17" ht="13" x14ac:dyDescent="0.25">
      <c r="A1062" s="11" t="s">
        <v>633</v>
      </c>
      <c r="B1062" s="163" t="s">
        <v>448</v>
      </c>
      <c r="C1062" s="284"/>
      <c r="D1062" s="284"/>
      <c r="E1062" s="284"/>
      <c r="F1062" s="163"/>
      <c r="G1062" s="50"/>
      <c r="H1062" s="224" t="s">
        <v>731</v>
      </c>
      <c r="I1062" s="44"/>
      <c r="J1062" s="45"/>
      <c r="K1062" s="47"/>
      <c r="L1062" s="48"/>
      <c r="M1062" s="46"/>
      <c r="N1062" s="46"/>
      <c r="O1062" s="407"/>
      <c r="P1062" s="49">
        <f t="shared" si="32"/>
        <v>0</v>
      </c>
      <c r="Q1062" s="49">
        <f t="shared" si="33"/>
        <v>0</v>
      </c>
    </row>
    <row r="1063" spans="1:17" ht="13" x14ac:dyDescent="0.25">
      <c r="A1063" s="11" t="s">
        <v>633</v>
      </c>
      <c r="B1063" s="163" t="s">
        <v>448</v>
      </c>
      <c r="C1063" s="284"/>
      <c r="D1063" s="284"/>
      <c r="E1063" s="284"/>
      <c r="F1063" s="163"/>
      <c r="G1063" s="50"/>
      <c r="H1063" s="224" t="s">
        <v>732</v>
      </c>
      <c r="I1063" s="44"/>
      <c r="J1063" s="45"/>
      <c r="K1063" s="47"/>
      <c r="L1063" s="48"/>
      <c r="M1063" s="46"/>
      <c r="N1063" s="46"/>
      <c r="O1063" s="407"/>
      <c r="P1063" s="49">
        <f t="shared" si="32"/>
        <v>0</v>
      </c>
      <c r="Q1063" s="49">
        <f t="shared" si="33"/>
        <v>0</v>
      </c>
    </row>
    <row r="1064" spans="1:17" ht="13" x14ac:dyDescent="0.25">
      <c r="A1064" s="11" t="s">
        <v>633</v>
      </c>
      <c r="B1064" s="163" t="s">
        <v>448</v>
      </c>
      <c r="C1064" s="284"/>
      <c r="D1064" s="284"/>
      <c r="E1064" s="284"/>
      <c r="F1064" s="163"/>
      <c r="G1064" s="50"/>
      <c r="H1064" s="224" t="s">
        <v>733</v>
      </c>
      <c r="I1064" s="44"/>
      <c r="J1064" s="45"/>
      <c r="K1064" s="47"/>
      <c r="L1064" s="48"/>
      <c r="M1064" s="46"/>
      <c r="N1064" s="46"/>
      <c r="O1064" s="407"/>
      <c r="P1064" s="49">
        <f t="shared" si="32"/>
        <v>0</v>
      </c>
      <c r="Q1064" s="49">
        <f t="shared" si="33"/>
        <v>0</v>
      </c>
    </row>
    <row r="1065" spans="1:17" ht="13" x14ac:dyDescent="0.25">
      <c r="A1065" s="11" t="s">
        <v>633</v>
      </c>
      <c r="B1065" s="163" t="s">
        <v>448</v>
      </c>
      <c r="C1065" s="284"/>
      <c r="D1065" s="284"/>
      <c r="E1065" s="284"/>
      <c r="F1065" s="163"/>
      <c r="G1065" s="50"/>
      <c r="H1065" s="224" t="s">
        <v>734</v>
      </c>
      <c r="I1065" s="44"/>
      <c r="J1065" s="45"/>
      <c r="K1065" s="47"/>
      <c r="L1065" s="48"/>
      <c r="M1065" s="46"/>
      <c r="N1065" s="46"/>
      <c r="O1065" s="407"/>
      <c r="P1065" s="49">
        <f t="shared" si="32"/>
        <v>0</v>
      </c>
      <c r="Q1065" s="49">
        <f t="shared" si="33"/>
        <v>0</v>
      </c>
    </row>
    <row r="1066" spans="1:17" ht="13" x14ac:dyDescent="0.25">
      <c r="A1066" s="11" t="s">
        <v>633</v>
      </c>
      <c r="B1066" s="163" t="s">
        <v>448</v>
      </c>
      <c r="C1066" s="284"/>
      <c r="D1066" s="284"/>
      <c r="E1066" s="284"/>
      <c r="F1066" s="163"/>
      <c r="G1066" s="50"/>
      <c r="H1066" s="224" t="s">
        <v>735</v>
      </c>
      <c r="I1066" s="44"/>
      <c r="J1066" s="45"/>
      <c r="K1066" s="47"/>
      <c r="L1066" s="48"/>
      <c r="M1066" s="46"/>
      <c r="N1066" s="46"/>
      <c r="O1066" s="407"/>
      <c r="P1066" s="49">
        <f t="shared" si="32"/>
        <v>0</v>
      </c>
      <c r="Q1066" s="49">
        <f t="shared" si="33"/>
        <v>0</v>
      </c>
    </row>
    <row r="1067" spans="1:17" ht="13" x14ac:dyDescent="0.25">
      <c r="A1067" s="11" t="s">
        <v>633</v>
      </c>
      <c r="B1067" s="163" t="s">
        <v>448</v>
      </c>
      <c r="C1067" s="284"/>
      <c r="D1067" s="284"/>
      <c r="E1067" s="284"/>
      <c r="F1067" s="163"/>
      <c r="G1067" s="50"/>
      <c r="H1067" s="224" t="s">
        <v>736</v>
      </c>
      <c r="I1067" s="44"/>
      <c r="J1067" s="45"/>
      <c r="K1067" s="47"/>
      <c r="L1067" s="48"/>
      <c r="M1067" s="46"/>
      <c r="N1067" s="46"/>
      <c r="O1067" s="407"/>
      <c r="P1067" s="49">
        <f t="shared" si="32"/>
        <v>0</v>
      </c>
      <c r="Q1067" s="49">
        <f t="shared" si="33"/>
        <v>0</v>
      </c>
    </row>
    <row r="1068" spans="1:17" ht="13" x14ac:dyDescent="0.25">
      <c r="A1068" s="11" t="s">
        <v>633</v>
      </c>
      <c r="B1068" s="163" t="s">
        <v>448</v>
      </c>
      <c r="C1068" s="284"/>
      <c r="D1068" s="284"/>
      <c r="E1068" s="284"/>
      <c r="F1068" s="163"/>
      <c r="G1068" s="50"/>
      <c r="H1068" s="244" t="s">
        <v>513</v>
      </c>
      <c r="I1068" s="44" t="s">
        <v>175</v>
      </c>
      <c r="J1068" s="45">
        <v>25</v>
      </c>
      <c r="K1068" s="47">
        <v>20</v>
      </c>
      <c r="L1068" s="48">
        <f>J1068*K1068</f>
        <v>500</v>
      </c>
      <c r="M1068" s="46">
        <v>25</v>
      </c>
      <c r="N1068" s="46">
        <v>25</v>
      </c>
      <c r="O1068" s="407">
        <v>20</v>
      </c>
      <c r="P1068" s="49">
        <f t="shared" si="32"/>
        <v>500</v>
      </c>
      <c r="Q1068" s="49">
        <f t="shared" si="33"/>
        <v>500</v>
      </c>
    </row>
    <row r="1069" spans="1:17" ht="13" x14ac:dyDescent="0.25">
      <c r="A1069" s="11" t="s">
        <v>633</v>
      </c>
      <c r="B1069" s="163" t="s">
        <v>448</v>
      </c>
      <c r="C1069" s="284"/>
      <c r="D1069" s="284"/>
      <c r="E1069" s="284"/>
      <c r="F1069" s="163"/>
      <c r="G1069" s="50"/>
      <c r="H1069" s="244" t="s">
        <v>737</v>
      </c>
      <c r="I1069" s="44" t="s">
        <v>175</v>
      </c>
      <c r="J1069" s="45">
        <v>4</v>
      </c>
      <c r="K1069" s="47">
        <v>350</v>
      </c>
      <c r="L1069" s="48">
        <f>J1069*K1069</f>
        <v>1400</v>
      </c>
      <c r="M1069" s="46">
        <v>4</v>
      </c>
      <c r="N1069" s="46">
        <v>4</v>
      </c>
      <c r="O1069" s="407">
        <v>350</v>
      </c>
      <c r="P1069" s="49">
        <f t="shared" si="32"/>
        <v>1400</v>
      </c>
      <c r="Q1069" s="49">
        <f t="shared" si="33"/>
        <v>1400</v>
      </c>
    </row>
    <row r="1070" spans="1:17" ht="13" x14ac:dyDescent="0.3">
      <c r="A1070" s="11" t="s">
        <v>633</v>
      </c>
      <c r="B1070" s="163" t="s">
        <v>448</v>
      </c>
      <c r="C1070" s="284"/>
      <c r="D1070" s="284"/>
      <c r="E1070" s="284"/>
      <c r="F1070" s="163"/>
      <c r="G1070" s="50"/>
      <c r="H1070" s="218" t="s">
        <v>738</v>
      </c>
      <c r="I1070" s="44"/>
      <c r="J1070" s="45"/>
      <c r="K1070" s="47"/>
      <c r="L1070" s="48"/>
      <c r="M1070" s="46"/>
      <c r="N1070" s="46"/>
      <c r="O1070" s="407"/>
      <c r="P1070" s="49">
        <f t="shared" si="32"/>
        <v>0</v>
      </c>
      <c r="Q1070" s="49">
        <f t="shared" si="33"/>
        <v>0</v>
      </c>
    </row>
    <row r="1071" spans="1:17" ht="13" x14ac:dyDescent="0.25">
      <c r="A1071" s="11" t="s">
        <v>633</v>
      </c>
      <c r="B1071" s="163" t="s">
        <v>448</v>
      </c>
      <c r="C1071" s="284"/>
      <c r="D1071" s="284"/>
      <c r="E1071" s="284"/>
      <c r="F1071" s="163"/>
      <c r="G1071" s="50"/>
      <c r="H1071" s="244" t="s">
        <v>513</v>
      </c>
      <c r="I1071" s="44" t="s">
        <v>175</v>
      </c>
      <c r="J1071" s="45">
        <v>40</v>
      </c>
      <c r="K1071" s="47">
        <v>25</v>
      </c>
      <c r="L1071" s="48">
        <f>J1071*K1071</f>
        <v>1000</v>
      </c>
      <c r="M1071" s="46">
        <v>40</v>
      </c>
      <c r="N1071" s="46">
        <v>40</v>
      </c>
      <c r="O1071" s="407">
        <v>25</v>
      </c>
      <c r="P1071" s="49">
        <f t="shared" si="32"/>
        <v>1000</v>
      </c>
      <c r="Q1071" s="49">
        <f t="shared" si="33"/>
        <v>1000</v>
      </c>
    </row>
    <row r="1072" spans="1:17" ht="13" x14ac:dyDescent="0.3">
      <c r="A1072" s="11" t="s">
        <v>633</v>
      </c>
      <c r="B1072" s="163" t="s">
        <v>448</v>
      </c>
      <c r="C1072" s="284"/>
      <c r="D1072" s="284"/>
      <c r="E1072" s="284"/>
      <c r="F1072" s="163"/>
      <c r="G1072" s="50"/>
      <c r="H1072" s="218" t="s">
        <v>493</v>
      </c>
      <c r="I1072" s="44"/>
      <c r="J1072" s="45"/>
      <c r="K1072" s="47"/>
      <c r="L1072" s="48"/>
      <c r="M1072" s="46"/>
      <c r="N1072" s="46"/>
      <c r="O1072" s="407"/>
      <c r="P1072" s="49">
        <f t="shared" si="32"/>
        <v>0</v>
      </c>
      <c r="Q1072" s="49">
        <f t="shared" si="33"/>
        <v>0</v>
      </c>
    </row>
    <row r="1073" spans="1:17" ht="13" x14ac:dyDescent="0.25">
      <c r="A1073" s="11" t="s">
        <v>633</v>
      </c>
      <c r="B1073" s="163" t="s">
        <v>448</v>
      </c>
      <c r="C1073" s="284"/>
      <c r="D1073" s="284"/>
      <c r="E1073" s="284"/>
      <c r="F1073" s="163"/>
      <c r="G1073" s="50"/>
      <c r="H1073" s="244" t="s">
        <v>739</v>
      </c>
      <c r="I1073" s="44" t="s">
        <v>175</v>
      </c>
      <c r="J1073" s="45">
        <v>2500</v>
      </c>
      <c r="K1073" s="47">
        <v>4.2</v>
      </c>
      <c r="L1073" s="48">
        <f>J1073*K1073</f>
        <v>10500</v>
      </c>
      <c r="M1073" s="46">
        <v>2500</v>
      </c>
      <c r="N1073" s="46">
        <v>2500</v>
      </c>
      <c r="O1073" s="407">
        <v>4.2</v>
      </c>
      <c r="P1073" s="49">
        <f t="shared" si="32"/>
        <v>10500</v>
      </c>
      <c r="Q1073" s="49">
        <f t="shared" si="33"/>
        <v>10500</v>
      </c>
    </row>
    <row r="1074" spans="1:17" ht="13" x14ac:dyDescent="0.3">
      <c r="A1074" s="11" t="s">
        <v>633</v>
      </c>
      <c r="B1074" s="163" t="s">
        <v>448</v>
      </c>
      <c r="C1074" s="284"/>
      <c r="D1074" s="284"/>
      <c r="E1074" s="284"/>
      <c r="F1074" s="163"/>
      <c r="G1074" s="50"/>
      <c r="H1074" s="218" t="s">
        <v>559</v>
      </c>
      <c r="I1074" s="44"/>
      <c r="J1074" s="45"/>
      <c r="K1074" s="47"/>
      <c r="L1074" s="48"/>
      <c r="M1074" s="46"/>
      <c r="N1074" s="46"/>
      <c r="O1074" s="407"/>
      <c r="P1074" s="49">
        <f t="shared" si="32"/>
        <v>0</v>
      </c>
      <c r="Q1074" s="49">
        <f t="shared" si="33"/>
        <v>0</v>
      </c>
    </row>
    <row r="1075" spans="1:17" ht="13" x14ac:dyDescent="0.25">
      <c r="A1075" s="11" t="s">
        <v>633</v>
      </c>
      <c r="B1075" s="163" t="s">
        <v>448</v>
      </c>
      <c r="C1075" s="284"/>
      <c r="D1075" s="284"/>
      <c r="E1075" s="284"/>
      <c r="F1075" s="163" t="s">
        <v>501</v>
      </c>
      <c r="G1075" s="50"/>
      <c r="H1075" s="224" t="s">
        <v>560</v>
      </c>
      <c r="I1075" s="44" t="s">
        <v>175</v>
      </c>
      <c r="J1075" s="45">
        <v>4</v>
      </c>
      <c r="K1075" s="47">
        <v>400</v>
      </c>
      <c r="L1075" s="48">
        <f>J1075*K1075</f>
        <v>1600</v>
      </c>
      <c r="M1075" s="46">
        <v>4</v>
      </c>
      <c r="N1075" s="46">
        <v>4</v>
      </c>
      <c r="O1075" s="407">
        <v>400</v>
      </c>
      <c r="P1075" s="49">
        <f t="shared" si="32"/>
        <v>1600</v>
      </c>
      <c r="Q1075" s="49">
        <f t="shared" si="33"/>
        <v>1600</v>
      </c>
    </row>
    <row r="1076" spans="1:17" ht="13" x14ac:dyDescent="0.25">
      <c r="A1076" s="11" t="s">
        <v>633</v>
      </c>
      <c r="B1076" s="163" t="s">
        <v>448</v>
      </c>
      <c r="C1076" s="284"/>
      <c r="D1076" s="284"/>
      <c r="E1076" s="284"/>
      <c r="F1076" s="163"/>
      <c r="G1076" s="50"/>
      <c r="H1076" s="220" t="s">
        <v>562</v>
      </c>
      <c r="I1076" s="44"/>
      <c r="J1076" s="45"/>
      <c r="K1076" s="47"/>
      <c r="L1076" s="48"/>
      <c r="M1076" s="46"/>
      <c r="N1076" s="46"/>
      <c r="O1076" s="407"/>
      <c r="P1076" s="49">
        <f t="shared" si="32"/>
        <v>0</v>
      </c>
      <c r="Q1076" s="49">
        <f t="shared" si="33"/>
        <v>0</v>
      </c>
    </row>
    <row r="1077" spans="1:17" ht="13" x14ac:dyDescent="0.3">
      <c r="A1077" s="11" t="s">
        <v>633</v>
      </c>
      <c r="B1077" s="163" t="s">
        <v>448</v>
      </c>
      <c r="C1077" s="284"/>
      <c r="D1077" s="284"/>
      <c r="E1077" s="284"/>
      <c r="F1077" s="238"/>
      <c r="G1077" s="239"/>
      <c r="H1077" s="245" t="s">
        <v>486</v>
      </c>
      <c r="I1077" s="147"/>
      <c r="J1077" s="206"/>
      <c r="K1077" s="208"/>
      <c r="L1077" s="151"/>
      <c r="M1077" s="207"/>
      <c r="N1077" s="207"/>
      <c r="O1077" s="423"/>
      <c r="P1077" s="152">
        <f t="shared" si="32"/>
        <v>0</v>
      </c>
      <c r="Q1077" s="152">
        <f t="shared" si="33"/>
        <v>0</v>
      </c>
    </row>
    <row r="1078" spans="1:17" ht="13" x14ac:dyDescent="0.25">
      <c r="A1078" s="11" t="s">
        <v>633</v>
      </c>
      <c r="B1078" s="163" t="s">
        <v>448</v>
      </c>
      <c r="C1078" s="284"/>
      <c r="D1078" s="284"/>
      <c r="E1078" s="284"/>
      <c r="F1078" s="163"/>
      <c r="G1078" s="50"/>
      <c r="H1078" s="220" t="s">
        <v>490</v>
      </c>
      <c r="I1078" s="44" t="s">
        <v>186</v>
      </c>
      <c r="J1078" s="45">
        <v>100</v>
      </c>
      <c r="K1078" s="47">
        <v>50</v>
      </c>
      <c r="L1078" s="48">
        <f>J1078*K1078</f>
        <v>5000</v>
      </c>
      <c r="M1078" s="46">
        <v>100</v>
      </c>
      <c r="N1078" s="46">
        <v>100</v>
      </c>
      <c r="O1078" s="407">
        <v>50</v>
      </c>
      <c r="P1078" s="49">
        <f t="shared" si="32"/>
        <v>5000</v>
      </c>
      <c r="Q1078" s="49">
        <f t="shared" si="33"/>
        <v>5000</v>
      </c>
    </row>
    <row r="1079" spans="1:17" ht="13" x14ac:dyDescent="0.3">
      <c r="A1079" s="11" t="s">
        <v>633</v>
      </c>
      <c r="B1079" s="163" t="s">
        <v>448</v>
      </c>
      <c r="C1079" s="284"/>
      <c r="D1079" s="284"/>
      <c r="E1079" s="284"/>
      <c r="F1079" s="163"/>
      <c r="G1079" s="50"/>
      <c r="H1079" s="218" t="s">
        <v>563</v>
      </c>
      <c r="I1079" s="44"/>
      <c r="J1079" s="45"/>
      <c r="K1079" s="47"/>
      <c r="L1079" s="48"/>
      <c r="M1079" s="46"/>
      <c r="N1079" s="46"/>
      <c r="O1079" s="407"/>
      <c r="P1079" s="49">
        <f t="shared" si="32"/>
        <v>0</v>
      </c>
      <c r="Q1079" s="49">
        <f t="shared" si="33"/>
        <v>0</v>
      </c>
    </row>
    <row r="1080" spans="1:17" ht="13" x14ac:dyDescent="0.25">
      <c r="A1080" s="11" t="s">
        <v>633</v>
      </c>
      <c r="B1080" s="163" t="s">
        <v>448</v>
      </c>
      <c r="C1080" s="284"/>
      <c r="D1080" s="284"/>
      <c r="E1080" s="284"/>
      <c r="F1080" s="163"/>
      <c r="G1080" s="50"/>
      <c r="H1080" s="224" t="s">
        <v>740</v>
      </c>
      <c r="I1080" s="44"/>
      <c r="J1080" s="45"/>
      <c r="K1080" s="47"/>
      <c r="L1080" s="48"/>
      <c r="M1080" s="46"/>
      <c r="N1080" s="46"/>
      <c r="O1080" s="407"/>
      <c r="P1080" s="49">
        <f t="shared" si="32"/>
        <v>0</v>
      </c>
      <c r="Q1080" s="49">
        <f t="shared" si="33"/>
        <v>0</v>
      </c>
    </row>
    <row r="1081" spans="1:17" ht="13" x14ac:dyDescent="0.25">
      <c r="A1081" s="11" t="s">
        <v>633</v>
      </c>
      <c r="B1081" s="163" t="s">
        <v>448</v>
      </c>
      <c r="C1081" s="284"/>
      <c r="D1081" s="284"/>
      <c r="E1081" s="284"/>
      <c r="F1081" s="163"/>
      <c r="G1081" s="50"/>
      <c r="H1081" s="224" t="s">
        <v>741</v>
      </c>
      <c r="I1081" s="44"/>
      <c r="J1081" s="45"/>
      <c r="K1081" s="47"/>
      <c r="L1081" s="48"/>
      <c r="M1081" s="46"/>
      <c r="N1081" s="46"/>
      <c r="O1081" s="407"/>
      <c r="P1081" s="49">
        <f t="shared" si="32"/>
        <v>0</v>
      </c>
      <c r="Q1081" s="49">
        <f t="shared" si="33"/>
        <v>0</v>
      </c>
    </row>
    <row r="1082" spans="1:17" ht="13" x14ac:dyDescent="0.25">
      <c r="A1082" s="11" t="s">
        <v>633</v>
      </c>
      <c r="B1082" s="163" t="s">
        <v>448</v>
      </c>
      <c r="C1082" s="284"/>
      <c r="D1082" s="284"/>
      <c r="E1082" s="284"/>
      <c r="F1082" s="163"/>
      <c r="G1082" s="50"/>
      <c r="H1082" s="224" t="s">
        <v>742</v>
      </c>
      <c r="I1082" s="44"/>
      <c r="J1082" s="45"/>
      <c r="K1082" s="47"/>
      <c r="L1082" s="48"/>
      <c r="M1082" s="46"/>
      <c r="N1082" s="46"/>
      <c r="O1082" s="407"/>
      <c r="P1082" s="49">
        <f t="shared" si="32"/>
        <v>0</v>
      </c>
      <c r="Q1082" s="49">
        <f t="shared" si="33"/>
        <v>0</v>
      </c>
    </row>
    <row r="1083" spans="1:17" ht="13" x14ac:dyDescent="0.25">
      <c r="A1083" s="11" t="s">
        <v>633</v>
      </c>
      <c r="B1083" s="163" t="s">
        <v>448</v>
      </c>
      <c r="C1083" s="284"/>
      <c r="D1083" s="284"/>
      <c r="E1083" s="284"/>
      <c r="F1083" s="163"/>
      <c r="G1083" s="50"/>
      <c r="H1083" s="224" t="s">
        <v>743</v>
      </c>
      <c r="I1083" s="44"/>
      <c r="J1083" s="45"/>
      <c r="K1083" s="47"/>
      <c r="L1083" s="48"/>
      <c r="M1083" s="46"/>
      <c r="N1083" s="46"/>
      <c r="O1083" s="407"/>
      <c r="P1083" s="49">
        <f t="shared" si="32"/>
        <v>0</v>
      </c>
      <c r="Q1083" s="49">
        <f t="shared" si="33"/>
        <v>0</v>
      </c>
    </row>
    <row r="1084" spans="1:17" ht="13" x14ac:dyDescent="0.25">
      <c r="A1084" s="11" t="s">
        <v>633</v>
      </c>
      <c r="B1084" s="163" t="s">
        <v>448</v>
      </c>
      <c r="C1084" s="284"/>
      <c r="D1084" s="284"/>
      <c r="E1084" s="284"/>
      <c r="F1084" s="163"/>
      <c r="G1084" s="50"/>
      <c r="H1084" s="246" t="s">
        <v>566</v>
      </c>
      <c r="I1084" s="44"/>
      <c r="J1084" s="45"/>
      <c r="K1084" s="47"/>
      <c r="L1084" s="48"/>
      <c r="M1084" s="46"/>
      <c r="N1084" s="46"/>
      <c r="O1084" s="407"/>
      <c r="P1084" s="49">
        <f t="shared" si="32"/>
        <v>0</v>
      </c>
      <c r="Q1084" s="49">
        <f t="shared" si="33"/>
        <v>0</v>
      </c>
    </row>
    <row r="1085" spans="1:17" ht="25" x14ac:dyDescent="0.25">
      <c r="A1085" s="11" t="s">
        <v>633</v>
      </c>
      <c r="B1085" s="163" t="s">
        <v>448</v>
      </c>
      <c r="C1085" s="284"/>
      <c r="D1085" s="284"/>
      <c r="E1085" s="284"/>
      <c r="F1085" s="163" t="s">
        <v>503</v>
      </c>
      <c r="G1085" s="50"/>
      <c r="H1085" s="234" t="s">
        <v>568</v>
      </c>
      <c r="I1085" s="44" t="s">
        <v>175</v>
      </c>
      <c r="J1085" s="45">
        <v>34</v>
      </c>
      <c r="K1085" s="47">
        <v>1050</v>
      </c>
      <c r="L1085" s="48">
        <f>J1085*K1085</f>
        <v>35700</v>
      </c>
      <c r="M1085" s="46">
        <v>34</v>
      </c>
      <c r="N1085" s="46">
        <v>34</v>
      </c>
      <c r="O1085" s="407">
        <v>1050</v>
      </c>
      <c r="P1085" s="49">
        <f t="shared" si="32"/>
        <v>35700</v>
      </c>
      <c r="Q1085" s="49">
        <f t="shared" si="33"/>
        <v>35700</v>
      </c>
    </row>
    <row r="1086" spans="1:17" ht="13" x14ac:dyDescent="0.25">
      <c r="A1086" s="11" t="s">
        <v>633</v>
      </c>
      <c r="B1086" s="163" t="s">
        <v>448</v>
      </c>
      <c r="C1086" s="284"/>
      <c r="D1086" s="284"/>
      <c r="E1086" s="284"/>
      <c r="F1086" s="163"/>
      <c r="G1086" s="50"/>
      <c r="H1086" s="247" t="s">
        <v>569</v>
      </c>
      <c r="I1086" s="44"/>
      <c r="J1086" s="45"/>
      <c r="K1086" s="47"/>
      <c r="L1086" s="48"/>
      <c r="M1086" s="46"/>
      <c r="N1086" s="46"/>
      <c r="O1086" s="407"/>
      <c r="P1086" s="49">
        <f t="shared" si="32"/>
        <v>0</v>
      </c>
      <c r="Q1086" s="49">
        <f t="shared" si="33"/>
        <v>0</v>
      </c>
    </row>
    <row r="1087" spans="1:17" ht="25" x14ac:dyDescent="0.25">
      <c r="A1087" s="11" t="s">
        <v>633</v>
      </c>
      <c r="B1087" s="163" t="s">
        <v>448</v>
      </c>
      <c r="C1087" s="284"/>
      <c r="D1087" s="284"/>
      <c r="E1087" s="284"/>
      <c r="F1087" s="163"/>
      <c r="G1087" s="50"/>
      <c r="H1087" s="220" t="s">
        <v>744</v>
      </c>
      <c r="I1087" s="44" t="s">
        <v>175</v>
      </c>
      <c r="J1087" s="45">
        <v>12</v>
      </c>
      <c r="K1087" s="47">
        <v>1500</v>
      </c>
      <c r="L1087" s="48">
        <f>J1087*K1087</f>
        <v>18000</v>
      </c>
      <c r="M1087" s="46">
        <v>12</v>
      </c>
      <c r="N1087" s="46">
        <v>12</v>
      </c>
      <c r="O1087" s="407">
        <v>1500</v>
      </c>
      <c r="P1087" s="49">
        <f t="shared" si="32"/>
        <v>18000</v>
      </c>
      <c r="Q1087" s="49">
        <f t="shared" si="33"/>
        <v>18000</v>
      </c>
    </row>
    <row r="1088" spans="1:17" ht="13" x14ac:dyDescent="0.25">
      <c r="A1088" s="11" t="s">
        <v>633</v>
      </c>
      <c r="B1088" s="163" t="s">
        <v>448</v>
      </c>
      <c r="C1088" s="284"/>
      <c r="D1088" s="284"/>
      <c r="E1088" s="284"/>
      <c r="F1088" s="163"/>
      <c r="G1088" s="50"/>
      <c r="H1088" s="248" t="s">
        <v>572</v>
      </c>
      <c r="I1088" s="44"/>
      <c r="J1088" s="45"/>
      <c r="K1088" s="47"/>
      <c r="L1088" s="48"/>
      <c r="M1088" s="46"/>
      <c r="N1088" s="46"/>
      <c r="O1088" s="407"/>
      <c r="P1088" s="49">
        <f t="shared" si="32"/>
        <v>0</v>
      </c>
      <c r="Q1088" s="49">
        <f t="shared" si="33"/>
        <v>0</v>
      </c>
    </row>
    <row r="1089" spans="1:17" ht="25" x14ac:dyDescent="0.25">
      <c r="A1089" s="11" t="s">
        <v>633</v>
      </c>
      <c r="B1089" s="163" t="s">
        <v>448</v>
      </c>
      <c r="C1089" s="284"/>
      <c r="D1089" s="284"/>
      <c r="E1089" s="284"/>
      <c r="F1089" s="163" t="s">
        <v>506</v>
      </c>
      <c r="G1089" s="50"/>
      <c r="H1089" s="234" t="s">
        <v>745</v>
      </c>
      <c r="I1089" s="44" t="s">
        <v>175</v>
      </c>
      <c r="J1089" s="45">
        <v>10</v>
      </c>
      <c r="K1089" s="47">
        <v>1980</v>
      </c>
      <c r="L1089" s="48">
        <f>J1089*K1089</f>
        <v>19800</v>
      </c>
      <c r="M1089" s="46">
        <v>10</v>
      </c>
      <c r="N1089" s="46">
        <v>10</v>
      </c>
      <c r="O1089" s="407">
        <v>1980</v>
      </c>
      <c r="P1089" s="49">
        <f t="shared" si="32"/>
        <v>19800</v>
      </c>
      <c r="Q1089" s="49">
        <f t="shared" si="33"/>
        <v>19800</v>
      </c>
    </row>
    <row r="1090" spans="1:17" ht="13" x14ac:dyDescent="0.3">
      <c r="A1090" s="11" t="s">
        <v>633</v>
      </c>
      <c r="B1090" s="163" t="s">
        <v>448</v>
      </c>
      <c r="C1090" s="284"/>
      <c r="D1090" s="284"/>
      <c r="E1090" s="284"/>
      <c r="F1090" s="163"/>
      <c r="G1090" s="50"/>
      <c r="H1090" s="235" t="s">
        <v>746</v>
      </c>
      <c r="I1090" s="44"/>
      <c r="J1090" s="45"/>
      <c r="K1090" s="47"/>
      <c r="L1090" s="48"/>
      <c r="M1090" s="46"/>
      <c r="N1090" s="46"/>
      <c r="O1090" s="407"/>
      <c r="P1090" s="49">
        <f t="shared" si="32"/>
        <v>0</v>
      </c>
      <c r="Q1090" s="49">
        <f t="shared" si="33"/>
        <v>0</v>
      </c>
    </row>
    <row r="1091" spans="1:17" ht="13" x14ac:dyDescent="0.25">
      <c r="A1091" s="11" t="s">
        <v>633</v>
      </c>
      <c r="B1091" s="163" t="s">
        <v>448</v>
      </c>
      <c r="C1091" s="284"/>
      <c r="D1091" s="284"/>
      <c r="E1091" s="284"/>
      <c r="F1091" s="163" t="s">
        <v>510</v>
      </c>
      <c r="G1091" s="50"/>
      <c r="H1091" s="244" t="s">
        <v>747</v>
      </c>
      <c r="I1091" s="44" t="s">
        <v>175</v>
      </c>
      <c r="J1091" s="45">
        <v>1</v>
      </c>
      <c r="K1091" s="47">
        <v>1150</v>
      </c>
      <c r="L1091" s="48">
        <f>J1091*K1091</f>
        <v>1150</v>
      </c>
      <c r="M1091" s="46">
        <v>1</v>
      </c>
      <c r="N1091" s="46">
        <v>1</v>
      </c>
      <c r="O1091" s="407">
        <v>1150</v>
      </c>
      <c r="P1091" s="49">
        <f t="shared" si="32"/>
        <v>1150</v>
      </c>
      <c r="Q1091" s="49">
        <f t="shared" si="33"/>
        <v>1150</v>
      </c>
    </row>
    <row r="1092" spans="1:17" ht="13" x14ac:dyDescent="0.25">
      <c r="A1092" s="11" t="s">
        <v>633</v>
      </c>
      <c r="B1092" s="163" t="s">
        <v>448</v>
      </c>
      <c r="C1092" s="284"/>
      <c r="D1092" s="284"/>
      <c r="E1092" s="284"/>
      <c r="F1092" s="163"/>
      <c r="G1092" s="50"/>
      <c r="H1092" s="244" t="s">
        <v>748</v>
      </c>
      <c r="I1092" s="44"/>
      <c r="J1092" s="45"/>
      <c r="K1092" s="47"/>
      <c r="L1092" s="48"/>
      <c r="M1092" s="46"/>
      <c r="N1092" s="46"/>
      <c r="O1092" s="407"/>
      <c r="P1092" s="49">
        <f t="shared" si="32"/>
        <v>0</v>
      </c>
      <c r="Q1092" s="49">
        <f t="shared" si="33"/>
        <v>0</v>
      </c>
    </row>
    <row r="1093" spans="1:17" ht="13" x14ac:dyDescent="0.25">
      <c r="A1093" s="11" t="s">
        <v>633</v>
      </c>
      <c r="B1093" s="163" t="s">
        <v>448</v>
      </c>
      <c r="C1093" s="284"/>
      <c r="D1093" s="284"/>
      <c r="E1093" s="284"/>
      <c r="F1093" s="163"/>
      <c r="G1093" s="50"/>
      <c r="H1093" s="244" t="s">
        <v>749</v>
      </c>
      <c r="I1093" s="44"/>
      <c r="J1093" s="45"/>
      <c r="K1093" s="47"/>
      <c r="L1093" s="48"/>
      <c r="M1093" s="46"/>
      <c r="N1093" s="46"/>
      <c r="O1093" s="407"/>
      <c r="P1093" s="49">
        <f t="shared" si="32"/>
        <v>0</v>
      </c>
      <c r="Q1093" s="49">
        <f t="shared" si="33"/>
        <v>0</v>
      </c>
    </row>
    <row r="1094" spans="1:17" ht="13" x14ac:dyDescent="0.25">
      <c r="A1094" s="11" t="s">
        <v>633</v>
      </c>
      <c r="B1094" s="163" t="s">
        <v>448</v>
      </c>
      <c r="C1094" s="284"/>
      <c r="D1094" s="284"/>
      <c r="E1094" s="284"/>
      <c r="F1094" s="163"/>
      <c r="G1094" s="50"/>
      <c r="H1094" s="244" t="s">
        <v>750</v>
      </c>
      <c r="I1094" s="44"/>
      <c r="J1094" s="45"/>
      <c r="K1094" s="47"/>
      <c r="L1094" s="48"/>
      <c r="M1094" s="46"/>
      <c r="N1094" s="46"/>
      <c r="O1094" s="407"/>
      <c r="P1094" s="49">
        <f t="shared" si="32"/>
        <v>0</v>
      </c>
      <c r="Q1094" s="49">
        <f t="shared" si="33"/>
        <v>0</v>
      </c>
    </row>
    <row r="1095" spans="1:17" ht="13" x14ac:dyDescent="0.3">
      <c r="A1095" s="11" t="s">
        <v>633</v>
      </c>
      <c r="B1095" s="163" t="s">
        <v>448</v>
      </c>
      <c r="C1095" s="284"/>
      <c r="D1095" s="284"/>
      <c r="E1095" s="284"/>
      <c r="F1095" s="163"/>
      <c r="G1095" s="50"/>
      <c r="H1095" s="218" t="s">
        <v>575</v>
      </c>
      <c r="I1095" s="44"/>
      <c r="J1095" s="45"/>
      <c r="K1095" s="47"/>
      <c r="L1095" s="48"/>
      <c r="M1095" s="46"/>
      <c r="N1095" s="46"/>
      <c r="O1095" s="407"/>
      <c r="P1095" s="49">
        <f t="shared" si="32"/>
        <v>0</v>
      </c>
      <c r="Q1095" s="49">
        <f t="shared" si="33"/>
        <v>0</v>
      </c>
    </row>
    <row r="1096" spans="1:17" ht="37.5" x14ac:dyDescent="0.35">
      <c r="A1096" s="11" t="s">
        <v>633</v>
      </c>
      <c r="B1096" s="163" t="s">
        <v>448</v>
      </c>
      <c r="C1096" s="284"/>
      <c r="D1096" s="284"/>
      <c r="E1096" s="284"/>
      <c r="F1096" s="163"/>
      <c r="G1096" s="50"/>
      <c r="H1096" s="159" t="s">
        <v>576</v>
      </c>
      <c r="I1096" s="44"/>
      <c r="J1096" s="45"/>
      <c r="K1096" s="47"/>
      <c r="L1096" s="48"/>
      <c r="M1096" s="46"/>
      <c r="N1096" s="46"/>
      <c r="O1096" s="407"/>
      <c r="P1096" s="49">
        <f t="shared" si="32"/>
        <v>0</v>
      </c>
      <c r="Q1096" s="49">
        <f t="shared" si="33"/>
        <v>0</v>
      </c>
    </row>
    <row r="1097" spans="1:17" ht="25" x14ac:dyDescent="0.35">
      <c r="A1097" s="11" t="s">
        <v>633</v>
      </c>
      <c r="B1097" s="163" t="s">
        <v>448</v>
      </c>
      <c r="C1097" s="284"/>
      <c r="D1097" s="284"/>
      <c r="E1097" s="284"/>
      <c r="F1097" s="163"/>
      <c r="G1097" s="50"/>
      <c r="H1097" s="159" t="s">
        <v>577</v>
      </c>
      <c r="I1097" s="44"/>
      <c r="J1097" s="45"/>
      <c r="K1097" s="47"/>
      <c r="L1097" s="55"/>
      <c r="M1097" s="46"/>
      <c r="N1097" s="46"/>
      <c r="O1097" s="407"/>
      <c r="P1097" s="56">
        <f t="shared" si="32"/>
        <v>0</v>
      </c>
      <c r="Q1097" s="56">
        <f t="shared" si="33"/>
        <v>0</v>
      </c>
    </row>
    <row r="1098" spans="1:17" ht="13" x14ac:dyDescent="0.25">
      <c r="A1098" s="11" t="s">
        <v>633</v>
      </c>
      <c r="B1098" s="163" t="s">
        <v>448</v>
      </c>
      <c r="C1098" s="284"/>
      <c r="D1098" s="284"/>
      <c r="E1098" s="284"/>
      <c r="F1098" s="163"/>
      <c r="G1098" s="50"/>
      <c r="H1098" s="220" t="s">
        <v>578</v>
      </c>
      <c r="I1098" s="44"/>
      <c r="J1098" s="45"/>
      <c r="K1098" s="47"/>
      <c r="L1098" s="55"/>
      <c r="M1098" s="46"/>
      <c r="N1098" s="46"/>
      <c r="O1098" s="407"/>
      <c r="P1098" s="56">
        <f t="shared" ref="P1098:P1161" si="34">O1098*M1098</f>
        <v>0</v>
      </c>
      <c r="Q1098" s="56">
        <f t="shared" ref="Q1098:Q1161" si="35">O1098*N1098</f>
        <v>0</v>
      </c>
    </row>
    <row r="1099" spans="1:17" ht="13" x14ac:dyDescent="0.25">
      <c r="A1099" s="11" t="s">
        <v>633</v>
      </c>
      <c r="B1099" s="163" t="s">
        <v>448</v>
      </c>
      <c r="C1099" s="284"/>
      <c r="D1099" s="284"/>
      <c r="E1099" s="284"/>
      <c r="F1099" s="163"/>
      <c r="G1099" s="50"/>
      <c r="H1099" s="234" t="s">
        <v>579</v>
      </c>
      <c r="I1099" s="44"/>
      <c r="J1099" s="45"/>
      <c r="K1099" s="47"/>
      <c r="L1099" s="48"/>
      <c r="M1099" s="46"/>
      <c r="N1099" s="46"/>
      <c r="O1099" s="407"/>
      <c r="P1099" s="49">
        <f t="shared" si="34"/>
        <v>0</v>
      </c>
      <c r="Q1099" s="49">
        <f t="shared" si="35"/>
        <v>0</v>
      </c>
    </row>
    <row r="1100" spans="1:17" ht="13" x14ac:dyDescent="0.25">
      <c r="A1100" s="11" t="s">
        <v>633</v>
      </c>
      <c r="B1100" s="163" t="s">
        <v>448</v>
      </c>
      <c r="C1100" s="284"/>
      <c r="D1100" s="284"/>
      <c r="E1100" s="284"/>
      <c r="F1100" s="163"/>
      <c r="G1100" s="50"/>
      <c r="H1100" s="234" t="s">
        <v>580</v>
      </c>
      <c r="I1100" s="44"/>
      <c r="J1100" s="45"/>
      <c r="K1100" s="47"/>
      <c r="L1100" s="48"/>
      <c r="M1100" s="46"/>
      <c r="N1100" s="46"/>
      <c r="O1100" s="407"/>
      <c r="P1100" s="49">
        <f t="shared" si="34"/>
        <v>0</v>
      </c>
      <c r="Q1100" s="49">
        <f t="shared" si="35"/>
        <v>0</v>
      </c>
    </row>
    <row r="1101" spans="1:17" ht="13" x14ac:dyDescent="0.35">
      <c r="A1101" s="11" t="s">
        <v>633</v>
      </c>
      <c r="B1101" s="163" t="s">
        <v>448</v>
      </c>
      <c r="C1101" s="284"/>
      <c r="D1101" s="284"/>
      <c r="E1101" s="284"/>
      <c r="F1101" s="163" t="s">
        <v>512</v>
      </c>
      <c r="G1101" s="50"/>
      <c r="H1101" s="187" t="s">
        <v>582</v>
      </c>
      <c r="I1101" s="44" t="s">
        <v>186</v>
      </c>
      <c r="J1101" s="45">
        <v>2</v>
      </c>
      <c r="K1101" s="47">
        <v>105</v>
      </c>
      <c r="L1101" s="48">
        <f>J1101*K1101</f>
        <v>210</v>
      </c>
      <c r="M1101" s="46">
        <v>2</v>
      </c>
      <c r="N1101" s="46">
        <v>2</v>
      </c>
      <c r="O1101" s="407">
        <v>105</v>
      </c>
      <c r="P1101" s="49">
        <f t="shared" si="34"/>
        <v>210</v>
      </c>
      <c r="Q1101" s="49">
        <f t="shared" si="35"/>
        <v>210</v>
      </c>
    </row>
    <row r="1102" spans="1:17" ht="25" x14ac:dyDescent="0.35">
      <c r="A1102" s="11" t="s">
        <v>633</v>
      </c>
      <c r="B1102" s="163" t="s">
        <v>448</v>
      </c>
      <c r="C1102" s="284"/>
      <c r="D1102" s="284"/>
      <c r="E1102" s="284"/>
      <c r="F1102" s="163" t="s">
        <v>515</v>
      </c>
      <c r="G1102" s="50"/>
      <c r="H1102" s="187" t="s">
        <v>584</v>
      </c>
      <c r="I1102" s="44" t="s">
        <v>186</v>
      </c>
      <c r="J1102" s="45">
        <v>6</v>
      </c>
      <c r="K1102" s="47">
        <v>50</v>
      </c>
      <c r="L1102" s="48">
        <f>J1102*K1102</f>
        <v>300</v>
      </c>
      <c r="M1102" s="46">
        <v>6</v>
      </c>
      <c r="N1102" s="46">
        <v>6</v>
      </c>
      <c r="O1102" s="407">
        <v>50</v>
      </c>
      <c r="P1102" s="49">
        <f t="shared" si="34"/>
        <v>300</v>
      </c>
      <c r="Q1102" s="49">
        <f t="shared" si="35"/>
        <v>300</v>
      </c>
    </row>
    <row r="1103" spans="1:17" ht="13" x14ac:dyDescent="0.35">
      <c r="A1103" s="11" t="s">
        <v>633</v>
      </c>
      <c r="B1103" s="163" t="s">
        <v>448</v>
      </c>
      <c r="C1103" s="284"/>
      <c r="D1103" s="284"/>
      <c r="E1103" s="284"/>
      <c r="F1103" s="163" t="s">
        <v>520</v>
      </c>
      <c r="G1103" s="50"/>
      <c r="H1103" s="187" t="s">
        <v>586</v>
      </c>
      <c r="I1103" s="44" t="s">
        <v>587</v>
      </c>
      <c r="J1103" s="45">
        <v>2</v>
      </c>
      <c r="K1103" s="47">
        <v>65</v>
      </c>
      <c r="L1103" s="48">
        <f>J1103*K1103</f>
        <v>130</v>
      </c>
      <c r="M1103" s="46">
        <v>2</v>
      </c>
      <c r="N1103" s="46">
        <v>2</v>
      </c>
      <c r="O1103" s="407">
        <v>65</v>
      </c>
      <c r="P1103" s="49">
        <f t="shared" si="34"/>
        <v>130</v>
      </c>
      <c r="Q1103" s="49">
        <f t="shared" si="35"/>
        <v>130</v>
      </c>
    </row>
    <row r="1104" spans="1:17" ht="13" x14ac:dyDescent="0.35">
      <c r="A1104" s="11" t="s">
        <v>633</v>
      </c>
      <c r="B1104" s="163" t="s">
        <v>448</v>
      </c>
      <c r="C1104" s="284"/>
      <c r="D1104" s="284"/>
      <c r="E1104" s="284"/>
      <c r="F1104" s="163"/>
      <c r="G1104" s="50"/>
      <c r="H1104" s="249" t="s">
        <v>517</v>
      </c>
      <c r="I1104" s="44"/>
      <c r="J1104" s="45"/>
      <c r="K1104" s="47"/>
      <c r="L1104" s="48"/>
      <c r="M1104" s="46"/>
      <c r="N1104" s="46"/>
      <c r="O1104" s="407"/>
      <c r="P1104" s="49">
        <f t="shared" si="34"/>
        <v>0</v>
      </c>
      <c r="Q1104" s="49">
        <f t="shared" si="35"/>
        <v>0</v>
      </c>
    </row>
    <row r="1105" spans="1:17" ht="13" x14ac:dyDescent="0.35">
      <c r="A1105" s="11" t="s">
        <v>633</v>
      </c>
      <c r="B1105" s="163" t="s">
        <v>448</v>
      </c>
      <c r="C1105" s="284"/>
      <c r="D1105" s="284"/>
      <c r="E1105" s="284"/>
      <c r="F1105" s="163" t="s">
        <v>522</v>
      </c>
      <c r="G1105" s="50"/>
      <c r="H1105" s="187" t="s">
        <v>589</v>
      </c>
      <c r="I1105" s="44" t="s">
        <v>186</v>
      </c>
      <c r="J1105" s="45">
        <v>10</v>
      </c>
      <c r="K1105" s="47">
        <v>200</v>
      </c>
      <c r="L1105" s="48">
        <f>J1105*K1105</f>
        <v>2000</v>
      </c>
      <c r="M1105" s="46">
        <v>10</v>
      </c>
      <c r="N1105" s="46">
        <v>10</v>
      </c>
      <c r="O1105" s="407">
        <v>200</v>
      </c>
      <c r="P1105" s="49">
        <f t="shared" si="34"/>
        <v>2000</v>
      </c>
      <c r="Q1105" s="49">
        <f t="shared" si="35"/>
        <v>2000</v>
      </c>
    </row>
    <row r="1106" spans="1:17" ht="13" x14ac:dyDescent="0.35">
      <c r="A1106" s="11" t="s">
        <v>633</v>
      </c>
      <c r="B1106" s="163" t="s">
        <v>448</v>
      </c>
      <c r="C1106" s="284"/>
      <c r="D1106" s="284"/>
      <c r="E1106" s="284"/>
      <c r="F1106" s="163" t="s">
        <v>524</v>
      </c>
      <c r="G1106" s="50"/>
      <c r="H1106" s="187" t="s">
        <v>591</v>
      </c>
      <c r="I1106" s="44" t="s">
        <v>186</v>
      </c>
      <c r="J1106" s="45">
        <v>10</v>
      </c>
      <c r="K1106" s="47">
        <v>65</v>
      </c>
      <c r="L1106" s="48">
        <f>J1106*K1106</f>
        <v>650</v>
      </c>
      <c r="M1106" s="46">
        <v>10</v>
      </c>
      <c r="N1106" s="46">
        <v>10</v>
      </c>
      <c r="O1106" s="407">
        <v>65</v>
      </c>
      <c r="P1106" s="49">
        <f t="shared" si="34"/>
        <v>650</v>
      </c>
      <c r="Q1106" s="49">
        <f t="shared" si="35"/>
        <v>650</v>
      </c>
    </row>
    <row r="1107" spans="1:17" ht="13" x14ac:dyDescent="0.35">
      <c r="A1107" s="11" t="s">
        <v>633</v>
      </c>
      <c r="B1107" s="163" t="s">
        <v>448</v>
      </c>
      <c r="C1107" s="284"/>
      <c r="D1107" s="284"/>
      <c r="E1107" s="284"/>
      <c r="F1107" s="163" t="s">
        <v>528</v>
      </c>
      <c r="G1107" s="50"/>
      <c r="H1107" s="187" t="s">
        <v>593</v>
      </c>
      <c r="I1107" s="44" t="s">
        <v>186</v>
      </c>
      <c r="J1107" s="45">
        <v>10</v>
      </c>
      <c r="K1107" s="47">
        <v>55</v>
      </c>
      <c r="L1107" s="48">
        <f>J1107*K1107</f>
        <v>550</v>
      </c>
      <c r="M1107" s="46">
        <v>10</v>
      </c>
      <c r="N1107" s="46">
        <v>10</v>
      </c>
      <c r="O1107" s="407">
        <v>55</v>
      </c>
      <c r="P1107" s="49">
        <f t="shared" si="34"/>
        <v>550</v>
      </c>
      <c r="Q1107" s="49">
        <f t="shared" si="35"/>
        <v>550</v>
      </c>
    </row>
    <row r="1108" spans="1:17" ht="37.5" x14ac:dyDescent="0.35">
      <c r="A1108" s="11" t="s">
        <v>633</v>
      </c>
      <c r="B1108" s="163" t="s">
        <v>448</v>
      </c>
      <c r="C1108" s="284"/>
      <c r="D1108" s="284"/>
      <c r="E1108" s="284"/>
      <c r="F1108" s="163" t="s">
        <v>534</v>
      </c>
      <c r="G1108" s="50"/>
      <c r="H1108" s="187" t="s">
        <v>595</v>
      </c>
      <c r="I1108" s="44" t="s">
        <v>175</v>
      </c>
      <c r="J1108" s="45">
        <v>1</v>
      </c>
      <c r="K1108" s="47">
        <v>150</v>
      </c>
      <c r="L1108" s="48">
        <f>J1108*K1108</f>
        <v>150</v>
      </c>
      <c r="M1108" s="46">
        <v>1</v>
      </c>
      <c r="N1108" s="46">
        <v>1</v>
      </c>
      <c r="O1108" s="407">
        <v>150</v>
      </c>
      <c r="P1108" s="49">
        <f t="shared" si="34"/>
        <v>150</v>
      </c>
      <c r="Q1108" s="49">
        <f t="shared" si="35"/>
        <v>150</v>
      </c>
    </row>
    <row r="1109" spans="1:17" ht="13" x14ac:dyDescent="0.35">
      <c r="A1109" s="11" t="s">
        <v>633</v>
      </c>
      <c r="B1109" s="163" t="s">
        <v>448</v>
      </c>
      <c r="C1109" s="284"/>
      <c r="D1109" s="284"/>
      <c r="E1109" s="284"/>
      <c r="F1109" s="163" t="s">
        <v>536</v>
      </c>
      <c r="G1109" s="50"/>
      <c r="H1109" s="187" t="s">
        <v>598</v>
      </c>
      <c r="I1109" s="44" t="s">
        <v>186</v>
      </c>
      <c r="J1109" s="45">
        <v>1</v>
      </c>
      <c r="K1109" s="47">
        <v>700</v>
      </c>
      <c r="L1109" s="48">
        <f>J1109*K1109</f>
        <v>700</v>
      </c>
      <c r="M1109" s="46">
        <v>1</v>
      </c>
      <c r="N1109" s="46">
        <v>1</v>
      </c>
      <c r="O1109" s="407">
        <v>700</v>
      </c>
      <c r="P1109" s="49">
        <f t="shared" si="34"/>
        <v>700</v>
      </c>
      <c r="Q1109" s="49">
        <f t="shared" si="35"/>
        <v>700</v>
      </c>
    </row>
    <row r="1110" spans="1:17" ht="13" x14ac:dyDescent="0.35">
      <c r="A1110" s="11" t="s">
        <v>633</v>
      </c>
      <c r="B1110" s="163" t="s">
        <v>448</v>
      </c>
      <c r="C1110" s="284"/>
      <c r="D1110" s="284"/>
      <c r="E1110" s="284"/>
      <c r="F1110" s="163" t="s">
        <v>538</v>
      </c>
      <c r="G1110" s="50"/>
      <c r="H1110" s="187" t="s">
        <v>600</v>
      </c>
      <c r="I1110" s="44" t="s">
        <v>175</v>
      </c>
      <c r="J1110" s="45">
        <v>2</v>
      </c>
      <c r="K1110" s="47">
        <v>130</v>
      </c>
      <c r="L1110" s="48">
        <f>J1110*K1110</f>
        <v>260</v>
      </c>
      <c r="M1110" s="46">
        <v>2</v>
      </c>
      <c r="N1110" s="46">
        <v>2</v>
      </c>
      <c r="O1110" s="407">
        <v>130</v>
      </c>
      <c r="P1110" s="49">
        <f t="shared" si="34"/>
        <v>260</v>
      </c>
      <c r="Q1110" s="49">
        <f t="shared" si="35"/>
        <v>260</v>
      </c>
    </row>
    <row r="1111" spans="1:17" ht="13" x14ac:dyDescent="0.35">
      <c r="A1111" s="11" t="s">
        <v>633</v>
      </c>
      <c r="B1111" s="163" t="s">
        <v>448</v>
      </c>
      <c r="C1111" s="284"/>
      <c r="D1111" s="284"/>
      <c r="E1111" s="284"/>
      <c r="F1111" s="163" t="s">
        <v>540</v>
      </c>
      <c r="G1111" s="50"/>
      <c r="H1111" s="187" t="s">
        <v>602</v>
      </c>
      <c r="I1111" s="44" t="s">
        <v>186</v>
      </c>
      <c r="J1111" s="250">
        <v>2</v>
      </c>
      <c r="K1111" s="252">
        <v>55</v>
      </c>
      <c r="L1111" s="48">
        <f>J1111*K1111</f>
        <v>110</v>
      </c>
      <c r="M1111" s="251">
        <v>2</v>
      </c>
      <c r="N1111" s="251">
        <v>2</v>
      </c>
      <c r="O1111" s="426">
        <v>55</v>
      </c>
      <c r="P1111" s="49">
        <f t="shared" si="34"/>
        <v>110</v>
      </c>
      <c r="Q1111" s="49">
        <f t="shared" si="35"/>
        <v>110</v>
      </c>
    </row>
    <row r="1112" spans="1:17" ht="13" x14ac:dyDescent="0.35">
      <c r="A1112" s="11" t="s">
        <v>633</v>
      </c>
      <c r="B1112" s="163" t="s">
        <v>448</v>
      </c>
      <c r="C1112" s="284"/>
      <c r="D1112" s="284"/>
      <c r="E1112" s="284"/>
      <c r="F1112" s="163" t="s">
        <v>542</v>
      </c>
      <c r="G1112" s="50"/>
      <c r="H1112" s="187" t="s">
        <v>604</v>
      </c>
      <c r="I1112" s="44" t="s">
        <v>186</v>
      </c>
      <c r="J1112" s="250">
        <v>10</v>
      </c>
      <c r="K1112" s="252">
        <v>200</v>
      </c>
      <c r="L1112" s="48">
        <f>J1112*K1112</f>
        <v>2000</v>
      </c>
      <c r="M1112" s="251">
        <v>10</v>
      </c>
      <c r="N1112" s="251">
        <v>10</v>
      </c>
      <c r="O1112" s="426">
        <v>200</v>
      </c>
      <c r="P1112" s="49">
        <f t="shared" si="34"/>
        <v>2000</v>
      </c>
      <c r="Q1112" s="49">
        <f t="shared" si="35"/>
        <v>2000</v>
      </c>
    </row>
    <row r="1113" spans="1:17" ht="13" x14ac:dyDescent="0.35">
      <c r="A1113" s="11" t="s">
        <v>633</v>
      </c>
      <c r="B1113" s="163" t="s">
        <v>448</v>
      </c>
      <c r="C1113" s="284"/>
      <c r="D1113" s="284"/>
      <c r="E1113" s="284"/>
      <c r="F1113" s="163" t="s">
        <v>544</v>
      </c>
      <c r="G1113" s="50"/>
      <c r="H1113" s="187" t="s">
        <v>606</v>
      </c>
      <c r="I1113" s="44" t="s">
        <v>186</v>
      </c>
      <c r="J1113" s="250">
        <v>10</v>
      </c>
      <c r="K1113" s="252">
        <v>200</v>
      </c>
      <c r="L1113" s="48">
        <f>J1113*K1113</f>
        <v>2000</v>
      </c>
      <c r="M1113" s="251">
        <v>10</v>
      </c>
      <c r="N1113" s="251">
        <v>10</v>
      </c>
      <c r="O1113" s="426">
        <v>200</v>
      </c>
      <c r="P1113" s="49">
        <f t="shared" si="34"/>
        <v>2000</v>
      </c>
      <c r="Q1113" s="49">
        <f t="shared" si="35"/>
        <v>2000</v>
      </c>
    </row>
    <row r="1114" spans="1:17" ht="13" x14ac:dyDescent="0.35">
      <c r="A1114" s="11" t="s">
        <v>633</v>
      </c>
      <c r="B1114" s="163" t="s">
        <v>448</v>
      </c>
      <c r="C1114" s="284"/>
      <c r="D1114" s="284"/>
      <c r="E1114" s="284"/>
      <c r="F1114" s="163"/>
      <c r="G1114" s="50"/>
      <c r="H1114" s="253" t="s">
        <v>607</v>
      </c>
      <c r="I1114" s="44"/>
      <c r="J1114" s="45"/>
      <c r="K1114" s="70"/>
      <c r="L1114" s="48"/>
      <c r="M1114" s="46"/>
      <c r="N1114" s="46"/>
      <c r="O1114" s="409"/>
      <c r="P1114" s="49">
        <f t="shared" si="34"/>
        <v>0</v>
      </c>
      <c r="Q1114" s="49">
        <f t="shared" si="35"/>
        <v>0</v>
      </c>
    </row>
    <row r="1115" spans="1:17" ht="13" x14ac:dyDescent="0.35">
      <c r="A1115" s="11" t="s">
        <v>633</v>
      </c>
      <c r="B1115" s="163" t="s">
        <v>448</v>
      </c>
      <c r="C1115" s="284"/>
      <c r="D1115" s="284"/>
      <c r="E1115" s="284"/>
      <c r="F1115" s="163" t="s">
        <v>546</v>
      </c>
      <c r="G1115" s="50"/>
      <c r="H1115" s="187" t="s">
        <v>609</v>
      </c>
      <c r="I1115" s="44" t="s">
        <v>175</v>
      </c>
      <c r="J1115" s="250">
        <v>1</v>
      </c>
      <c r="K1115" s="252">
        <v>1000</v>
      </c>
      <c r="L1115" s="48">
        <f>J1115*K1115</f>
        <v>1000</v>
      </c>
      <c r="M1115" s="251">
        <v>1</v>
      </c>
      <c r="N1115" s="251">
        <v>1</v>
      </c>
      <c r="O1115" s="426">
        <v>1000</v>
      </c>
      <c r="P1115" s="49">
        <f t="shared" si="34"/>
        <v>1000</v>
      </c>
      <c r="Q1115" s="49">
        <f t="shared" si="35"/>
        <v>1000</v>
      </c>
    </row>
    <row r="1116" spans="1:17" ht="13" x14ac:dyDescent="0.35">
      <c r="A1116" s="11" t="s">
        <v>633</v>
      </c>
      <c r="B1116" s="163" t="s">
        <v>448</v>
      </c>
      <c r="C1116" s="284"/>
      <c r="D1116" s="284"/>
      <c r="E1116" s="284"/>
      <c r="F1116" s="163"/>
      <c r="G1116" s="50"/>
      <c r="H1116" s="253" t="s">
        <v>610</v>
      </c>
      <c r="I1116" s="44"/>
      <c r="J1116" s="250"/>
      <c r="K1116" s="252"/>
      <c r="L1116" s="48"/>
      <c r="M1116" s="251"/>
      <c r="N1116" s="251"/>
      <c r="O1116" s="426"/>
      <c r="P1116" s="49">
        <f t="shared" si="34"/>
        <v>0</v>
      </c>
      <c r="Q1116" s="49">
        <f t="shared" si="35"/>
        <v>0</v>
      </c>
    </row>
    <row r="1117" spans="1:17" ht="13" x14ac:dyDescent="0.35">
      <c r="A1117" s="11" t="s">
        <v>633</v>
      </c>
      <c r="B1117" s="163" t="s">
        <v>448</v>
      </c>
      <c r="C1117" s="284"/>
      <c r="D1117" s="284"/>
      <c r="E1117" s="284"/>
      <c r="F1117" s="163" t="s">
        <v>549</v>
      </c>
      <c r="G1117" s="50"/>
      <c r="H1117" s="187" t="s">
        <v>612</v>
      </c>
      <c r="I1117" s="44" t="s">
        <v>175</v>
      </c>
      <c r="J1117" s="250">
        <v>1</v>
      </c>
      <c r="K1117" s="252">
        <v>145</v>
      </c>
      <c r="L1117" s="48">
        <f>J1117*K1117</f>
        <v>145</v>
      </c>
      <c r="M1117" s="251">
        <v>1</v>
      </c>
      <c r="N1117" s="251">
        <v>1</v>
      </c>
      <c r="O1117" s="426">
        <v>145</v>
      </c>
      <c r="P1117" s="49">
        <f t="shared" si="34"/>
        <v>145</v>
      </c>
      <c r="Q1117" s="49">
        <f t="shared" si="35"/>
        <v>145</v>
      </c>
    </row>
    <row r="1118" spans="1:17" ht="13" x14ac:dyDescent="0.35">
      <c r="A1118" s="11" t="s">
        <v>633</v>
      </c>
      <c r="B1118" s="163" t="s">
        <v>448</v>
      </c>
      <c r="C1118" s="284"/>
      <c r="D1118" s="284"/>
      <c r="E1118" s="284"/>
      <c r="F1118" s="163" t="s">
        <v>551</v>
      </c>
      <c r="G1118" s="50"/>
      <c r="H1118" s="187" t="s">
        <v>614</v>
      </c>
      <c r="I1118" s="44" t="s">
        <v>175</v>
      </c>
      <c r="J1118" s="250">
        <v>1</v>
      </c>
      <c r="K1118" s="252">
        <v>500</v>
      </c>
      <c r="L1118" s="48">
        <f>J1118*K1118</f>
        <v>500</v>
      </c>
      <c r="M1118" s="251">
        <v>1</v>
      </c>
      <c r="N1118" s="251">
        <v>1</v>
      </c>
      <c r="O1118" s="426">
        <v>500</v>
      </c>
      <c r="P1118" s="49">
        <f t="shared" si="34"/>
        <v>500</v>
      </c>
      <c r="Q1118" s="49">
        <f t="shared" si="35"/>
        <v>500</v>
      </c>
    </row>
    <row r="1119" spans="1:17" ht="37.5" x14ac:dyDescent="0.35">
      <c r="A1119" s="11" t="s">
        <v>633</v>
      </c>
      <c r="B1119" s="163" t="s">
        <v>448</v>
      </c>
      <c r="C1119" s="284"/>
      <c r="D1119" s="284"/>
      <c r="E1119" s="284"/>
      <c r="F1119" s="163" t="s">
        <v>553</v>
      </c>
      <c r="G1119" s="50"/>
      <c r="H1119" s="187" t="s">
        <v>751</v>
      </c>
      <c r="I1119" s="44" t="s">
        <v>175</v>
      </c>
      <c r="J1119" s="250">
        <v>1</v>
      </c>
      <c r="K1119" s="252">
        <v>3500</v>
      </c>
      <c r="L1119" s="48">
        <f>J1119*K1119</f>
        <v>3500</v>
      </c>
      <c r="M1119" s="251">
        <v>1</v>
      </c>
      <c r="N1119" s="251">
        <v>1</v>
      </c>
      <c r="O1119" s="426">
        <v>3500</v>
      </c>
      <c r="P1119" s="49">
        <f t="shared" si="34"/>
        <v>3500</v>
      </c>
      <c r="Q1119" s="49">
        <f t="shared" si="35"/>
        <v>3500</v>
      </c>
    </row>
    <row r="1120" spans="1:17" ht="13" x14ac:dyDescent="0.3">
      <c r="A1120" s="11" t="s">
        <v>633</v>
      </c>
      <c r="B1120" s="163" t="s">
        <v>448</v>
      </c>
      <c r="C1120" s="284"/>
      <c r="D1120" s="284"/>
      <c r="E1120" s="284"/>
      <c r="F1120" s="163"/>
      <c r="G1120" s="50"/>
      <c r="H1120" s="218" t="s">
        <v>617</v>
      </c>
      <c r="I1120" s="44"/>
      <c r="J1120" s="254"/>
      <c r="K1120" s="256"/>
      <c r="L1120" s="48"/>
      <c r="M1120" s="255"/>
      <c r="N1120" s="255"/>
      <c r="O1120" s="427"/>
      <c r="P1120" s="49">
        <f t="shared" si="34"/>
        <v>0</v>
      </c>
      <c r="Q1120" s="49">
        <f t="shared" si="35"/>
        <v>0</v>
      </c>
    </row>
    <row r="1121" spans="1:17" ht="13" x14ac:dyDescent="0.25">
      <c r="A1121" s="11" t="s">
        <v>633</v>
      </c>
      <c r="B1121" s="163" t="s">
        <v>448</v>
      </c>
      <c r="C1121" s="284"/>
      <c r="D1121" s="284"/>
      <c r="E1121" s="284"/>
      <c r="F1121" s="163" t="s">
        <v>555</v>
      </c>
      <c r="G1121" s="50"/>
      <c r="H1121" s="257" t="s">
        <v>752</v>
      </c>
      <c r="I1121" s="258"/>
      <c r="J1121" s="254"/>
      <c r="K1121" s="256"/>
      <c r="L1121" s="48"/>
      <c r="M1121" s="255"/>
      <c r="N1121" s="255"/>
      <c r="O1121" s="427"/>
      <c r="P1121" s="49">
        <f t="shared" si="34"/>
        <v>0</v>
      </c>
      <c r="Q1121" s="49">
        <f t="shared" si="35"/>
        <v>0</v>
      </c>
    </row>
    <row r="1122" spans="1:17" ht="13" x14ac:dyDescent="0.25">
      <c r="A1122" s="11" t="s">
        <v>633</v>
      </c>
      <c r="B1122" s="163" t="s">
        <v>448</v>
      </c>
      <c r="C1122" s="284"/>
      <c r="D1122" s="284"/>
      <c r="E1122" s="284"/>
      <c r="F1122" s="163"/>
      <c r="G1122" s="50"/>
      <c r="H1122" s="257" t="s">
        <v>753</v>
      </c>
      <c r="I1122" s="258" t="s">
        <v>468</v>
      </c>
      <c r="J1122" s="250">
        <v>1</v>
      </c>
      <c r="K1122" s="259">
        <v>5000</v>
      </c>
      <c r="L1122" s="48">
        <f>J1122*K1122</f>
        <v>5000</v>
      </c>
      <c r="M1122" s="251">
        <v>1</v>
      </c>
      <c r="N1122" s="251">
        <v>1</v>
      </c>
      <c r="O1122" s="428">
        <v>5000</v>
      </c>
      <c r="P1122" s="49">
        <f t="shared" si="34"/>
        <v>5000</v>
      </c>
      <c r="Q1122" s="49">
        <f t="shared" si="35"/>
        <v>5000</v>
      </c>
    </row>
    <row r="1123" spans="1:17" ht="13" x14ac:dyDescent="0.35">
      <c r="A1123" s="11" t="s">
        <v>633</v>
      </c>
      <c r="B1123" s="163" t="s">
        <v>621</v>
      </c>
      <c r="C1123" s="284"/>
      <c r="D1123" s="284"/>
      <c r="E1123" s="284"/>
      <c r="F1123" s="11"/>
      <c r="G1123" s="11"/>
      <c r="H1123" s="43" t="s">
        <v>634</v>
      </c>
      <c r="I1123" s="44"/>
      <c r="J1123" s="45"/>
      <c r="K1123" s="47"/>
      <c r="L1123" s="48"/>
      <c r="M1123" s="46"/>
      <c r="N1123" s="46"/>
      <c r="O1123" s="407"/>
      <c r="P1123" s="49">
        <f t="shared" si="34"/>
        <v>0</v>
      </c>
      <c r="Q1123" s="49">
        <f t="shared" si="35"/>
        <v>0</v>
      </c>
    </row>
    <row r="1124" spans="1:17" ht="13" x14ac:dyDescent="0.35">
      <c r="A1124" s="11" t="s">
        <v>633</v>
      </c>
      <c r="B1124" s="163" t="s">
        <v>621</v>
      </c>
      <c r="C1124" s="284"/>
      <c r="D1124" s="284"/>
      <c r="E1124" s="284"/>
      <c r="F1124" s="11"/>
      <c r="G1124" s="11"/>
      <c r="H1124" s="43" t="s">
        <v>635</v>
      </c>
      <c r="I1124" s="44"/>
      <c r="J1124" s="45"/>
      <c r="K1124" s="47"/>
      <c r="L1124" s="55"/>
      <c r="M1124" s="46"/>
      <c r="N1124" s="46"/>
      <c r="O1124" s="407"/>
      <c r="P1124" s="56">
        <f t="shared" si="34"/>
        <v>0</v>
      </c>
      <c r="Q1124" s="56">
        <f t="shared" si="35"/>
        <v>0</v>
      </c>
    </row>
    <row r="1125" spans="1:17" ht="13" x14ac:dyDescent="0.35">
      <c r="A1125" s="11" t="s">
        <v>633</v>
      </c>
      <c r="B1125" s="163" t="s">
        <v>621</v>
      </c>
      <c r="C1125" s="284"/>
      <c r="D1125" s="284"/>
      <c r="E1125" s="284"/>
      <c r="F1125" s="11"/>
      <c r="G1125" s="11"/>
      <c r="H1125" s="43" t="s">
        <v>622</v>
      </c>
      <c r="I1125" s="44"/>
      <c r="J1125" s="45"/>
      <c r="K1125" s="47"/>
      <c r="L1125" s="55"/>
      <c r="M1125" s="46"/>
      <c r="N1125" s="46"/>
      <c r="O1125" s="407"/>
      <c r="P1125" s="56">
        <f t="shared" si="34"/>
        <v>0</v>
      </c>
      <c r="Q1125" s="56">
        <f t="shared" si="35"/>
        <v>0</v>
      </c>
    </row>
    <row r="1126" spans="1:17" s="172" customFormat="1" ht="13" x14ac:dyDescent="0.35">
      <c r="A1126" s="11" t="s">
        <v>633</v>
      </c>
      <c r="B1126" s="163" t="s">
        <v>621</v>
      </c>
      <c r="C1126" s="284"/>
      <c r="D1126" s="284"/>
      <c r="E1126" s="284"/>
      <c r="F1126" s="164"/>
      <c r="G1126" s="165"/>
      <c r="H1126" s="153" t="s">
        <v>623</v>
      </c>
      <c r="I1126" s="166"/>
      <c r="J1126" s="167"/>
      <c r="K1126" s="169"/>
      <c r="L1126" s="170"/>
      <c r="M1126" s="168"/>
      <c r="N1126" s="168"/>
      <c r="O1126" s="420"/>
      <c r="P1126" s="171">
        <f t="shared" si="34"/>
        <v>0</v>
      </c>
      <c r="Q1126" s="171">
        <f t="shared" si="35"/>
        <v>0</v>
      </c>
    </row>
    <row r="1127" spans="1:17" s="172" customFormat="1" ht="13" x14ac:dyDescent="0.35">
      <c r="A1127" s="11" t="s">
        <v>633</v>
      </c>
      <c r="B1127" s="163" t="s">
        <v>621</v>
      </c>
      <c r="C1127" s="284"/>
      <c r="D1127" s="284"/>
      <c r="E1127" s="284"/>
      <c r="F1127" s="173"/>
      <c r="G1127" s="174"/>
      <c r="H1127" s="154" t="s">
        <v>100</v>
      </c>
      <c r="I1127" s="175"/>
      <c r="J1127" s="176"/>
      <c r="K1127" s="178"/>
      <c r="L1127" s="179"/>
      <c r="M1127" s="177"/>
      <c r="N1127" s="177"/>
      <c r="O1127" s="421"/>
      <c r="P1127" s="180">
        <f t="shared" si="34"/>
        <v>0</v>
      </c>
      <c r="Q1127" s="180">
        <f t="shared" si="35"/>
        <v>0</v>
      </c>
    </row>
    <row r="1128" spans="1:17" s="172" customFormat="1" ht="13" x14ac:dyDescent="0.35">
      <c r="A1128" s="11" t="s">
        <v>633</v>
      </c>
      <c r="B1128" s="163" t="s">
        <v>621</v>
      </c>
      <c r="C1128" s="284"/>
      <c r="D1128" s="284"/>
      <c r="E1128" s="284"/>
      <c r="F1128" s="173"/>
      <c r="G1128" s="174"/>
      <c r="H1128" s="155" t="s">
        <v>101</v>
      </c>
      <c r="I1128" s="175"/>
      <c r="J1128" s="176"/>
      <c r="K1128" s="178"/>
      <c r="L1128" s="179"/>
      <c r="M1128" s="177"/>
      <c r="N1128" s="177"/>
      <c r="O1128" s="421"/>
      <c r="P1128" s="180">
        <f t="shared" si="34"/>
        <v>0</v>
      </c>
      <c r="Q1128" s="180">
        <f t="shared" si="35"/>
        <v>0</v>
      </c>
    </row>
    <row r="1129" spans="1:17" s="187" customFormat="1" ht="13" x14ac:dyDescent="0.35">
      <c r="A1129" s="11" t="s">
        <v>633</v>
      </c>
      <c r="B1129" s="163" t="s">
        <v>621</v>
      </c>
      <c r="C1129" s="284"/>
      <c r="D1129" s="284"/>
      <c r="E1129" s="284"/>
      <c r="F1129" s="181"/>
      <c r="G1129" s="181"/>
      <c r="H1129" s="57" t="s">
        <v>754</v>
      </c>
      <c r="I1129" s="110"/>
      <c r="J1129" s="182"/>
      <c r="K1129" s="184"/>
      <c r="L1129" s="185"/>
      <c r="M1129" s="183"/>
      <c r="N1129" s="183"/>
      <c r="O1129" s="422"/>
      <c r="P1129" s="186">
        <f t="shared" si="34"/>
        <v>0</v>
      </c>
      <c r="Q1129" s="186">
        <f t="shared" si="35"/>
        <v>0</v>
      </c>
    </row>
    <row r="1130" spans="1:17" s="187" customFormat="1" ht="25" x14ac:dyDescent="0.35">
      <c r="A1130" s="11" t="s">
        <v>633</v>
      </c>
      <c r="B1130" s="163" t="s">
        <v>621</v>
      </c>
      <c r="C1130" s="284"/>
      <c r="D1130" s="284"/>
      <c r="E1130" s="284"/>
      <c r="F1130" s="181" t="s">
        <v>20</v>
      </c>
      <c r="G1130" s="181"/>
      <c r="H1130" s="60" t="s">
        <v>755</v>
      </c>
      <c r="I1130" s="110" t="s">
        <v>468</v>
      </c>
      <c r="J1130" s="182">
        <v>1</v>
      </c>
      <c r="K1130" s="184">
        <v>60000</v>
      </c>
      <c r="L1130" s="185">
        <f>J1130*K1130</f>
        <v>60000</v>
      </c>
      <c r="M1130" s="183">
        <v>1</v>
      </c>
      <c r="N1130" s="183">
        <v>1</v>
      </c>
      <c r="O1130" s="422">
        <v>60000</v>
      </c>
      <c r="P1130" s="186">
        <f t="shared" si="34"/>
        <v>60000</v>
      </c>
      <c r="Q1130" s="186">
        <f t="shared" si="35"/>
        <v>60000</v>
      </c>
    </row>
    <row r="1131" spans="1:17" s="187" customFormat="1" x14ac:dyDescent="0.35">
      <c r="A1131" s="11" t="s">
        <v>633</v>
      </c>
      <c r="B1131" s="163" t="s">
        <v>621</v>
      </c>
      <c r="C1131" s="284"/>
      <c r="D1131" s="284"/>
      <c r="E1131" s="284"/>
      <c r="F1131" s="181" t="s">
        <v>26</v>
      </c>
      <c r="G1131" s="181"/>
      <c r="H1131" s="188" t="s">
        <v>626</v>
      </c>
      <c r="I1131" s="110" t="s">
        <v>627</v>
      </c>
      <c r="J1131" s="189">
        <v>0.05</v>
      </c>
      <c r="K1131" s="184">
        <f>K1130</f>
        <v>60000</v>
      </c>
      <c r="L1131" s="185">
        <f>J1131*K1131</f>
        <v>3000</v>
      </c>
      <c r="M1131" s="190">
        <v>0.05</v>
      </c>
      <c r="N1131" s="190">
        <v>0.05</v>
      </c>
      <c r="O1131" s="422">
        <f>O1130</f>
        <v>60000</v>
      </c>
      <c r="P1131" s="186">
        <f t="shared" si="34"/>
        <v>3000</v>
      </c>
      <c r="Q1131" s="186">
        <f t="shared" si="35"/>
        <v>3000</v>
      </c>
    </row>
    <row r="1132" spans="1:17" s="187" customFormat="1" x14ac:dyDescent="0.35">
      <c r="A1132" s="11" t="s">
        <v>633</v>
      </c>
      <c r="B1132" s="163" t="s">
        <v>621</v>
      </c>
      <c r="C1132" s="284"/>
      <c r="D1132" s="284"/>
      <c r="E1132" s="284"/>
      <c r="F1132" s="181" t="s">
        <v>29</v>
      </c>
      <c r="G1132" s="181"/>
      <c r="H1132" s="188" t="s">
        <v>628</v>
      </c>
      <c r="I1132" s="110" t="s">
        <v>627</v>
      </c>
      <c r="J1132" s="189">
        <v>0.1</v>
      </c>
      <c r="K1132" s="184">
        <f>K1131</f>
        <v>60000</v>
      </c>
      <c r="L1132" s="185">
        <f>J1132*K1132</f>
        <v>6000</v>
      </c>
      <c r="M1132" s="190">
        <v>0.1</v>
      </c>
      <c r="N1132" s="190">
        <v>0.1</v>
      </c>
      <c r="O1132" s="422">
        <f>O1131</f>
        <v>60000</v>
      </c>
      <c r="P1132" s="186">
        <f t="shared" si="34"/>
        <v>6000</v>
      </c>
      <c r="Q1132" s="186">
        <f t="shared" si="35"/>
        <v>6000</v>
      </c>
    </row>
    <row r="1133" spans="1:17" s="187" customFormat="1" ht="13" x14ac:dyDescent="0.35">
      <c r="A1133" s="11" t="s">
        <v>633</v>
      </c>
      <c r="B1133" s="163" t="s">
        <v>621</v>
      </c>
      <c r="C1133" s="284"/>
      <c r="D1133" s="284"/>
      <c r="E1133" s="284"/>
      <c r="F1133" s="181"/>
      <c r="G1133" s="181"/>
      <c r="H1133" s="57" t="s">
        <v>624</v>
      </c>
      <c r="I1133" s="110"/>
      <c r="J1133" s="182"/>
      <c r="K1133" s="184"/>
      <c r="L1133" s="185"/>
      <c r="M1133" s="183"/>
      <c r="N1133" s="183"/>
      <c r="O1133" s="422"/>
      <c r="P1133" s="186">
        <f t="shared" si="34"/>
        <v>0</v>
      </c>
      <c r="Q1133" s="186">
        <f t="shared" si="35"/>
        <v>0</v>
      </c>
    </row>
    <row r="1134" spans="1:17" s="187" customFormat="1" ht="25" x14ac:dyDescent="0.35">
      <c r="A1134" s="11" t="s">
        <v>633</v>
      </c>
      <c r="B1134" s="163" t="s">
        <v>621</v>
      </c>
      <c r="C1134" s="284"/>
      <c r="D1134" s="284"/>
      <c r="E1134" s="284"/>
      <c r="F1134" s="181" t="s">
        <v>32</v>
      </c>
      <c r="G1134" s="181"/>
      <c r="H1134" s="60" t="s">
        <v>756</v>
      </c>
      <c r="I1134" s="110" t="s">
        <v>468</v>
      </c>
      <c r="J1134" s="182">
        <v>1</v>
      </c>
      <c r="K1134" s="184">
        <v>20000</v>
      </c>
      <c r="L1134" s="185">
        <f>J1134*K1134</f>
        <v>20000</v>
      </c>
      <c r="M1134" s="183">
        <v>1</v>
      </c>
      <c r="N1134" s="183">
        <v>1</v>
      </c>
      <c r="O1134" s="422">
        <v>20000</v>
      </c>
      <c r="P1134" s="186">
        <f t="shared" si="34"/>
        <v>20000</v>
      </c>
      <c r="Q1134" s="186">
        <f t="shared" si="35"/>
        <v>20000</v>
      </c>
    </row>
    <row r="1135" spans="1:17" s="187" customFormat="1" x14ac:dyDescent="0.35">
      <c r="A1135" s="11" t="s">
        <v>633</v>
      </c>
      <c r="B1135" s="163" t="s">
        <v>621</v>
      </c>
      <c r="C1135" s="284"/>
      <c r="D1135" s="284"/>
      <c r="E1135" s="284"/>
      <c r="F1135" s="181" t="s">
        <v>36</v>
      </c>
      <c r="G1135" s="181"/>
      <c r="H1135" s="188" t="s">
        <v>626</v>
      </c>
      <c r="I1135" s="110" t="s">
        <v>627</v>
      </c>
      <c r="J1135" s="189">
        <v>0.05</v>
      </c>
      <c r="K1135" s="184">
        <f>K1134</f>
        <v>20000</v>
      </c>
      <c r="L1135" s="185">
        <f>J1135*K1135</f>
        <v>1000</v>
      </c>
      <c r="M1135" s="190">
        <v>0.05</v>
      </c>
      <c r="N1135" s="190">
        <v>0.05</v>
      </c>
      <c r="O1135" s="422">
        <f>O1134</f>
        <v>20000</v>
      </c>
      <c r="P1135" s="186">
        <f t="shared" si="34"/>
        <v>1000</v>
      </c>
      <c r="Q1135" s="186">
        <f t="shared" si="35"/>
        <v>1000</v>
      </c>
    </row>
    <row r="1136" spans="1:17" s="187" customFormat="1" x14ac:dyDescent="0.35">
      <c r="A1136" s="11" t="s">
        <v>633</v>
      </c>
      <c r="B1136" s="163" t="s">
        <v>621</v>
      </c>
      <c r="C1136" s="284"/>
      <c r="D1136" s="284"/>
      <c r="E1136" s="284"/>
      <c r="F1136" s="181" t="s">
        <v>39</v>
      </c>
      <c r="G1136" s="181"/>
      <c r="H1136" s="188" t="s">
        <v>628</v>
      </c>
      <c r="I1136" s="110" t="s">
        <v>627</v>
      </c>
      <c r="J1136" s="189">
        <v>0.1</v>
      </c>
      <c r="K1136" s="184">
        <f>K1135</f>
        <v>20000</v>
      </c>
      <c r="L1136" s="185">
        <f>J1136*K1136</f>
        <v>2000</v>
      </c>
      <c r="M1136" s="190">
        <v>0.1</v>
      </c>
      <c r="N1136" s="190">
        <v>0.1</v>
      </c>
      <c r="O1136" s="422">
        <f>O1135</f>
        <v>20000</v>
      </c>
      <c r="P1136" s="186">
        <f t="shared" si="34"/>
        <v>2000</v>
      </c>
      <c r="Q1136" s="186">
        <f t="shared" si="35"/>
        <v>2000</v>
      </c>
    </row>
    <row r="1137" spans="1:17" s="187" customFormat="1" ht="13" x14ac:dyDescent="0.35">
      <c r="A1137" s="11" t="s">
        <v>633</v>
      </c>
      <c r="B1137" s="163" t="s">
        <v>621</v>
      </c>
      <c r="C1137" s="284"/>
      <c r="D1137" s="284"/>
      <c r="E1137" s="284"/>
      <c r="F1137" s="181"/>
      <c r="G1137" s="181"/>
      <c r="H1137" s="57" t="s">
        <v>629</v>
      </c>
      <c r="I1137" s="110"/>
      <c r="J1137" s="182"/>
      <c r="K1137" s="184"/>
      <c r="L1137" s="185"/>
      <c r="M1137" s="183"/>
      <c r="N1137" s="183"/>
      <c r="O1137" s="422"/>
      <c r="P1137" s="186">
        <f t="shared" si="34"/>
        <v>0</v>
      </c>
      <c r="Q1137" s="186">
        <f t="shared" si="35"/>
        <v>0</v>
      </c>
    </row>
    <row r="1138" spans="1:17" s="187" customFormat="1" ht="25" x14ac:dyDescent="0.35">
      <c r="A1138" s="11" t="s">
        <v>633</v>
      </c>
      <c r="B1138" s="163" t="s">
        <v>621</v>
      </c>
      <c r="C1138" s="284"/>
      <c r="D1138" s="284"/>
      <c r="E1138" s="284"/>
      <c r="F1138" s="181" t="s">
        <v>42</v>
      </c>
      <c r="G1138" s="181"/>
      <c r="H1138" s="67" t="s">
        <v>630</v>
      </c>
      <c r="I1138" s="110" t="s">
        <v>468</v>
      </c>
      <c r="J1138" s="182">
        <v>1</v>
      </c>
      <c r="K1138" s="184">
        <v>5000</v>
      </c>
      <c r="L1138" s="185">
        <f>J1138*K1138</f>
        <v>5000</v>
      </c>
      <c r="M1138" s="183">
        <v>1</v>
      </c>
      <c r="N1138" s="183">
        <v>1</v>
      </c>
      <c r="O1138" s="422">
        <v>5000</v>
      </c>
      <c r="P1138" s="186">
        <f t="shared" si="34"/>
        <v>5000</v>
      </c>
      <c r="Q1138" s="186">
        <f t="shared" si="35"/>
        <v>5000</v>
      </c>
    </row>
    <row r="1139" spans="1:17" s="187" customFormat="1" x14ac:dyDescent="0.35">
      <c r="A1139" s="11" t="s">
        <v>633</v>
      </c>
      <c r="B1139" s="163" t="s">
        <v>621</v>
      </c>
      <c r="C1139" s="284"/>
      <c r="D1139" s="284"/>
      <c r="E1139" s="284"/>
      <c r="F1139" s="181" t="s">
        <v>45</v>
      </c>
      <c r="G1139" s="181"/>
      <c r="H1139" s="188" t="s">
        <v>626</v>
      </c>
      <c r="I1139" s="110" t="s">
        <v>627</v>
      </c>
      <c r="J1139" s="189">
        <v>0.05</v>
      </c>
      <c r="K1139" s="184">
        <f>K1138</f>
        <v>5000</v>
      </c>
      <c r="L1139" s="185">
        <f>J1139*K1139</f>
        <v>250</v>
      </c>
      <c r="M1139" s="190">
        <v>0.05</v>
      </c>
      <c r="N1139" s="190">
        <v>0.05</v>
      </c>
      <c r="O1139" s="422">
        <f>O1138</f>
        <v>5000</v>
      </c>
      <c r="P1139" s="186">
        <f t="shared" si="34"/>
        <v>250</v>
      </c>
      <c r="Q1139" s="186">
        <f t="shared" si="35"/>
        <v>250</v>
      </c>
    </row>
    <row r="1140" spans="1:17" s="187" customFormat="1" x14ac:dyDescent="0.35">
      <c r="A1140" s="11" t="s">
        <v>633</v>
      </c>
      <c r="B1140" s="163" t="s">
        <v>621</v>
      </c>
      <c r="C1140" s="284"/>
      <c r="D1140" s="284"/>
      <c r="E1140" s="284"/>
      <c r="F1140" s="181" t="s">
        <v>48</v>
      </c>
      <c r="G1140" s="181"/>
      <c r="H1140" s="188" t="s">
        <v>628</v>
      </c>
      <c r="I1140" s="110" t="s">
        <v>627</v>
      </c>
      <c r="J1140" s="189">
        <v>0.1</v>
      </c>
      <c r="K1140" s="184">
        <f>K1139</f>
        <v>5000</v>
      </c>
      <c r="L1140" s="185">
        <f>J1140*K1140</f>
        <v>500</v>
      </c>
      <c r="M1140" s="190">
        <v>0.1</v>
      </c>
      <c r="N1140" s="190">
        <v>0.1</v>
      </c>
      <c r="O1140" s="422">
        <f>O1139</f>
        <v>5000</v>
      </c>
      <c r="P1140" s="186">
        <f t="shared" si="34"/>
        <v>500</v>
      </c>
      <c r="Q1140" s="186">
        <f t="shared" si="35"/>
        <v>500</v>
      </c>
    </row>
    <row r="1141" spans="1:17" s="187" customFormat="1" ht="13" x14ac:dyDescent="0.35">
      <c r="A1141" s="11" t="s">
        <v>633</v>
      </c>
      <c r="B1141" s="163" t="s">
        <v>621</v>
      </c>
      <c r="C1141" s="284"/>
      <c r="D1141" s="284"/>
      <c r="E1141" s="284"/>
      <c r="F1141" s="181"/>
      <c r="G1141" s="181"/>
      <c r="H1141" s="57" t="s">
        <v>757</v>
      </c>
      <c r="I1141" s="110"/>
      <c r="J1141" s="260"/>
      <c r="K1141" s="184"/>
      <c r="L1141" s="185"/>
      <c r="M1141" s="261"/>
      <c r="N1141" s="261"/>
      <c r="O1141" s="422"/>
      <c r="P1141" s="186">
        <f t="shared" si="34"/>
        <v>0</v>
      </c>
      <c r="Q1141" s="186">
        <f t="shared" si="35"/>
        <v>0</v>
      </c>
    </row>
    <row r="1142" spans="1:17" s="187" customFormat="1" ht="25" x14ac:dyDescent="0.35">
      <c r="A1142" s="11" t="s">
        <v>633</v>
      </c>
      <c r="B1142" s="163" t="s">
        <v>621</v>
      </c>
      <c r="C1142" s="284"/>
      <c r="D1142" s="284"/>
      <c r="E1142" s="284"/>
      <c r="F1142" s="181" t="s">
        <v>51</v>
      </c>
      <c r="G1142" s="181"/>
      <c r="H1142" s="67" t="s">
        <v>758</v>
      </c>
      <c r="I1142" s="110" t="s">
        <v>468</v>
      </c>
      <c r="J1142" s="182">
        <v>1</v>
      </c>
      <c r="K1142" s="184">
        <v>280000</v>
      </c>
      <c r="L1142" s="185">
        <f>J1142*K1142</f>
        <v>280000</v>
      </c>
      <c r="M1142" s="183">
        <v>1</v>
      </c>
      <c r="N1142" s="183">
        <v>1</v>
      </c>
      <c r="O1142" s="422">
        <v>280000</v>
      </c>
      <c r="P1142" s="186">
        <f t="shared" si="34"/>
        <v>280000</v>
      </c>
      <c r="Q1142" s="186">
        <f t="shared" si="35"/>
        <v>280000</v>
      </c>
    </row>
    <row r="1143" spans="1:17" s="187" customFormat="1" x14ac:dyDescent="0.35">
      <c r="A1143" s="11" t="s">
        <v>633</v>
      </c>
      <c r="B1143" s="163" t="s">
        <v>621</v>
      </c>
      <c r="C1143" s="284"/>
      <c r="D1143" s="284"/>
      <c r="E1143" s="284"/>
      <c r="F1143" s="181" t="s">
        <v>53</v>
      </c>
      <c r="G1143" s="181"/>
      <c r="H1143" s="188" t="s">
        <v>626</v>
      </c>
      <c r="I1143" s="110" t="s">
        <v>627</v>
      </c>
      <c r="J1143" s="189">
        <v>0.05</v>
      </c>
      <c r="K1143" s="184">
        <f>K1142</f>
        <v>280000</v>
      </c>
      <c r="L1143" s="185">
        <f>J1143*K1143</f>
        <v>14000</v>
      </c>
      <c r="M1143" s="190">
        <v>0.05</v>
      </c>
      <c r="N1143" s="190">
        <v>0.05</v>
      </c>
      <c r="O1143" s="422">
        <f>O1142</f>
        <v>280000</v>
      </c>
      <c r="P1143" s="186">
        <f t="shared" si="34"/>
        <v>14000</v>
      </c>
      <c r="Q1143" s="186">
        <f t="shared" si="35"/>
        <v>14000</v>
      </c>
    </row>
    <row r="1144" spans="1:17" s="187" customFormat="1" x14ac:dyDescent="0.35">
      <c r="A1144" s="11" t="s">
        <v>633</v>
      </c>
      <c r="B1144" s="163" t="s">
        <v>621</v>
      </c>
      <c r="C1144" s="284"/>
      <c r="D1144" s="284"/>
      <c r="E1144" s="284"/>
      <c r="F1144" s="181" t="s">
        <v>55</v>
      </c>
      <c r="G1144" s="181"/>
      <c r="H1144" s="188" t="s">
        <v>628</v>
      </c>
      <c r="I1144" s="110" t="s">
        <v>627</v>
      </c>
      <c r="J1144" s="189">
        <v>0.1</v>
      </c>
      <c r="K1144" s="184">
        <f>K1143</f>
        <v>280000</v>
      </c>
      <c r="L1144" s="185">
        <f>J1144*K1144</f>
        <v>28000</v>
      </c>
      <c r="M1144" s="190">
        <v>0.1</v>
      </c>
      <c r="N1144" s="190">
        <v>0.1</v>
      </c>
      <c r="O1144" s="422">
        <f>O1143</f>
        <v>280000</v>
      </c>
      <c r="P1144" s="186">
        <f t="shared" si="34"/>
        <v>28000</v>
      </c>
      <c r="Q1144" s="186">
        <f t="shared" si="35"/>
        <v>28000</v>
      </c>
    </row>
    <row r="1145" spans="1:17" s="187" customFormat="1" ht="13" x14ac:dyDescent="0.35">
      <c r="A1145" s="11" t="s">
        <v>633</v>
      </c>
      <c r="B1145" s="163" t="s">
        <v>621</v>
      </c>
      <c r="C1145" s="284"/>
      <c r="D1145" s="284"/>
      <c r="E1145" s="284"/>
      <c r="F1145" s="181"/>
      <c r="G1145" s="181"/>
      <c r="H1145" s="57" t="s">
        <v>631</v>
      </c>
      <c r="I1145" s="110"/>
      <c r="J1145" s="182"/>
      <c r="K1145" s="184"/>
      <c r="L1145" s="185"/>
      <c r="M1145" s="183"/>
      <c r="N1145" s="183"/>
      <c r="O1145" s="422"/>
      <c r="P1145" s="186">
        <f t="shared" si="34"/>
        <v>0</v>
      </c>
      <c r="Q1145" s="186">
        <f t="shared" si="35"/>
        <v>0</v>
      </c>
    </row>
    <row r="1146" spans="1:17" s="187" customFormat="1" ht="25" x14ac:dyDescent="0.35">
      <c r="A1146" s="11" t="s">
        <v>633</v>
      </c>
      <c r="B1146" s="163" t="s">
        <v>621</v>
      </c>
      <c r="C1146" s="284"/>
      <c r="D1146" s="284"/>
      <c r="E1146" s="284"/>
      <c r="F1146" s="181" t="s">
        <v>58</v>
      </c>
      <c r="G1146" s="181"/>
      <c r="H1146" s="67" t="s">
        <v>759</v>
      </c>
      <c r="I1146" s="110" t="s">
        <v>468</v>
      </c>
      <c r="J1146" s="182">
        <v>1</v>
      </c>
      <c r="K1146" s="184">
        <v>150000</v>
      </c>
      <c r="L1146" s="185">
        <f>J1146*K1146</f>
        <v>150000</v>
      </c>
      <c r="M1146" s="183">
        <v>1</v>
      </c>
      <c r="N1146" s="183">
        <v>1</v>
      </c>
      <c r="O1146" s="422">
        <v>150000</v>
      </c>
      <c r="P1146" s="186">
        <f t="shared" si="34"/>
        <v>150000</v>
      </c>
      <c r="Q1146" s="186">
        <f t="shared" si="35"/>
        <v>150000</v>
      </c>
    </row>
    <row r="1147" spans="1:17" s="187" customFormat="1" x14ac:dyDescent="0.35">
      <c r="A1147" s="11" t="s">
        <v>633</v>
      </c>
      <c r="B1147" s="163" t="s">
        <v>621</v>
      </c>
      <c r="C1147" s="284"/>
      <c r="D1147" s="284"/>
      <c r="E1147" s="284"/>
      <c r="F1147" s="181" t="s">
        <v>87</v>
      </c>
      <c r="G1147" s="181"/>
      <c r="H1147" s="188" t="s">
        <v>626</v>
      </c>
      <c r="I1147" s="110" t="s">
        <v>627</v>
      </c>
      <c r="J1147" s="189">
        <v>0.05</v>
      </c>
      <c r="K1147" s="184">
        <f>K1146</f>
        <v>150000</v>
      </c>
      <c r="L1147" s="185">
        <f>J1147*K1147</f>
        <v>7500</v>
      </c>
      <c r="M1147" s="190">
        <v>0.05</v>
      </c>
      <c r="N1147" s="190">
        <v>0.05</v>
      </c>
      <c r="O1147" s="422">
        <f>O1146</f>
        <v>150000</v>
      </c>
      <c r="P1147" s="186">
        <f t="shared" si="34"/>
        <v>7500</v>
      </c>
      <c r="Q1147" s="186">
        <f t="shared" si="35"/>
        <v>7500</v>
      </c>
    </row>
    <row r="1148" spans="1:17" s="187" customFormat="1" x14ac:dyDescent="0.35">
      <c r="A1148" s="11" t="s">
        <v>633</v>
      </c>
      <c r="B1148" s="163" t="s">
        <v>621</v>
      </c>
      <c r="C1148" s="284"/>
      <c r="D1148" s="284"/>
      <c r="E1148" s="284"/>
      <c r="F1148" s="181" t="s">
        <v>90</v>
      </c>
      <c r="G1148" s="181"/>
      <c r="H1148" s="188" t="s">
        <v>628</v>
      </c>
      <c r="I1148" s="110" t="s">
        <v>627</v>
      </c>
      <c r="J1148" s="189">
        <v>0.1</v>
      </c>
      <c r="K1148" s="184">
        <f>K1147</f>
        <v>150000</v>
      </c>
      <c r="L1148" s="185">
        <f>J1148*K1148</f>
        <v>15000</v>
      </c>
      <c r="M1148" s="190">
        <v>0.1</v>
      </c>
      <c r="N1148" s="190">
        <v>0.1</v>
      </c>
      <c r="O1148" s="422">
        <f>O1147</f>
        <v>150000</v>
      </c>
      <c r="P1148" s="186">
        <f t="shared" si="34"/>
        <v>15000</v>
      </c>
      <c r="Q1148" s="186">
        <f t="shared" si="35"/>
        <v>15000</v>
      </c>
    </row>
    <row r="1149" spans="1:17" ht="13" x14ac:dyDescent="0.35">
      <c r="A1149" s="11" t="s">
        <v>760</v>
      </c>
      <c r="B1149" s="163" t="s">
        <v>761</v>
      </c>
      <c r="C1149" s="284"/>
      <c r="D1149" s="284"/>
      <c r="E1149" s="284"/>
      <c r="F1149" s="77"/>
      <c r="G1149" s="77"/>
      <c r="H1149" s="262" t="s">
        <v>762</v>
      </c>
      <c r="I1149" s="78"/>
      <c r="J1149" s="79"/>
      <c r="K1149" s="81"/>
      <c r="L1149" s="82"/>
      <c r="M1149" s="80"/>
      <c r="N1149" s="80"/>
      <c r="O1149" s="410"/>
      <c r="P1149" s="83">
        <f t="shared" si="34"/>
        <v>0</v>
      </c>
      <c r="Q1149" s="83">
        <f t="shared" si="35"/>
        <v>0</v>
      </c>
    </row>
    <row r="1150" spans="1:17" ht="13" x14ac:dyDescent="0.35">
      <c r="A1150" s="11" t="s">
        <v>760</v>
      </c>
      <c r="B1150" s="163" t="s">
        <v>761</v>
      </c>
      <c r="C1150" s="284"/>
      <c r="D1150" s="284"/>
      <c r="E1150" s="284"/>
      <c r="F1150" s="77"/>
      <c r="G1150" s="77"/>
      <c r="H1150" s="262" t="s">
        <v>763</v>
      </c>
      <c r="I1150" s="78"/>
      <c r="J1150" s="79"/>
      <c r="K1150" s="81"/>
      <c r="L1150" s="82"/>
      <c r="M1150" s="80"/>
      <c r="N1150" s="80"/>
      <c r="O1150" s="410"/>
      <c r="P1150" s="83">
        <f t="shared" si="34"/>
        <v>0</v>
      </c>
      <c r="Q1150" s="83">
        <f t="shared" si="35"/>
        <v>0</v>
      </c>
    </row>
    <row r="1151" spans="1:17" ht="13" x14ac:dyDescent="0.35">
      <c r="A1151" s="11" t="s">
        <v>760</v>
      </c>
      <c r="B1151" s="163" t="s">
        <v>761</v>
      </c>
      <c r="C1151" s="284"/>
      <c r="D1151" s="284"/>
      <c r="E1151" s="284"/>
      <c r="F1151" s="77"/>
      <c r="G1151" s="77"/>
      <c r="H1151" s="262" t="s">
        <v>97</v>
      </c>
      <c r="I1151" s="78"/>
      <c r="J1151" s="79"/>
      <c r="K1151" s="81"/>
      <c r="L1151" s="82"/>
      <c r="M1151" s="80"/>
      <c r="N1151" s="80"/>
      <c r="O1151" s="410"/>
      <c r="P1151" s="83">
        <f t="shared" si="34"/>
        <v>0</v>
      </c>
      <c r="Q1151" s="83">
        <f t="shared" si="35"/>
        <v>0</v>
      </c>
    </row>
    <row r="1152" spans="1:17" ht="13" x14ac:dyDescent="0.35">
      <c r="A1152" s="11" t="s">
        <v>760</v>
      </c>
      <c r="B1152" s="163" t="s">
        <v>761</v>
      </c>
      <c r="C1152" s="284"/>
      <c r="D1152" s="284"/>
      <c r="E1152" s="284"/>
      <c r="F1152" s="77"/>
      <c r="G1152" s="263"/>
      <c r="H1152" s="262" t="s">
        <v>764</v>
      </c>
      <c r="I1152" s="78"/>
      <c r="J1152" s="79"/>
      <c r="K1152" s="81"/>
      <c r="L1152" s="82"/>
      <c r="M1152" s="80"/>
      <c r="N1152" s="80"/>
      <c r="O1152" s="410"/>
      <c r="P1152" s="83">
        <f t="shared" si="34"/>
        <v>0</v>
      </c>
      <c r="Q1152" s="83">
        <f t="shared" si="35"/>
        <v>0</v>
      </c>
    </row>
    <row r="1153" spans="1:17" ht="13" x14ac:dyDescent="0.35">
      <c r="A1153" s="11" t="s">
        <v>760</v>
      </c>
      <c r="B1153" s="163" t="s">
        <v>761</v>
      </c>
      <c r="C1153" s="284"/>
      <c r="D1153" s="284"/>
      <c r="E1153" s="284"/>
      <c r="F1153" s="77"/>
      <c r="G1153" s="77"/>
      <c r="H1153" s="87" t="s">
        <v>100</v>
      </c>
      <c r="I1153" s="78"/>
      <c r="J1153" s="79"/>
      <c r="K1153" s="81"/>
      <c r="L1153" s="82"/>
      <c r="M1153" s="80"/>
      <c r="N1153" s="80"/>
      <c r="O1153" s="410"/>
      <c r="P1153" s="83">
        <f t="shared" si="34"/>
        <v>0</v>
      </c>
      <c r="Q1153" s="83">
        <f t="shared" si="35"/>
        <v>0</v>
      </c>
    </row>
    <row r="1154" spans="1:17" x14ac:dyDescent="0.35">
      <c r="A1154" s="11" t="s">
        <v>760</v>
      </c>
      <c r="B1154" s="163" t="s">
        <v>761</v>
      </c>
      <c r="C1154" s="284"/>
      <c r="D1154" s="284"/>
      <c r="E1154" s="284"/>
      <c r="F1154" s="77"/>
      <c r="G1154" s="77"/>
      <c r="H1154" s="264" t="s">
        <v>101</v>
      </c>
      <c r="I1154" s="78"/>
      <c r="J1154" s="79"/>
      <c r="K1154" s="81"/>
      <c r="L1154" s="82"/>
      <c r="M1154" s="80"/>
      <c r="N1154" s="80"/>
      <c r="O1154" s="410"/>
      <c r="P1154" s="83">
        <f t="shared" si="34"/>
        <v>0</v>
      </c>
      <c r="Q1154" s="83">
        <f t="shared" si="35"/>
        <v>0</v>
      </c>
    </row>
    <row r="1155" spans="1:17" ht="13" x14ac:dyDescent="0.35">
      <c r="A1155" s="11" t="s">
        <v>760</v>
      </c>
      <c r="B1155" s="163" t="s">
        <v>761</v>
      </c>
      <c r="C1155" s="284"/>
      <c r="D1155" s="284"/>
      <c r="E1155" s="284"/>
      <c r="F1155" s="77"/>
      <c r="G1155" s="77"/>
      <c r="H1155" s="87" t="s">
        <v>102</v>
      </c>
      <c r="I1155" s="78"/>
      <c r="J1155" s="79"/>
      <c r="K1155" s="81"/>
      <c r="L1155" s="82"/>
      <c r="M1155" s="80"/>
      <c r="N1155" s="80"/>
      <c r="O1155" s="410"/>
      <c r="P1155" s="83">
        <f t="shared" si="34"/>
        <v>0</v>
      </c>
      <c r="Q1155" s="83">
        <f t="shared" si="35"/>
        <v>0</v>
      </c>
    </row>
    <row r="1156" spans="1:17" ht="13" x14ac:dyDescent="0.35">
      <c r="A1156" s="11" t="s">
        <v>760</v>
      </c>
      <c r="B1156" s="163" t="s">
        <v>761</v>
      </c>
      <c r="C1156" s="284"/>
      <c r="D1156" s="284"/>
      <c r="E1156" s="284"/>
      <c r="F1156" s="77"/>
      <c r="G1156" s="77"/>
      <c r="H1156" s="87" t="s">
        <v>765</v>
      </c>
      <c r="I1156" s="78"/>
      <c r="J1156" s="79"/>
      <c r="K1156" s="81"/>
      <c r="L1156" s="82"/>
      <c r="M1156" s="80"/>
      <c r="N1156" s="80"/>
      <c r="O1156" s="410"/>
      <c r="P1156" s="83">
        <f t="shared" si="34"/>
        <v>0</v>
      </c>
      <c r="Q1156" s="83">
        <f t="shared" si="35"/>
        <v>0</v>
      </c>
    </row>
    <row r="1157" spans="1:17" ht="62.5" x14ac:dyDescent="0.35">
      <c r="A1157" s="11" t="s">
        <v>760</v>
      </c>
      <c r="B1157" s="163" t="s">
        <v>761</v>
      </c>
      <c r="C1157" s="284"/>
      <c r="D1157" s="284"/>
      <c r="E1157" s="284"/>
      <c r="F1157" s="77"/>
      <c r="G1157" s="77"/>
      <c r="H1157" s="88" t="s">
        <v>766</v>
      </c>
      <c r="I1157" s="78"/>
      <c r="J1157" s="79"/>
      <c r="K1157" s="81"/>
      <c r="L1157" s="82"/>
      <c r="M1157" s="80"/>
      <c r="N1157" s="80"/>
      <c r="O1157" s="410"/>
      <c r="P1157" s="83">
        <f t="shared" si="34"/>
        <v>0</v>
      </c>
      <c r="Q1157" s="83">
        <f t="shared" si="35"/>
        <v>0</v>
      </c>
    </row>
    <row r="1158" spans="1:17" ht="13" x14ac:dyDescent="0.35">
      <c r="A1158" s="11" t="s">
        <v>760</v>
      </c>
      <c r="B1158" s="163" t="s">
        <v>761</v>
      </c>
      <c r="C1158" s="284"/>
      <c r="D1158" s="284"/>
      <c r="E1158" s="284"/>
      <c r="F1158" s="77"/>
      <c r="G1158" s="77"/>
      <c r="H1158" s="87" t="s">
        <v>767</v>
      </c>
      <c r="I1158" s="78"/>
      <c r="J1158" s="79"/>
      <c r="K1158" s="81"/>
      <c r="L1158" s="82"/>
      <c r="M1158" s="80"/>
      <c r="N1158" s="80"/>
      <c r="O1158" s="410"/>
      <c r="P1158" s="83">
        <f t="shared" si="34"/>
        <v>0</v>
      </c>
      <c r="Q1158" s="83">
        <f t="shared" si="35"/>
        <v>0</v>
      </c>
    </row>
    <row r="1159" spans="1:17" ht="25" x14ac:dyDescent="0.35">
      <c r="A1159" s="11" t="s">
        <v>760</v>
      </c>
      <c r="B1159" s="163" t="s">
        <v>761</v>
      </c>
      <c r="C1159" s="284"/>
      <c r="D1159" s="284"/>
      <c r="E1159" s="284"/>
      <c r="F1159" s="77"/>
      <c r="G1159" s="77"/>
      <c r="H1159" s="88" t="s">
        <v>768</v>
      </c>
      <c r="I1159" s="78"/>
      <c r="J1159" s="79"/>
      <c r="K1159" s="81"/>
      <c r="L1159" s="82"/>
      <c r="M1159" s="80"/>
      <c r="N1159" s="80"/>
      <c r="O1159" s="410"/>
      <c r="P1159" s="83">
        <f t="shared" si="34"/>
        <v>0</v>
      </c>
      <c r="Q1159" s="83">
        <f t="shared" si="35"/>
        <v>0</v>
      </c>
    </row>
    <row r="1160" spans="1:17" ht="13" x14ac:dyDescent="0.35">
      <c r="A1160" s="11" t="s">
        <v>760</v>
      </c>
      <c r="B1160" s="163" t="s">
        <v>761</v>
      </c>
      <c r="C1160" s="284"/>
      <c r="D1160" s="284"/>
      <c r="E1160" s="284"/>
      <c r="F1160" s="77"/>
      <c r="G1160" s="77"/>
      <c r="H1160" s="87" t="s">
        <v>398</v>
      </c>
      <c r="I1160" s="78"/>
      <c r="J1160" s="79"/>
      <c r="K1160" s="81"/>
      <c r="L1160" s="82"/>
      <c r="M1160" s="80"/>
      <c r="N1160" s="80"/>
      <c r="O1160" s="410"/>
      <c r="P1160" s="83">
        <f t="shared" si="34"/>
        <v>0</v>
      </c>
      <c r="Q1160" s="83">
        <f t="shared" si="35"/>
        <v>0</v>
      </c>
    </row>
    <row r="1161" spans="1:17" ht="75" x14ac:dyDescent="0.35">
      <c r="A1161" s="11" t="s">
        <v>760</v>
      </c>
      <c r="B1161" s="163" t="s">
        <v>761</v>
      </c>
      <c r="C1161" s="284"/>
      <c r="D1161" s="284"/>
      <c r="E1161" s="284"/>
      <c r="F1161" s="77"/>
      <c r="G1161" s="77"/>
      <c r="H1161" s="88" t="s">
        <v>769</v>
      </c>
      <c r="I1161" s="78"/>
      <c r="J1161" s="79"/>
      <c r="K1161" s="81"/>
      <c r="L1161" s="82"/>
      <c r="M1161" s="80"/>
      <c r="N1161" s="80"/>
      <c r="O1161" s="410"/>
      <c r="P1161" s="83">
        <f t="shared" si="34"/>
        <v>0</v>
      </c>
      <c r="Q1161" s="83">
        <f t="shared" si="35"/>
        <v>0</v>
      </c>
    </row>
    <row r="1162" spans="1:17" ht="100" x14ac:dyDescent="0.35">
      <c r="A1162" s="11" t="s">
        <v>760</v>
      </c>
      <c r="B1162" s="163" t="s">
        <v>761</v>
      </c>
      <c r="C1162" s="284"/>
      <c r="D1162" s="284"/>
      <c r="E1162" s="284"/>
      <c r="F1162" s="77"/>
      <c r="G1162" s="77"/>
      <c r="H1162" s="88" t="s">
        <v>770</v>
      </c>
      <c r="I1162" s="78"/>
      <c r="J1162" s="79"/>
      <c r="K1162" s="81"/>
      <c r="L1162" s="82"/>
      <c r="M1162" s="80"/>
      <c r="N1162" s="80"/>
      <c r="O1162" s="410"/>
      <c r="P1162" s="83">
        <f t="shared" ref="P1162:P1225" si="36">O1162*M1162</f>
        <v>0</v>
      </c>
      <c r="Q1162" s="83">
        <f t="shared" ref="Q1162:Q1225" si="37">O1162*N1162</f>
        <v>0</v>
      </c>
    </row>
    <row r="1163" spans="1:17" ht="25" x14ac:dyDescent="0.35">
      <c r="A1163" s="11" t="s">
        <v>760</v>
      </c>
      <c r="B1163" s="163" t="s">
        <v>761</v>
      </c>
      <c r="C1163" s="284"/>
      <c r="D1163" s="284"/>
      <c r="E1163" s="284"/>
      <c r="F1163" s="77"/>
      <c r="G1163" s="77"/>
      <c r="H1163" s="88" t="s">
        <v>771</v>
      </c>
      <c r="I1163" s="78"/>
      <c r="J1163" s="79"/>
      <c r="K1163" s="81"/>
      <c r="L1163" s="82"/>
      <c r="M1163" s="80"/>
      <c r="N1163" s="80"/>
      <c r="O1163" s="410"/>
      <c r="P1163" s="83">
        <f t="shared" si="36"/>
        <v>0</v>
      </c>
      <c r="Q1163" s="83">
        <f t="shared" si="37"/>
        <v>0</v>
      </c>
    </row>
    <row r="1164" spans="1:17" ht="25" x14ac:dyDescent="0.35">
      <c r="A1164" s="11" t="s">
        <v>760</v>
      </c>
      <c r="B1164" s="163" t="s">
        <v>761</v>
      </c>
      <c r="C1164" s="284"/>
      <c r="D1164" s="284"/>
      <c r="E1164" s="284"/>
      <c r="F1164" s="77"/>
      <c r="G1164" s="77"/>
      <c r="H1164" s="88" t="s">
        <v>772</v>
      </c>
      <c r="I1164" s="78"/>
      <c r="J1164" s="79"/>
      <c r="K1164" s="81"/>
      <c r="L1164" s="82"/>
      <c r="M1164" s="80"/>
      <c r="N1164" s="80"/>
      <c r="O1164" s="410"/>
      <c r="P1164" s="83">
        <f t="shared" si="36"/>
        <v>0</v>
      </c>
      <c r="Q1164" s="83">
        <f t="shared" si="37"/>
        <v>0</v>
      </c>
    </row>
    <row r="1165" spans="1:17" ht="37.5" x14ac:dyDescent="0.35">
      <c r="A1165" s="11" t="s">
        <v>760</v>
      </c>
      <c r="B1165" s="163" t="s">
        <v>761</v>
      </c>
      <c r="C1165" s="284"/>
      <c r="D1165" s="284"/>
      <c r="E1165" s="284"/>
      <c r="F1165" s="77"/>
      <c r="G1165" s="77"/>
      <c r="H1165" s="88" t="s">
        <v>773</v>
      </c>
      <c r="I1165" s="78"/>
      <c r="J1165" s="79"/>
      <c r="K1165" s="81"/>
      <c r="L1165" s="82"/>
      <c r="M1165" s="80"/>
      <c r="N1165" s="80"/>
      <c r="O1165" s="410"/>
      <c r="P1165" s="83">
        <f t="shared" si="36"/>
        <v>0</v>
      </c>
      <c r="Q1165" s="83">
        <f t="shared" si="37"/>
        <v>0</v>
      </c>
    </row>
    <row r="1166" spans="1:17" ht="37.5" x14ac:dyDescent="0.35">
      <c r="A1166" s="11" t="s">
        <v>760</v>
      </c>
      <c r="B1166" s="163" t="s">
        <v>761</v>
      </c>
      <c r="C1166" s="284"/>
      <c r="D1166" s="284"/>
      <c r="E1166" s="284"/>
      <c r="F1166" s="77"/>
      <c r="G1166" s="77"/>
      <c r="H1166" s="88" t="s">
        <v>774</v>
      </c>
      <c r="I1166" s="78"/>
      <c r="J1166" s="265"/>
      <c r="K1166" s="81"/>
      <c r="L1166" s="82"/>
      <c r="M1166" s="266"/>
      <c r="N1166" s="266"/>
      <c r="O1166" s="410"/>
      <c r="P1166" s="83">
        <f t="shared" si="36"/>
        <v>0</v>
      </c>
      <c r="Q1166" s="83">
        <f t="shared" si="37"/>
        <v>0</v>
      </c>
    </row>
    <row r="1167" spans="1:17" ht="50" x14ac:dyDescent="0.35">
      <c r="A1167" s="11" t="s">
        <v>760</v>
      </c>
      <c r="B1167" s="163" t="s">
        <v>761</v>
      </c>
      <c r="C1167" s="284"/>
      <c r="D1167" s="284"/>
      <c r="E1167" s="284"/>
      <c r="F1167" s="77"/>
      <c r="G1167" s="77"/>
      <c r="H1167" s="88" t="s">
        <v>775</v>
      </c>
      <c r="I1167" s="78"/>
      <c r="J1167" s="79"/>
      <c r="K1167" s="81"/>
      <c r="L1167" s="82"/>
      <c r="M1167" s="80"/>
      <c r="N1167" s="80"/>
      <c r="O1167" s="410"/>
      <c r="P1167" s="83">
        <f t="shared" si="36"/>
        <v>0</v>
      </c>
      <c r="Q1167" s="83">
        <f t="shared" si="37"/>
        <v>0</v>
      </c>
    </row>
    <row r="1168" spans="1:17" ht="13" x14ac:dyDescent="0.35">
      <c r="A1168" s="11" t="s">
        <v>760</v>
      </c>
      <c r="B1168" s="163" t="s">
        <v>761</v>
      </c>
      <c r="C1168" s="284"/>
      <c r="D1168" s="284"/>
      <c r="E1168" s="284"/>
      <c r="F1168" s="77"/>
      <c r="G1168" s="77"/>
      <c r="H1168" s="87" t="s">
        <v>776</v>
      </c>
      <c r="I1168" s="78"/>
      <c r="J1168" s="79"/>
      <c r="K1168" s="81"/>
      <c r="L1168" s="82"/>
      <c r="M1168" s="80"/>
      <c r="N1168" s="80"/>
      <c r="O1168" s="410"/>
      <c r="P1168" s="83">
        <f t="shared" si="36"/>
        <v>0</v>
      </c>
      <c r="Q1168" s="83">
        <f t="shared" si="37"/>
        <v>0</v>
      </c>
    </row>
    <row r="1169" spans="1:17" ht="13" x14ac:dyDescent="0.35">
      <c r="A1169" s="11" t="s">
        <v>760</v>
      </c>
      <c r="B1169" s="163" t="s">
        <v>761</v>
      </c>
      <c r="C1169" s="284"/>
      <c r="D1169" s="284"/>
      <c r="E1169" s="284"/>
      <c r="F1169" s="77"/>
      <c r="G1169" s="77"/>
      <c r="H1169" s="87" t="s">
        <v>777</v>
      </c>
      <c r="I1169" s="78"/>
      <c r="J1169" s="79"/>
      <c r="K1169" s="81"/>
      <c r="L1169" s="82"/>
      <c r="M1169" s="80"/>
      <c r="N1169" s="80"/>
      <c r="O1169" s="410"/>
      <c r="P1169" s="83">
        <f t="shared" si="36"/>
        <v>0</v>
      </c>
      <c r="Q1169" s="83">
        <f t="shared" si="37"/>
        <v>0</v>
      </c>
    </row>
    <row r="1170" spans="1:17" x14ac:dyDescent="0.35">
      <c r="A1170" s="11" t="s">
        <v>760</v>
      </c>
      <c r="B1170" s="163" t="s">
        <v>761</v>
      </c>
      <c r="C1170" s="284"/>
      <c r="D1170" s="284"/>
      <c r="E1170" s="284"/>
      <c r="F1170" s="77" t="s">
        <v>20</v>
      </c>
      <c r="G1170" s="77"/>
      <c r="H1170" s="264" t="s">
        <v>778</v>
      </c>
      <c r="I1170" s="78" t="s">
        <v>245</v>
      </c>
      <c r="J1170" s="79">
        <v>21</v>
      </c>
      <c r="K1170" s="267">
        <v>125</v>
      </c>
      <c r="L1170" s="82">
        <f>J1170*K1170</f>
        <v>2625</v>
      </c>
      <c r="M1170" s="80">
        <v>21</v>
      </c>
      <c r="N1170" s="80">
        <v>21</v>
      </c>
      <c r="O1170" s="429">
        <v>125</v>
      </c>
      <c r="P1170" s="83">
        <f t="shared" si="36"/>
        <v>2625</v>
      </c>
      <c r="Q1170" s="83">
        <f t="shared" si="37"/>
        <v>2625</v>
      </c>
    </row>
    <row r="1171" spans="1:17" x14ac:dyDescent="0.35">
      <c r="A1171" s="11" t="s">
        <v>760</v>
      </c>
      <c r="B1171" s="163" t="s">
        <v>761</v>
      </c>
      <c r="C1171" s="284"/>
      <c r="D1171" s="284"/>
      <c r="E1171" s="284"/>
      <c r="F1171" s="77"/>
      <c r="G1171" s="77"/>
      <c r="H1171" s="268" t="s">
        <v>779</v>
      </c>
      <c r="I1171" s="78"/>
      <c r="J1171" s="79"/>
      <c r="K1171" s="81"/>
      <c r="L1171" s="82"/>
      <c r="M1171" s="80"/>
      <c r="N1171" s="80"/>
      <c r="O1171" s="410"/>
      <c r="P1171" s="83">
        <f t="shared" si="36"/>
        <v>0</v>
      </c>
      <c r="Q1171" s="83">
        <f t="shared" si="37"/>
        <v>0</v>
      </c>
    </row>
    <row r="1172" spans="1:17" x14ac:dyDescent="0.35">
      <c r="A1172" s="11" t="s">
        <v>760</v>
      </c>
      <c r="B1172" s="163" t="s">
        <v>761</v>
      </c>
      <c r="C1172" s="284"/>
      <c r="D1172" s="284"/>
      <c r="E1172" s="284"/>
      <c r="F1172" s="77" t="s">
        <v>26</v>
      </c>
      <c r="G1172" s="77"/>
      <c r="H1172" s="88" t="s">
        <v>780</v>
      </c>
      <c r="I1172" s="78" t="s">
        <v>245</v>
      </c>
      <c r="J1172" s="269">
        <v>40</v>
      </c>
      <c r="K1172" s="267">
        <v>75</v>
      </c>
      <c r="L1172" s="82">
        <f>J1172*K1172</f>
        <v>3000</v>
      </c>
      <c r="M1172" s="270">
        <v>40</v>
      </c>
      <c r="N1172" s="270">
        <v>40</v>
      </c>
      <c r="O1172" s="429">
        <v>75</v>
      </c>
      <c r="P1172" s="83">
        <f t="shared" si="36"/>
        <v>3000</v>
      </c>
      <c r="Q1172" s="83">
        <f t="shared" si="37"/>
        <v>3000</v>
      </c>
    </row>
    <row r="1173" spans="1:17" x14ac:dyDescent="0.35">
      <c r="A1173" s="11" t="s">
        <v>760</v>
      </c>
      <c r="B1173" s="163" t="s">
        <v>761</v>
      </c>
      <c r="C1173" s="284"/>
      <c r="D1173" s="284"/>
      <c r="E1173" s="284"/>
      <c r="F1173" s="77"/>
      <c r="G1173" s="77"/>
      <c r="H1173" s="268" t="s">
        <v>781</v>
      </c>
      <c r="I1173" s="78"/>
      <c r="J1173" s="79"/>
      <c r="K1173" s="81"/>
      <c r="L1173" s="82"/>
      <c r="M1173" s="80"/>
      <c r="N1173" s="80"/>
      <c r="O1173" s="410"/>
      <c r="P1173" s="83">
        <f t="shared" si="36"/>
        <v>0</v>
      </c>
      <c r="Q1173" s="83">
        <f t="shared" si="37"/>
        <v>0</v>
      </c>
    </row>
    <row r="1174" spans="1:17" ht="25" x14ac:dyDescent="0.35">
      <c r="A1174" s="11" t="s">
        <v>760</v>
      </c>
      <c r="B1174" s="163" t="s">
        <v>761</v>
      </c>
      <c r="C1174" s="284"/>
      <c r="D1174" s="284"/>
      <c r="E1174" s="284"/>
      <c r="F1174" s="77" t="s">
        <v>29</v>
      </c>
      <c r="G1174" s="77"/>
      <c r="H1174" s="60" t="s">
        <v>782</v>
      </c>
      <c r="I1174" s="271" t="s">
        <v>245</v>
      </c>
      <c r="J1174" s="79">
        <v>15</v>
      </c>
      <c r="K1174" s="81">
        <v>65</v>
      </c>
      <c r="L1174" s="82">
        <f>J1174*K1174</f>
        <v>975</v>
      </c>
      <c r="M1174" s="80">
        <v>15</v>
      </c>
      <c r="N1174" s="80">
        <v>15</v>
      </c>
      <c r="O1174" s="410">
        <v>65</v>
      </c>
      <c r="P1174" s="83">
        <f t="shared" si="36"/>
        <v>975</v>
      </c>
      <c r="Q1174" s="83">
        <f t="shared" si="37"/>
        <v>975</v>
      </c>
    </row>
    <row r="1175" spans="1:17" x14ac:dyDescent="0.35">
      <c r="A1175" s="11" t="s">
        <v>760</v>
      </c>
      <c r="B1175" s="163" t="s">
        <v>761</v>
      </c>
      <c r="C1175" s="284"/>
      <c r="D1175" s="284"/>
      <c r="E1175" s="284"/>
      <c r="F1175" s="77"/>
      <c r="G1175" s="77"/>
      <c r="H1175" s="272" t="s">
        <v>783</v>
      </c>
      <c r="I1175" s="78"/>
      <c r="J1175" s="79"/>
      <c r="K1175" s="81"/>
      <c r="L1175" s="82"/>
      <c r="M1175" s="80"/>
      <c r="N1175" s="80"/>
      <c r="O1175" s="410"/>
      <c r="P1175" s="83">
        <f t="shared" si="36"/>
        <v>0</v>
      </c>
      <c r="Q1175" s="83">
        <f t="shared" si="37"/>
        <v>0</v>
      </c>
    </row>
    <row r="1176" spans="1:17" ht="25" x14ac:dyDescent="0.35">
      <c r="A1176" s="11" t="s">
        <v>760</v>
      </c>
      <c r="B1176" s="163" t="s">
        <v>761</v>
      </c>
      <c r="C1176" s="284"/>
      <c r="D1176" s="284"/>
      <c r="E1176" s="284"/>
      <c r="F1176" s="77" t="s">
        <v>32</v>
      </c>
      <c r="G1176" s="77"/>
      <c r="H1176" s="88" t="s">
        <v>784</v>
      </c>
      <c r="I1176" s="78" t="s">
        <v>175</v>
      </c>
      <c r="J1176" s="79">
        <v>2</v>
      </c>
      <c r="K1176" s="81">
        <v>350</v>
      </c>
      <c r="L1176" s="82">
        <f>J1176*K1176</f>
        <v>700</v>
      </c>
      <c r="M1176" s="80">
        <v>2</v>
      </c>
      <c r="N1176" s="80">
        <v>2</v>
      </c>
      <c r="O1176" s="410">
        <v>350</v>
      </c>
      <c r="P1176" s="83">
        <f t="shared" si="36"/>
        <v>700</v>
      </c>
      <c r="Q1176" s="83">
        <f t="shared" si="37"/>
        <v>700</v>
      </c>
    </row>
    <row r="1177" spans="1:17" x14ac:dyDescent="0.35">
      <c r="A1177" s="11" t="s">
        <v>760</v>
      </c>
      <c r="B1177" s="163" t="s">
        <v>761</v>
      </c>
      <c r="C1177" s="284"/>
      <c r="D1177" s="284"/>
      <c r="E1177" s="284"/>
      <c r="F1177" s="77"/>
      <c r="G1177" s="77"/>
      <c r="H1177" s="268" t="s">
        <v>785</v>
      </c>
      <c r="I1177" s="78"/>
      <c r="J1177" s="79"/>
      <c r="K1177" s="81"/>
      <c r="L1177" s="82"/>
      <c r="M1177" s="80"/>
      <c r="N1177" s="80"/>
      <c r="O1177" s="410"/>
      <c r="P1177" s="83">
        <f t="shared" si="36"/>
        <v>0</v>
      </c>
      <c r="Q1177" s="83">
        <f t="shared" si="37"/>
        <v>0</v>
      </c>
    </row>
    <row r="1178" spans="1:17" x14ac:dyDescent="0.35">
      <c r="A1178" s="11" t="s">
        <v>760</v>
      </c>
      <c r="B1178" s="163" t="s">
        <v>761</v>
      </c>
      <c r="C1178" s="284"/>
      <c r="D1178" s="284"/>
      <c r="E1178" s="284"/>
      <c r="F1178" s="77" t="s">
        <v>36</v>
      </c>
      <c r="G1178" s="77"/>
      <c r="H1178" s="60" t="s">
        <v>786</v>
      </c>
      <c r="I1178" s="271" t="s">
        <v>245</v>
      </c>
      <c r="J1178" s="79">
        <v>63</v>
      </c>
      <c r="K1178" s="81">
        <v>25</v>
      </c>
      <c r="L1178" s="82">
        <f>J1178*K1178</f>
        <v>1575</v>
      </c>
      <c r="M1178" s="80">
        <v>63</v>
      </c>
      <c r="N1178" s="80">
        <v>63</v>
      </c>
      <c r="O1178" s="410">
        <v>25</v>
      </c>
      <c r="P1178" s="83">
        <f t="shared" si="36"/>
        <v>1575</v>
      </c>
      <c r="Q1178" s="83">
        <f t="shared" si="37"/>
        <v>1575</v>
      </c>
    </row>
    <row r="1179" spans="1:17" ht="13" x14ac:dyDescent="0.35">
      <c r="A1179" s="11" t="s">
        <v>760</v>
      </c>
      <c r="B1179" s="163" t="s">
        <v>787</v>
      </c>
      <c r="C1179" s="284"/>
      <c r="D1179" s="365"/>
      <c r="E1179" s="365"/>
      <c r="F1179" s="11"/>
      <c r="G1179" s="11"/>
      <c r="H1179" s="262" t="s">
        <v>762</v>
      </c>
      <c r="I1179" s="44"/>
      <c r="J1179" s="45"/>
      <c r="K1179" s="47"/>
      <c r="L1179" s="48"/>
      <c r="M1179" s="46"/>
      <c r="N1179" s="46"/>
      <c r="O1179" s="407"/>
      <c r="P1179" s="49">
        <f t="shared" si="36"/>
        <v>0</v>
      </c>
      <c r="Q1179" s="49">
        <f t="shared" si="37"/>
        <v>0</v>
      </c>
    </row>
    <row r="1180" spans="1:17" ht="13" x14ac:dyDescent="0.35">
      <c r="A1180" s="11" t="s">
        <v>760</v>
      </c>
      <c r="B1180" s="163" t="s">
        <v>787</v>
      </c>
      <c r="C1180" s="284"/>
      <c r="D1180" s="365"/>
      <c r="E1180" s="365"/>
      <c r="F1180" s="11"/>
      <c r="G1180" s="11"/>
      <c r="H1180" s="262" t="s">
        <v>763</v>
      </c>
      <c r="I1180" s="44"/>
      <c r="J1180" s="45"/>
      <c r="K1180" s="47"/>
      <c r="L1180" s="48"/>
      <c r="M1180" s="46"/>
      <c r="N1180" s="46"/>
      <c r="O1180" s="407"/>
      <c r="P1180" s="49">
        <f t="shared" si="36"/>
        <v>0</v>
      </c>
      <c r="Q1180" s="49">
        <f t="shared" si="37"/>
        <v>0</v>
      </c>
    </row>
    <row r="1181" spans="1:17" ht="13" x14ac:dyDescent="0.35">
      <c r="A1181" s="11" t="s">
        <v>760</v>
      </c>
      <c r="B1181" s="163" t="s">
        <v>787</v>
      </c>
      <c r="C1181" s="284"/>
      <c r="D1181" s="365"/>
      <c r="E1181" s="365"/>
      <c r="F1181" s="11"/>
      <c r="G1181" s="11"/>
      <c r="H1181" s="43" t="s">
        <v>137</v>
      </c>
      <c r="I1181" s="44"/>
      <c r="J1181" s="45"/>
      <c r="K1181" s="47"/>
      <c r="L1181" s="48"/>
      <c r="M1181" s="46"/>
      <c r="N1181" s="46"/>
      <c r="O1181" s="407"/>
      <c r="P1181" s="49">
        <f t="shared" si="36"/>
        <v>0</v>
      </c>
      <c r="Q1181" s="49">
        <f t="shared" si="37"/>
        <v>0</v>
      </c>
    </row>
    <row r="1182" spans="1:17" ht="13" x14ac:dyDescent="0.35">
      <c r="A1182" s="11" t="s">
        <v>760</v>
      </c>
      <c r="B1182" s="163" t="s">
        <v>787</v>
      </c>
      <c r="C1182" s="284"/>
      <c r="D1182" s="365"/>
      <c r="E1182" s="365"/>
      <c r="F1182" s="50"/>
      <c r="G1182" s="50" t="s">
        <v>98</v>
      </c>
      <c r="H1182" s="43" t="s">
        <v>99</v>
      </c>
      <c r="I1182" s="51"/>
      <c r="J1182" s="52"/>
      <c r="K1182" s="54"/>
      <c r="L1182" s="55"/>
      <c r="M1182" s="53"/>
      <c r="N1182" s="53"/>
      <c r="O1182" s="408"/>
      <c r="P1182" s="56">
        <f t="shared" si="36"/>
        <v>0</v>
      </c>
      <c r="Q1182" s="56">
        <f t="shared" si="37"/>
        <v>0</v>
      </c>
    </row>
    <row r="1183" spans="1:17" ht="13" x14ac:dyDescent="0.35">
      <c r="A1183" s="11" t="s">
        <v>760</v>
      </c>
      <c r="B1183" s="163" t="s">
        <v>787</v>
      </c>
      <c r="C1183" s="284"/>
      <c r="D1183" s="365"/>
      <c r="E1183" s="365"/>
      <c r="F1183" s="11"/>
      <c r="G1183" s="11"/>
      <c r="H1183" s="57" t="s">
        <v>100</v>
      </c>
      <c r="I1183" s="44"/>
      <c r="J1183" s="58"/>
      <c r="K1183" s="47"/>
      <c r="L1183" s="48"/>
      <c r="M1183" s="59"/>
      <c r="N1183" s="59"/>
      <c r="O1183" s="407"/>
      <c r="P1183" s="49">
        <f t="shared" si="36"/>
        <v>0</v>
      </c>
      <c r="Q1183" s="49">
        <f t="shared" si="37"/>
        <v>0</v>
      </c>
    </row>
    <row r="1184" spans="1:17" x14ac:dyDescent="0.35">
      <c r="A1184" s="11" t="s">
        <v>760</v>
      </c>
      <c r="B1184" s="163" t="s">
        <v>787</v>
      </c>
      <c r="C1184" s="284"/>
      <c r="D1184" s="365"/>
      <c r="E1184" s="365"/>
      <c r="F1184" s="11"/>
      <c r="G1184" s="11"/>
      <c r="H1184" s="60" t="s">
        <v>101</v>
      </c>
      <c r="I1184" s="44"/>
      <c r="J1184" s="58"/>
      <c r="K1184" s="47"/>
      <c r="L1184" s="48"/>
      <c r="M1184" s="59"/>
      <c r="N1184" s="59"/>
      <c r="O1184" s="407"/>
      <c r="P1184" s="49">
        <f t="shared" si="36"/>
        <v>0</v>
      </c>
      <c r="Q1184" s="49">
        <f t="shared" si="37"/>
        <v>0</v>
      </c>
    </row>
    <row r="1185" spans="1:17" ht="13" x14ac:dyDescent="0.35">
      <c r="A1185" s="11" t="s">
        <v>760</v>
      </c>
      <c r="B1185" s="163" t="s">
        <v>787</v>
      </c>
      <c r="C1185" s="284"/>
      <c r="D1185" s="365"/>
      <c r="E1185" s="365"/>
      <c r="F1185" s="11"/>
      <c r="G1185" s="11"/>
      <c r="H1185" s="57" t="s">
        <v>102</v>
      </c>
      <c r="I1185" s="44"/>
      <c r="J1185" s="58"/>
      <c r="K1185" s="47"/>
      <c r="L1185" s="48"/>
      <c r="M1185" s="59"/>
      <c r="N1185" s="59"/>
      <c r="O1185" s="407"/>
      <c r="P1185" s="49">
        <f t="shared" si="36"/>
        <v>0</v>
      </c>
      <c r="Q1185" s="49">
        <f t="shared" si="37"/>
        <v>0</v>
      </c>
    </row>
    <row r="1186" spans="1:17" ht="13" x14ac:dyDescent="0.35">
      <c r="A1186" s="11" t="s">
        <v>760</v>
      </c>
      <c r="B1186" s="163" t="s">
        <v>787</v>
      </c>
      <c r="C1186" s="284"/>
      <c r="D1186" s="365"/>
      <c r="E1186" s="365"/>
      <c r="F1186" s="11"/>
      <c r="G1186" s="11"/>
      <c r="H1186" s="57" t="s">
        <v>103</v>
      </c>
      <c r="I1186" s="44"/>
      <c r="J1186" s="58"/>
      <c r="K1186" s="47"/>
      <c r="L1186" s="48"/>
      <c r="M1186" s="59"/>
      <c r="N1186" s="59"/>
      <c r="O1186" s="407"/>
      <c r="P1186" s="49">
        <f t="shared" si="36"/>
        <v>0</v>
      </c>
      <c r="Q1186" s="49">
        <f t="shared" si="37"/>
        <v>0</v>
      </c>
    </row>
    <row r="1187" spans="1:17" ht="37.5" x14ac:dyDescent="0.35">
      <c r="A1187" s="11" t="s">
        <v>760</v>
      </c>
      <c r="B1187" s="163" t="s">
        <v>787</v>
      </c>
      <c r="C1187" s="284"/>
      <c r="D1187" s="365"/>
      <c r="E1187" s="365"/>
      <c r="F1187" s="11"/>
      <c r="G1187" s="11"/>
      <c r="H1187" s="60" t="s">
        <v>104</v>
      </c>
      <c r="I1187" s="44"/>
      <c r="J1187" s="58"/>
      <c r="K1187" s="47"/>
      <c r="L1187" s="48"/>
      <c r="M1187" s="59"/>
      <c r="N1187" s="59"/>
      <c r="O1187" s="407"/>
      <c r="P1187" s="49">
        <f t="shared" si="36"/>
        <v>0</v>
      </c>
      <c r="Q1187" s="49">
        <f t="shared" si="37"/>
        <v>0</v>
      </c>
    </row>
    <row r="1188" spans="1:17" ht="13" x14ac:dyDescent="0.35">
      <c r="A1188" s="11" t="s">
        <v>760</v>
      </c>
      <c r="B1188" s="163" t="s">
        <v>787</v>
      </c>
      <c r="C1188" s="284"/>
      <c r="D1188" s="365"/>
      <c r="E1188" s="365"/>
      <c r="F1188" s="11"/>
      <c r="G1188" s="61" t="s">
        <v>105</v>
      </c>
      <c r="H1188" s="57" t="s">
        <v>106</v>
      </c>
      <c r="I1188" s="44"/>
      <c r="J1188" s="58"/>
      <c r="K1188" s="47"/>
      <c r="L1188" s="48"/>
      <c r="M1188" s="59"/>
      <c r="N1188" s="59"/>
      <c r="O1188" s="407"/>
      <c r="P1188" s="49">
        <f t="shared" si="36"/>
        <v>0</v>
      </c>
      <c r="Q1188" s="49">
        <f t="shared" si="37"/>
        <v>0</v>
      </c>
    </row>
    <row r="1189" spans="1:17" x14ac:dyDescent="0.35">
      <c r="A1189" s="11" t="s">
        <v>760</v>
      </c>
      <c r="B1189" s="163" t="s">
        <v>787</v>
      </c>
      <c r="C1189" s="284"/>
      <c r="D1189" s="365"/>
      <c r="E1189" s="365"/>
      <c r="F1189" s="11"/>
      <c r="G1189" s="11" t="s">
        <v>21</v>
      </c>
      <c r="H1189" s="62" t="s">
        <v>107</v>
      </c>
      <c r="I1189" s="44"/>
      <c r="J1189" s="58"/>
      <c r="K1189" s="47"/>
      <c r="L1189" s="48"/>
      <c r="M1189" s="59"/>
      <c r="N1189" s="59"/>
      <c r="O1189" s="407"/>
      <c r="P1189" s="49">
        <f t="shared" si="36"/>
        <v>0</v>
      </c>
      <c r="Q1189" s="49">
        <f t="shared" si="37"/>
        <v>0</v>
      </c>
    </row>
    <row r="1190" spans="1:17" ht="25" x14ac:dyDescent="0.35">
      <c r="A1190" s="11" t="s">
        <v>760</v>
      </c>
      <c r="B1190" s="163" t="s">
        <v>787</v>
      </c>
      <c r="C1190" s="284"/>
      <c r="D1190" s="365"/>
      <c r="E1190" s="365"/>
      <c r="F1190" s="11" t="s">
        <v>20</v>
      </c>
      <c r="G1190" s="11" t="s">
        <v>108</v>
      </c>
      <c r="H1190" s="60" t="s">
        <v>109</v>
      </c>
      <c r="I1190" s="44" t="s">
        <v>110</v>
      </c>
      <c r="J1190" s="58">
        <v>71</v>
      </c>
      <c r="K1190" s="47">
        <v>25</v>
      </c>
      <c r="L1190" s="48">
        <f>K1190*J1190</f>
        <v>1775</v>
      </c>
      <c r="M1190" s="59">
        <v>71</v>
      </c>
      <c r="N1190" s="59">
        <v>71</v>
      </c>
      <c r="O1190" s="407">
        <v>25</v>
      </c>
      <c r="P1190" s="49">
        <f t="shared" si="36"/>
        <v>1775</v>
      </c>
      <c r="Q1190" s="49">
        <f t="shared" si="37"/>
        <v>1775</v>
      </c>
    </row>
    <row r="1191" spans="1:17" ht="14.5" x14ac:dyDescent="0.35">
      <c r="A1191" s="11" t="s">
        <v>760</v>
      </c>
      <c r="B1191" s="163" t="s">
        <v>787</v>
      </c>
      <c r="C1191" s="284"/>
      <c r="D1191" s="365"/>
      <c r="E1191" s="365"/>
      <c r="F1191" s="11" t="s">
        <v>26</v>
      </c>
      <c r="G1191" s="11" t="s">
        <v>111</v>
      </c>
      <c r="H1191" s="60" t="s">
        <v>112</v>
      </c>
      <c r="I1191" s="44" t="s">
        <v>110</v>
      </c>
      <c r="J1191" s="58">
        <f>J1190</f>
        <v>71</v>
      </c>
      <c r="K1191" s="47">
        <v>65</v>
      </c>
      <c r="L1191" s="48">
        <f>K1191*J1191</f>
        <v>4615</v>
      </c>
      <c r="M1191" s="59">
        <f>M1190</f>
        <v>71</v>
      </c>
      <c r="N1191" s="59">
        <f>N1190</f>
        <v>71</v>
      </c>
      <c r="O1191" s="407">
        <v>65</v>
      </c>
      <c r="P1191" s="49">
        <f t="shared" si="36"/>
        <v>4615</v>
      </c>
      <c r="Q1191" s="49">
        <f t="shared" si="37"/>
        <v>4615</v>
      </c>
    </row>
    <row r="1192" spans="1:17" ht="13" x14ac:dyDescent="0.35">
      <c r="A1192" s="11" t="s">
        <v>760</v>
      </c>
      <c r="B1192" s="163" t="s">
        <v>787</v>
      </c>
      <c r="C1192" s="284"/>
      <c r="D1192" s="365"/>
      <c r="E1192" s="365"/>
      <c r="F1192" s="11"/>
      <c r="G1192" s="11"/>
      <c r="H1192" s="57" t="s">
        <v>113</v>
      </c>
      <c r="I1192" s="44"/>
      <c r="J1192" s="58"/>
      <c r="K1192" s="47"/>
      <c r="L1192" s="48"/>
      <c r="M1192" s="59"/>
      <c r="N1192" s="59"/>
      <c r="O1192" s="407"/>
      <c r="P1192" s="49">
        <f t="shared" si="36"/>
        <v>0</v>
      </c>
      <c r="Q1192" s="49">
        <f t="shared" si="37"/>
        <v>0</v>
      </c>
    </row>
    <row r="1193" spans="1:17" ht="13" x14ac:dyDescent="0.35">
      <c r="A1193" s="11" t="s">
        <v>760</v>
      </c>
      <c r="B1193" s="163" t="s">
        <v>787</v>
      </c>
      <c r="C1193" s="284"/>
      <c r="D1193" s="365"/>
      <c r="E1193" s="365"/>
      <c r="F1193" s="11"/>
      <c r="G1193" s="61" t="s">
        <v>56</v>
      </c>
      <c r="H1193" s="57" t="s">
        <v>114</v>
      </c>
      <c r="I1193" s="44"/>
      <c r="J1193" s="63"/>
      <c r="K1193" s="47"/>
      <c r="L1193" s="48"/>
      <c r="M1193" s="64"/>
      <c r="N1193" s="64"/>
      <c r="O1193" s="407"/>
      <c r="P1193" s="49">
        <f t="shared" si="36"/>
        <v>0</v>
      </c>
      <c r="Q1193" s="49">
        <f t="shared" si="37"/>
        <v>0</v>
      </c>
    </row>
    <row r="1194" spans="1:17" ht="14.5" x14ac:dyDescent="0.35">
      <c r="A1194" s="11" t="s">
        <v>760</v>
      </c>
      <c r="B1194" s="163" t="s">
        <v>787</v>
      </c>
      <c r="C1194" s="284"/>
      <c r="D1194" s="365"/>
      <c r="E1194" s="365"/>
      <c r="F1194" s="11" t="s">
        <v>29</v>
      </c>
      <c r="G1194" s="61" t="s">
        <v>115</v>
      </c>
      <c r="H1194" s="60" t="s">
        <v>116</v>
      </c>
      <c r="I1194" s="44" t="s">
        <v>117</v>
      </c>
      <c r="J1194" s="63">
        <v>7</v>
      </c>
      <c r="K1194" s="47">
        <v>85</v>
      </c>
      <c r="L1194" s="48">
        <f>J1194*K1194</f>
        <v>595</v>
      </c>
      <c r="M1194" s="64">
        <v>7</v>
      </c>
      <c r="N1194" s="64">
        <v>7</v>
      </c>
      <c r="O1194" s="407">
        <v>85</v>
      </c>
      <c r="P1194" s="49">
        <f t="shared" si="36"/>
        <v>595</v>
      </c>
      <c r="Q1194" s="49">
        <f t="shared" si="37"/>
        <v>595</v>
      </c>
    </row>
    <row r="1195" spans="1:17" ht="13" x14ac:dyDescent="0.35">
      <c r="A1195" s="11" t="s">
        <v>760</v>
      </c>
      <c r="B1195" s="163" t="s">
        <v>787</v>
      </c>
      <c r="C1195" s="284"/>
      <c r="D1195" s="365"/>
      <c r="E1195" s="365"/>
      <c r="F1195" s="11"/>
      <c r="G1195" s="61"/>
      <c r="H1195" s="57" t="s">
        <v>118</v>
      </c>
      <c r="I1195" s="44"/>
      <c r="J1195" s="63"/>
      <c r="K1195" s="47"/>
      <c r="L1195" s="48"/>
      <c r="M1195" s="64"/>
      <c r="N1195" s="64"/>
      <c r="O1195" s="407"/>
      <c r="P1195" s="49">
        <f t="shared" si="36"/>
        <v>0</v>
      </c>
      <c r="Q1195" s="49">
        <f t="shared" si="37"/>
        <v>0</v>
      </c>
    </row>
    <row r="1196" spans="1:17" ht="14.5" x14ac:dyDescent="0.35">
      <c r="A1196" s="11" t="s">
        <v>760</v>
      </c>
      <c r="B1196" s="163" t="s">
        <v>787</v>
      </c>
      <c r="C1196" s="284"/>
      <c r="D1196" s="365"/>
      <c r="E1196" s="365"/>
      <c r="F1196" s="11" t="s">
        <v>32</v>
      </c>
      <c r="G1196" s="61" t="s">
        <v>119</v>
      </c>
      <c r="H1196" s="60" t="s">
        <v>120</v>
      </c>
      <c r="I1196" s="44" t="s">
        <v>117</v>
      </c>
      <c r="J1196" s="273">
        <f>J1194*0.1</f>
        <v>0.70000000000000007</v>
      </c>
      <c r="K1196" s="47">
        <v>95</v>
      </c>
      <c r="L1196" s="48">
        <f>J1196*K1196</f>
        <v>66.5</v>
      </c>
      <c r="M1196" s="274">
        <f>M1194*0.1</f>
        <v>0.70000000000000007</v>
      </c>
      <c r="N1196" s="274">
        <f>N1194*0.1</f>
        <v>0.70000000000000007</v>
      </c>
      <c r="O1196" s="407">
        <v>95</v>
      </c>
      <c r="P1196" s="49">
        <f t="shared" si="36"/>
        <v>66.5</v>
      </c>
      <c r="Q1196" s="49">
        <f t="shared" si="37"/>
        <v>66.5</v>
      </c>
    </row>
    <row r="1197" spans="1:17" ht="14.5" x14ac:dyDescent="0.35">
      <c r="A1197" s="11" t="s">
        <v>760</v>
      </c>
      <c r="B1197" s="163" t="s">
        <v>787</v>
      </c>
      <c r="C1197" s="284"/>
      <c r="D1197" s="365"/>
      <c r="E1197" s="365"/>
      <c r="F1197" s="11" t="s">
        <v>36</v>
      </c>
      <c r="G1197" s="61" t="s">
        <v>121</v>
      </c>
      <c r="H1197" s="60" t="s">
        <v>122</v>
      </c>
      <c r="I1197" s="44" t="s">
        <v>117</v>
      </c>
      <c r="J1197" s="273">
        <f>J1194*0.05</f>
        <v>0.35000000000000003</v>
      </c>
      <c r="K1197" s="47">
        <v>350</v>
      </c>
      <c r="L1197" s="48">
        <f>J1197*K1197</f>
        <v>122.50000000000001</v>
      </c>
      <c r="M1197" s="274">
        <f>M1194*0.05</f>
        <v>0.35000000000000003</v>
      </c>
      <c r="N1197" s="274">
        <f>N1194*0.05</f>
        <v>0.35000000000000003</v>
      </c>
      <c r="O1197" s="407">
        <v>350</v>
      </c>
      <c r="P1197" s="49">
        <f t="shared" si="36"/>
        <v>122.50000000000001</v>
      </c>
      <c r="Q1197" s="49">
        <f t="shared" si="37"/>
        <v>122.50000000000001</v>
      </c>
    </row>
    <row r="1198" spans="1:17" ht="13" x14ac:dyDescent="0.35">
      <c r="A1198" s="11" t="s">
        <v>760</v>
      </c>
      <c r="B1198" s="163" t="s">
        <v>787</v>
      </c>
      <c r="C1198" s="284"/>
      <c r="D1198" s="365"/>
      <c r="E1198" s="365"/>
      <c r="F1198" s="11"/>
      <c r="G1198" s="11" t="s">
        <v>59</v>
      </c>
      <c r="H1198" s="57" t="s">
        <v>123</v>
      </c>
      <c r="I1198" s="44"/>
      <c r="J1198" s="58"/>
      <c r="K1198" s="47"/>
      <c r="L1198" s="48"/>
      <c r="M1198" s="59"/>
      <c r="N1198" s="59"/>
      <c r="O1198" s="407"/>
      <c r="P1198" s="49">
        <f t="shared" si="36"/>
        <v>0</v>
      </c>
      <c r="Q1198" s="49">
        <f t="shared" si="37"/>
        <v>0</v>
      </c>
    </row>
    <row r="1199" spans="1:17" x14ac:dyDescent="0.35">
      <c r="A1199" s="11" t="s">
        <v>760</v>
      </c>
      <c r="B1199" s="163" t="s">
        <v>787</v>
      </c>
      <c r="C1199" s="284"/>
      <c r="D1199" s="365"/>
      <c r="E1199" s="365"/>
      <c r="F1199" s="11"/>
      <c r="G1199" s="11" t="s">
        <v>124</v>
      </c>
      <c r="H1199" s="60" t="s">
        <v>125</v>
      </c>
      <c r="I1199" s="44"/>
      <c r="J1199" s="58"/>
      <c r="K1199" s="47"/>
      <c r="L1199" s="48"/>
      <c r="M1199" s="59"/>
      <c r="N1199" s="59"/>
      <c r="O1199" s="407"/>
      <c r="P1199" s="49">
        <f t="shared" si="36"/>
        <v>0</v>
      </c>
      <c r="Q1199" s="49">
        <f t="shared" si="37"/>
        <v>0</v>
      </c>
    </row>
    <row r="1200" spans="1:17" ht="25" x14ac:dyDescent="0.35">
      <c r="A1200" s="11" t="s">
        <v>760</v>
      </c>
      <c r="B1200" s="163" t="s">
        <v>787</v>
      </c>
      <c r="C1200" s="284"/>
      <c r="D1200" s="365"/>
      <c r="E1200" s="365"/>
      <c r="F1200" s="11" t="s">
        <v>39</v>
      </c>
      <c r="G1200" s="11"/>
      <c r="H1200" s="60" t="s">
        <v>126</v>
      </c>
      <c r="I1200" s="44" t="s">
        <v>117</v>
      </c>
      <c r="J1200" s="58">
        <v>5</v>
      </c>
      <c r="K1200" s="47">
        <v>320</v>
      </c>
      <c r="L1200" s="48">
        <f>K1200*J1200</f>
        <v>1600</v>
      </c>
      <c r="M1200" s="59">
        <v>5</v>
      </c>
      <c r="N1200" s="59">
        <v>5</v>
      </c>
      <c r="O1200" s="407">
        <v>320</v>
      </c>
      <c r="P1200" s="49">
        <f t="shared" si="36"/>
        <v>1600</v>
      </c>
      <c r="Q1200" s="49">
        <f t="shared" si="37"/>
        <v>1600</v>
      </c>
    </row>
    <row r="1201" spans="1:17" ht="25" x14ac:dyDescent="0.35">
      <c r="A1201" s="11" t="s">
        <v>760</v>
      </c>
      <c r="B1201" s="163" t="s">
        <v>787</v>
      </c>
      <c r="C1201" s="284"/>
      <c r="D1201" s="365"/>
      <c r="E1201" s="365"/>
      <c r="F1201" s="11" t="s">
        <v>42</v>
      </c>
      <c r="G1201" s="11"/>
      <c r="H1201" s="60" t="s">
        <v>127</v>
      </c>
      <c r="I1201" s="44" t="s">
        <v>117</v>
      </c>
      <c r="J1201" s="58">
        <v>7</v>
      </c>
      <c r="K1201" s="47">
        <v>320</v>
      </c>
      <c r="L1201" s="48">
        <f>K1201*J1201</f>
        <v>2240</v>
      </c>
      <c r="M1201" s="59">
        <v>7</v>
      </c>
      <c r="N1201" s="59">
        <v>7</v>
      </c>
      <c r="O1201" s="407">
        <v>320</v>
      </c>
      <c r="P1201" s="49">
        <f t="shared" si="36"/>
        <v>2240</v>
      </c>
      <c r="Q1201" s="49">
        <f t="shared" si="37"/>
        <v>2240</v>
      </c>
    </row>
    <row r="1202" spans="1:17" x14ac:dyDescent="0.35">
      <c r="A1202" s="11" t="s">
        <v>760</v>
      </c>
      <c r="B1202" s="163" t="s">
        <v>787</v>
      </c>
      <c r="C1202" s="284"/>
      <c r="D1202" s="365"/>
      <c r="E1202" s="365"/>
      <c r="F1202" s="11" t="s">
        <v>45</v>
      </c>
      <c r="G1202" s="61" t="s">
        <v>128</v>
      </c>
      <c r="H1202" s="60" t="s">
        <v>129</v>
      </c>
      <c r="I1202" s="44"/>
      <c r="J1202" s="65"/>
      <c r="K1202" s="47"/>
      <c r="L1202" s="48"/>
      <c r="M1202" s="66"/>
      <c r="N1202" s="66"/>
      <c r="O1202" s="407"/>
      <c r="P1202" s="49">
        <f t="shared" si="36"/>
        <v>0</v>
      </c>
      <c r="Q1202" s="49">
        <f t="shared" si="37"/>
        <v>0</v>
      </c>
    </row>
    <row r="1203" spans="1:17" ht="14.5" x14ac:dyDescent="0.35">
      <c r="A1203" s="11" t="s">
        <v>760</v>
      </c>
      <c r="B1203" s="163" t="s">
        <v>787</v>
      </c>
      <c r="C1203" s="284"/>
      <c r="D1203" s="365"/>
      <c r="E1203" s="365"/>
      <c r="F1203" s="11" t="s">
        <v>210</v>
      </c>
      <c r="G1203" s="61" t="s">
        <v>130</v>
      </c>
      <c r="H1203" s="60" t="s">
        <v>131</v>
      </c>
      <c r="I1203" s="44" t="s">
        <v>132</v>
      </c>
      <c r="J1203" s="63">
        <f>J1194*12</f>
        <v>84</v>
      </c>
      <c r="K1203" s="47">
        <v>8</v>
      </c>
      <c r="L1203" s="48">
        <f>K1203*J1203</f>
        <v>672</v>
      </c>
      <c r="M1203" s="64">
        <f>M1194*12</f>
        <v>84</v>
      </c>
      <c r="N1203" s="64">
        <f>N1194*12</f>
        <v>84</v>
      </c>
      <c r="O1203" s="407">
        <v>8</v>
      </c>
      <c r="P1203" s="49">
        <f t="shared" si="36"/>
        <v>672</v>
      </c>
      <c r="Q1203" s="49">
        <f t="shared" si="37"/>
        <v>672</v>
      </c>
    </row>
    <row r="1204" spans="1:17" ht="13" x14ac:dyDescent="0.35">
      <c r="A1204" s="11" t="s">
        <v>760</v>
      </c>
      <c r="B1204" s="163" t="s">
        <v>787</v>
      </c>
      <c r="C1204" s="284"/>
      <c r="D1204" s="365"/>
      <c r="E1204" s="365"/>
      <c r="F1204" s="11"/>
      <c r="G1204" s="11"/>
      <c r="H1204" s="57" t="s">
        <v>133</v>
      </c>
      <c r="I1204" s="44"/>
      <c r="J1204" s="58"/>
      <c r="K1204" s="47"/>
      <c r="L1204" s="48"/>
      <c r="M1204" s="59"/>
      <c r="N1204" s="59"/>
      <c r="O1204" s="407"/>
      <c r="P1204" s="49">
        <f t="shared" si="36"/>
        <v>0</v>
      </c>
      <c r="Q1204" s="49">
        <f t="shared" si="37"/>
        <v>0</v>
      </c>
    </row>
    <row r="1205" spans="1:17" x14ac:dyDescent="0.35">
      <c r="A1205" s="11" t="s">
        <v>760</v>
      </c>
      <c r="B1205" s="163" t="s">
        <v>787</v>
      </c>
      <c r="C1205" s="284"/>
      <c r="D1205" s="365"/>
      <c r="E1205" s="365"/>
      <c r="F1205" s="11"/>
      <c r="G1205" s="11"/>
      <c r="H1205" s="60" t="s">
        <v>134</v>
      </c>
      <c r="I1205" s="44"/>
      <c r="J1205" s="58"/>
      <c r="K1205" s="47"/>
      <c r="L1205" s="48"/>
      <c r="M1205" s="59"/>
      <c r="N1205" s="59"/>
      <c r="O1205" s="407"/>
      <c r="P1205" s="49">
        <f t="shared" si="36"/>
        <v>0</v>
      </c>
      <c r="Q1205" s="49">
        <f t="shared" si="37"/>
        <v>0</v>
      </c>
    </row>
    <row r="1206" spans="1:17" ht="37.5" x14ac:dyDescent="0.35">
      <c r="A1206" s="11" t="s">
        <v>760</v>
      </c>
      <c r="B1206" s="163" t="s">
        <v>787</v>
      </c>
      <c r="C1206" s="284"/>
      <c r="D1206" s="365"/>
      <c r="E1206" s="365"/>
      <c r="F1206" s="11" t="s">
        <v>48</v>
      </c>
      <c r="G1206" s="11"/>
      <c r="H1206" s="60" t="s">
        <v>135</v>
      </c>
      <c r="I1206" s="44" t="s">
        <v>110</v>
      </c>
      <c r="J1206" s="58">
        <v>89</v>
      </c>
      <c r="K1206" s="47">
        <v>35</v>
      </c>
      <c r="L1206" s="48">
        <f>K1206*J1206</f>
        <v>3115</v>
      </c>
      <c r="M1206" s="59">
        <v>89</v>
      </c>
      <c r="N1206" s="59">
        <v>89</v>
      </c>
      <c r="O1206" s="407">
        <v>35</v>
      </c>
      <c r="P1206" s="49">
        <f t="shared" si="36"/>
        <v>3115</v>
      </c>
      <c r="Q1206" s="49">
        <f t="shared" si="37"/>
        <v>3115</v>
      </c>
    </row>
    <row r="1207" spans="1:17" ht="13" x14ac:dyDescent="0.35">
      <c r="A1207" s="11" t="s">
        <v>760</v>
      </c>
      <c r="B1207" s="163" t="s">
        <v>788</v>
      </c>
      <c r="C1207" s="284"/>
      <c r="D1207" s="365"/>
      <c r="E1207" s="365"/>
      <c r="F1207" s="11"/>
      <c r="G1207" s="11"/>
      <c r="H1207" s="262" t="s">
        <v>762</v>
      </c>
      <c r="I1207" s="44"/>
      <c r="J1207" s="45"/>
      <c r="K1207" s="47"/>
      <c r="L1207" s="48"/>
      <c r="M1207" s="46"/>
      <c r="N1207" s="46"/>
      <c r="O1207" s="407"/>
      <c r="P1207" s="49">
        <f t="shared" si="36"/>
        <v>0</v>
      </c>
      <c r="Q1207" s="49">
        <f t="shared" si="37"/>
        <v>0</v>
      </c>
    </row>
    <row r="1208" spans="1:17" ht="13" x14ac:dyDescent="0.35">
      <c r="A1208" s="11" t="s">
        <v>760</v>
      </c>
      <c r="B1208" s="163" t="s">
        <v>788</v>
      </c>
      <c r="C1208" s="284"/>
      <c r="D1208" s="365"/>
      <c r="E1208" s="365"/>
      <c r="F1208" s="11"/>
      <c r="G1208" s="11"/>
      <c r="H1208" s="262" t="s">
        <v>763</v>
      </c>
      <c r="I1208" s="44"/>
      <c r="J1208" s="45"/>
      <c r="K1208" s="47"/>
      <c r="L1208" s="48"/>
      <c r="M1208" s="46"/>
      <c r="N1208" s="46"/>
      <c r="O1208" s="407"/>
      <c r="P1208" s="49">
        <f t="shared" si="36"/>
        <v>0</v>
      </c>
      <c r="Q1208" s="49">
        <f t="shared" si="37"/>
        <v>0</v>
      </c>
    </row>
    <row r="1209" spans="1:17" ht="13" x14ac:dyDescent="0.35">
      <c r="A1209" s="11" t="s">
        <v>760</v>
      </c>
      <c r="B1209" s="163" t="s">
        <v>788</v>
      </c>
      <c r="C1209" s="284"/>
      <c r="D1209" s="365"/>
      <c r="E1209" s="365"/>
      <c r="F1209" s="11"/>
      <c r="G1209" s="11"/>
      <c r="H1209" s="43" t="s">
        <v>190</v>
      </c>
      <c r="I1209" s="44"/>
      <c r="J1209" s="45"/>
      <c r="K1209" s="47"/>
      <c r="L1209" s="48"/>
      <c r="M1209" s="46"/>
      <c r="N1209" s="46"/>
      <c r="O1209" s="407"/>
      <c r="P1209" s="49">
        <f t="shared" si="36"/>
        <v>0</v>
      </c>
      <c r="Q1209" s="49">
        <f t="shared" si="37"/>
        <v>0</v>
      </c>
    </row>
    <row r="1210" spans="1:17" ht="13" x14ac:dyDescent="0.35">
      <c r="A1210" s="11" t="s">
        <v>760</v>
      </c>
      <c r="B1210" s="163" t="s">
        <v>788</v>
      </c>
      <c r="C1210" s="284"/>
      <c r="D1210" s="365"/>
      <c r="E1210" s="365"/>
      <c r="F1210" s="11"/>
      <c r="G1210" s="50" t="s">
        <v>138</v>
      </c>
      <c r="H1210" s="43" t="s">
        <v>139</v>
      </c>
      <c r="I1210" s="44"/>
      <c r="J1210" s="45"/>
      <c r="K1210" s="47"/>
      <c r="L1210" s="48"/>
      <c r="M1210" s="46"/>
      <c r="N1210" s="46"/>
      <c r="O1210" s="407"/>
      <c r="P1210" s="49">
        <f t="shared" si="36"/>
        <v>0</v>
      </c>
      <c r="Q1210" s="49">
        <f t="shared" si="37"/>
        <v>0</v>
      </c>
    </row>
    <row r="1211" spans="1:17" ht="13" x14ac:dyDescent="0.35">
      <c r="A1211" s="11" t="s">
        <v>760</v>
      </c>
      <c r="B1211" s="163" t="s">
        <v>788</v>
      </c>
      <c r="C1211" s="284"/>
      <c r="D1211" s="365"/>
      <c r="E1211" s="365"/>
      <c r="F1211" s="11"/>
      <c r="G1211" s="11"/>
      <c r="H1211" s="57" t="s">
        <v>100</v>
      </c>
      <c r="I1211" s="44"/>
      <c r="J1211" s="45"/>
      <c r="K1211" s="47"/>
      <c r="L1211" s="48"/>
      <c r="M1211" s="46"/>
      <c r="N1211" s="46"/>
      <c r="O1211" s="407"/>
      <c r="P1211" s="49">
        <f t="shared" si="36"/>
        <v>0</v>
      </c>
      <c r="Q1211" s="49">
        <f t="shared" si="37"/>
        <v>0</v>
      </c>
    </row>
    <row r="1212" spans="1:17" x14ac:dyDescent="0.35">
      <c r="A1212" s="11" t="s">
        <v>760</v>
      </c>
      <c r="B1212" s="163" t="s">
        <v>788</v>
      </c>
      <c r="C1212" s="284"/>
      <c r="D1212" s="365"/>
      <c r="E1212" s="365"/>
      <c r="F1212" s="11"/>
      <c r="G1212" s="11"/>
      <c r="H1212" s="60" t="s">
        <v>101</v>
      </c>
      <c r="I1212" s="44"/>
      <c r="J1212" s="45"/>
      <c r="K1212" s="47"/>
      <c r="L1212" s="48"/>
      <c r="M1212" s="46"/>
      <c r="N1212" s="46"/>
      <c r="O1212" s="407"/>
      <c r="P1212" s="49">
        <f t="shared" si="36"/>
        <v>0</v>
      </c>
      <c r="Q1212" s="49">
        <f t="shared" si="37"/>
        <v>0</v>
      </c>
    </row>
    <row r="1213" spans="1:17" ht="13" x14ac:dyDescent="0.35">
      <c r="A1213" s="11" t="s">
        <v>760</v>
      </c>
      <c r="B1213" s="163" t="s">
        <v>788</v>
      </c>
      <c r="C1213" s="284"/>
      <c r="D1213" s="365"/>
      <c r="E1213" s="365"/>
      <c r="F1213" s="11"/>
      <c r="G1213" s="11"/>
      <c r="H1213" s="57" t="s">
        <v>102</v>
      </c>
      <c r="I1213" s="44"/>
      <c r="J1213" s="45"/>
      <c r="K1213" s="47"/>
      <c r="L1213" s="48"/>
      <c r="M1213" s="46"/>
      <c r="N1213" s="46"/>
      <c r="O1213" s="407"/>
      <c r="P1213" s="49">
        <f t="shared" si="36"/>
        <v>0</v>
      </c>
      <c r="Q1213" s="49">
        <f t="shared" si="37"/>
        <v>0</v>
      </c>
    </row>
    <row r="1214" spans="1:17" ht="13" x14ac:dyDescent="0.35">
      <c r="A1214" s="11" t="s">
        <v>760</v>
      </c>
      <c r="B1214" s="163" t="s">
        <v>788</v>
      </c>
      <c r="C1214" s="284"/>
      <c r="D1214" s="365"/>
      <c r="E1214" s="365"/>
      <c r="F1214" s="11"/>
      <c r="G1214" s="11"/>
      <c r="H1214" s="57" t="s">
        <v>140</v>
      </c>
      <c r="I1214" s="44"/>
      <c r="J1214" s="45"/>
      <c r="K1214" s="47"/>
      <c r="L1214" s="48"/>
      <c r="M1214" s="46"/>
      <c r="N1214" s="46"/>
      <c r="O1214" s="407"/>
      <c r="P1214" s="49">
        <f t="shared" si="36"/>
        <v>0</v>
      </c>
      <c r="Q1214" s="49">
        <f t="shared" si="37"/>
        <v>0</v>
      </c>
    </row>
    <row r="1215" spans="1:17" ht="87.5" x14ac:dyDescent="0.35">
      <c r="A1215" s="11" t="s">
        <v>760</v>
      </c>
      <c r="B1215" s="163" t="s">
        <v>788</v>
      </c>
      <c r="C1215" s="284"/>
      <c r="D1215" s="365"/>
      <c r="E1215" s="365"/>
      <c r="F1215" s="11"/>
      <c r="G1215" s="11"/>
      <c r="H1215" s="60" t="s">
        <v>141</v>
      </c>
      <c r="I1215" s="44"/>
      <c r="J1215" s="45"/>
      <c r="K1215" s="47"/>
      <c r="L1215" s="48"/>
      <c r="M1215" s="46"/>
      <c r="N1215" s="46"/>
      <c r="O1215" s="407"/>
      <c r="P1215" s="49">
        <f t="shared" si="36"/>
        <v>0</v>
      </c>
      <c r="Q1215" s="49">
        <f t="shared" si="37"/>
        <v>0</v>
      </c>
    </row>
    <row r="1216" spans="1:17" ht="13" x14ac:dyDescent="0.35">
      <c r="A1216" s="11" t="s">
        <v>760</v>
      </c>
      <c r="B1216" s="163" t="s">
        <v>788</v>
      </c>
      <c r="C1216" s="284"/>
      <c r="D1216" s="365"/>
      <c r="E1216" s="365"/>
      <c r="F1216" s="11"/>
      <c r="G1216" s="11"/>
      <c r="H1216" s="57" t="s">
        <v>142</v>
      </c>
      <c r="I1216" s="44"/>
      <c r="J1216" s="45"/>
      <c r="K1216" s="47"/>
      <c r="L1216" s="48"/>
      <c r="M1216" s="46"/>
      <c r="N1216" s="46"/>
      <c r="O1216" s="407"/>
      <c r="P1216" s="49">
        <f t="shared" si="36"/>
        <v>0</v>
      </c>
      <c r="Q1216" s="49">
        <f t="shared" si="37"/>
        <v>0</v>
      </c>
    </row>
    <row r="1217" spans="1:17" ht="25" x14ac:dyDescent="0.35">
      <c r="A1217" s="11" t="s">
        <v>760</v>
      </c>
      <c r="B1217" s="163" t="s">
        <v>788</v>
      </c>
      <c r="C1217" s="284"/>
      <c r="D1217" s="365"/>
      <c r="E1217" s="365"/>
      <c r="F1217" s="11"/>
      <c r="G1217" s="11"/>
      <c r="H1217" s="60" t="s">
        <v>143</v>
      </c>
      <c r="I1217" s="44"/>
      <c r="J1217" s="45"/>
      <c r="K1217" s="47"/>
      <c r="L1217" s="48"/>
      <c r="M1217" s="46"/>
      <c r="N1217" s="46"/>
      <c r="O1217" s="407"/>
      <c r="P1217" s="49">
        <f t="shared" si="36"/>
        <v>0</v>
      </c>
      <c r="Q1217" s="49">
        <f t="shared" si="37"/>
        <v>0</v>
      </c>
    </row>
    <row r="1218" spans="1:17" ht="75" x14ac:dyDescent="0.35">
      <c r="A1218" s="11" t="s">
        <v>760</v>
      </c>
      <c r="B1218" s="163" t="s">
        <v>788</v>
      </c>
      <c r="C1218" s="284"/>
      <c r="D1218" s="365"/>
      <c r="E1218" s="365"/>
      <c r="F1218" s="11"/>
      <c r="G1218" s="11"/>
      <c r="H1218" s="60" t="s">
        <v>144</v>
      </c>
      <c r="I1218" s="44"/>
      <c r="J1218" s="45"/>
      <c r="K1218" s="47"/>
      <c r="L1218" s="48"/>
      <c r="M1218" s="46"/>
      <c r="N1218" s="46"/>
      <c r="O1218" s="407"/>
      <c r="P1218" s="49">
        <f t="shared" si="36"/>
        <v>0</v>
      </c>
      <c r="Q1218" s="49">
        <f t="shared" si="37"/>
        <v>0</v>
      </c>
    </row>
    <row r="1219" spans="1:17" x14ac:dyDescent="0.35">
      <c r="A1219" s="11" t="s">
        <v>760</v>
      </c>
      <c r="B1219" s="163" t="s">
        <v>788</v>
      </c>
      <c r="C1219" s="284"/>
      <c r="D1219" s="365"/>
      <c r="E1219" s="365"/>
      <c r="F1219" s="11"/>
      <c r="G1219" s="11"/>
      <c r="H1219" s="60" t="s">
        <v>145</v>
      </c>
      <c r="I1219" s="44"/>
      <c r="J1219" s="45"/>
      <c r="K1219" s="47"/>
      <c r="L1219" s="48"/>
      <c r="M1219" s="46"/>
      <c r="N1219" s="46"/>
      <c r="O1219" s="407"/>
      <c r="P1219" s="49">
        <f t="shared" si="36"/>
        <v>0</v>
      </c>
      <c r="Q1219" s="49">
        <f t="shared" si="37"/>
        <v>0</v>
      </c>
    </row>
    <row r="1220" spans="1:17" ht="25" x14ac:dyDescent="0.35">
      <c r="A1220" s="11" t="s">
        <v>760</v>
      </c>
      <c r="B1220" s="163" t="s">
        <v>788</v>
      </c>
      <c r="C1220" s="284"/>
      <c r="D1220" s="365"/>
      <c r="E1220" s="365"/>
      <c r="F1220" s="11"/>
      <c r="G1220" s="11"/>
      <c r="H1220" s="60" t="s">
        <v>146</v>
      </c>
      <c r="I1220" s="44"/>
      <c r="J1220" s="45"/>
      <c r="K1220" s="47"/>
      <c r="L1220" s="48"/>
      <c r="M1220" s="46"/>
      <c r="N1220" s="46"/>
      <c r="O1220" s="407"/>
      <c r="P1220" s="49">
        <f t="shared" si="36"/>
        <v>0</v>
      </c>
      <c r="Q1220" s="49">
        <f t="shared" si="37"/>
        <v>0</v>
      </c>
    </row>
    <row r="1221" spans="1:17" ht="13" x14ac:dyDescent="0.35">
      <c r="A1221" s="11" t="s">
        <v>760</v>
      </c>
      <c r="B1221" s="163" t="s">
        <v>788</v>
      </c>
      <c r="C1221" s="284"/>
      <c r="D1221" s="365"/>
      <c r="E1221" s="365"/>
      <c r="F1221" s="11"/>
      <c r="G1221" s="11" t="s">
        <v>147</v>
      </c>
      <c r="H1221" s="57" t="s">
        <v>148</v>
      </c>
      <c r="I1221" s="44"/>
      <c r="J1221" s="45"/>
      <c r="K1221" s="47"/>
      <c r="L1221" s="48"/>
      <c r="M1221" s="46"/>
      <c r="N1221" s="46"/>
      <c r="O1221" s="407"/>
      <c r="P1221" s="49">
        <f t="shared" si="36"/>
        <v>0</v>
      </c>
      <c r="Q1221" s="49">
        <f t="shared" si="37"/>
        <v>0</v>
      </c>
    </row>
    <row r="1222" spans="1:17" x14ac:dyDescent="0.35">
      <c r="A1222" s="11" t="s">
        <v>760</v>
      </c>
      <c r="B1222" s="163" t="s">
        <v>788</v>
      </c>
      <c r="C1222" s="284"/>
      <c r="D1222" s="365"/>
      <c r="E1222" s="365"/>
      <c r="F1222" s="11"/>
      <c r="G1222" s="11" t="s">
        <v>149</v>
      </c>
      <c r="H1222" s="62" t="s">
        <v>150</v>
      </c>
      <c r="I1222" s="44"/>
      <c r="J1222" s="45"/>
      <c r="K1222" s="47"/>
      <c r="L1222" s="48"/>
      <c r="M1222" s="46"/>
      <c r="N1222" s="46"/>
      <c r="O1222" s="407"/>
      <c r="P1222" s="49">
        <f t="shared" si="36"/>
        <v>0</v>
      </c>
      <c r="Q1222" s="49">
        <f t="shared" si="37"/>
        <v>0</v>
      </c>
    </row>
    <row r="1223" spans="1:17" ht="14.5" x14ac:dyDescent="0.35">
      <c r="A1223" s="11" t="s">
        <v>760</v>
      </c>
      <c r="B1223" s="163" t="s">
        <v>788</v>
      </c>
      <c r="C1223" s="284"/>
      <c r="D1223" s="365"/>
      <c r="E1223" s="365"/>
      <c r="F1223" s="11" t="s">
        <v>20</v>
      </c>
      <c r="G1223" s="11"/>
      <c r="H1223" s="67" t="s">
        <v>151</v>
      </c>
      <c r="I1223" s="44" t="s">
        <v>110</v>
      </c>
      <c r="J1223" s="45">
        <v>10</v>
      </c>
      <c r="K1223" s="47">
        <v>285</v>
      </c>
      <c r="L1223" s="48">
        <f>J1223*K1223</f>
        <v>2850</v>
      </c>
      <c r="M1223" s="46">
        <v>10</v>
      </c>
      <c r="N1223" s="46">
        <v>10</v>
      </c>
      <c r="O1223" s="407">
        <v>285</v>
      </c>
      <c r="P1223" s="49">
        <f t="shared" si="36"/>
        <v>2850</v>
      </c>
      <c r="Q1223" s="49">
        <f t="shared" si="37"/>
        <v>2850</v>
      </c>
    </row>
    <row r="1224" spans="1:17" ht="13" x14ac:dyDescent="0.35">
      <c r="A1224" s="11" t="s">
        <v>760</v>
      </c>
      <c r="B1224" s="163" t="s">
        <v>788</v>
      </c>
      <c r="C1224" s="284"/>
      <c r="D1224" s="365"/>
      <c r="E1224" s="365"/>
      <c r="F1224" s="11"/>
      <c r="G1224" s="11">
        <v>8.3000000000000007</v>
      </c>
      <c r="H1224" s="57" t="s">
        <v>152</v>
      </c>
      <c r="I1224" s="44"/>
      <c r="J1224" s="45"/>
      <c r="K1224" s="47"/>
      <c r="L1224" s="48"/>
      <c r="M1224" s="46"/>
      <c r="N1224" s="46"/>
      <c r="O1224" s="407"/>
      <c r="P1224" s="49">
        <f t="shared" si="36"/>
        <v>0</v>
      </c>
      <c r="Q1224" s="49">
        <f t="shared" si="37"/>
        <v>0</v>
      </c>
    </row>
    <row r="1225" spans="1:17" ht="13" x14ac:dyDescent="0.35">
      <c r="A1225" s="11" t="s">
        <v>760</v>
      </c>
      <c r="B1225" s="163" t="s">
        <v>788</v>
      </c>
      <c r="C1225" s="284"/>
      <c r="D1225" s="365"/>
      <c r="E1225" s="365"/>
      <c r="F1225" s="11"/>
      <c r="G1225" s="11" t="s">
        <v>21</v>
      </c>
      <c r="H1225" s="57" t="s">
        <v>153</v>
      </c>
      <c r="I1225" s="44"/>
      <c r="J1225" s="45"/>
      <c r="K1225" s="47"/>
      <c r="L1225" s="48"/>
      <c r="M1225" s="46"/>
      <c r="N1225" s="46"/>
      <c r="O1225" s="407"/>
      <c r="P1225" s="49">
        <f t="shared" si="36"/>
        <v>0</v>
      </c>
      <c r="Q1225" s="49">
        <f t="shared" si="37"/>
        <v>0</v>
      </c>
    </row>
    <row r="1226" spans="1:17" x14ac:dyDescent="0.35">
      <c r="A1226" s="11" t="s">
        <v>760</v>
      </c>
      <c r="B1226" s="163" t="s">
        <v>788</v>
      </c>
      <c r="C1226" s="284"/>
      <c r="D1226" s="365"/>
      <c r="E1226" s="365"/>
      <c r="F1226" s="11" t="s">
        <v>26</v>
      </c>
      <c r="G1226" s="11"/>
      <c r="H1226" s="60" t="s">
        <v>789</v>
      </c>
      <c r="I1226" s="44" t="s">
        <v>157</v>
      </c>
      <c r="J1226" s="275">
        <v>0.35399999999999998</v>
      </c>
      <c r="K1226" s="47">
        <v>19500</v>
      </c>
      <c r="L1226" s="48">
        <f>J1226*K1226</f>
        <v>6903</v>
      </c>
      <c r="M1226" s="276">
        <v>0.35399999999999998</v>
      </c>
      <c r="N1226" s="276">
        <v>0.35399999999999998</v>
      </c>
      <c r="O1226" s="407">
        <v>19500</v>
      </c>
      <c r="P1226" s="49">
        <f t="shared" ref="P1226:P1289" si="38">O1226*M1226</f>
        <v>6903</v>
      </c>
      <c r="Q1226" s="49">
        <f t="shared" ref="Q1226:Q1289" si="39">O1226*N1226</f>
        <v>6903</v>
      </c>
    </row>
    <row r="1227" spans="1:17" ht="13" x14ac:dyDescent="0.35">
      <c r="A1227" s="11" t="s">
        <v>760</v>
      </c>
      <c r="B1227" s="163" t="s">
        <v>788</v>
      </c>
      <c r="C1227" s="284"/>
      <c r="D1227" s="365"/>
      <c r="E1227" s="365"/>
      <c r="F1227" s="11"/>
      <c r="G1227" s="11" t="s">
        <v>159</v>
      </c>
      <c r="H1227" s="57" t="s">
        <v>160</v>
      </c>
      <c r="I1227" s="44"/>
      <c r="J1227" s="45"/>
      <c r="K1227" s="47"/>
      <c r="L1227" s="48"/>
      <c r="M1227" s="46"/>
      <c r="N1227" s="46"/>
      <c r="O1227" s="407"/>
      <c r="P1227" s="49">
        <f t="shared" si="38"/>
        <v>0</v>
      </c>
      <c r="Q1227" s="49">
        <f t="shared" si="39"/>
        <v>0</v>
      </c>
    </row>
    <row r="1228" spans="1:17" ht="14.5" x14ac:dyDescent="0.35">
      <c r="A1228" s="11" t="s">
        <v>760</v>
      </c>
      <c r="B1228" s="163" t="s">
        <v>788</v>
      </c>
      <c r="C1228" s="284"/>
      <c r="D1228" s="365"/>
      <c r="E1228" s="365"/>
      <c r="F1228" s="11" t="s">
        <v>29</v>
      </c>
      <c r="G1228" s="11"/>
      <c r="H1228" s="60" t="s">
        <v>161</v>
      </c>
      <c r="I1228" s="44" t="s">
        <v>110</v>
      </c>
      <c r="J1228" s="45">
        <v>23</v>
      </c>
      <c r="K1228" s="47">
        <v>145</v>
      </c>
      <c r="L1228" s="48">
        <f>J1228*K1228</f>
        <v>3335</v>
      </c>
      <c r="M1228" s="46">
        <v>23</v>
      </c>
      <c r="N1228" s="46">
        <v>23</v>
      </c>
      <c r="O1228" s="407">
        <v>145</v>
      </c>
      <c r="P1228" s="49">
        <f t="shared" si="38"/>
        <v>3335</v>
      </c>
      <c r="Q1228" s="49">
        <f t="shared" si="39"/>
        <v>3335</v>
      </c>
    </row>
    <row r="1229" spans="1:17" ht="13" x14ac:dyDescent="0.35">
      <c r="A1229" s="11" t="s">
        <v>760</v>
      </c>
      <c r="B1229" s="163" t="s">
        <v>788</v>
      </c>
      <c r="C1229" s="284"/>
      <c r="D1229" s="365"/>
      <c r="E1229" s="365"/>
      <c r="F1229" s="11"/>
      <c r="G1229" s="11" t="s">
        <v>164</v>
      </c>
      <c r="H1229" s="57" t="s">
        <v>165</v>
      </c>
      <c r="I1229" s="44"/>
      <c r="J1229" s="45"/>
      <c r="K1229" s="47"/>
      <c r="L1229" s="48"/>
      <c r="M1229" s="46"/>
      <c r="N1229" s="46"/>
      <c r="O1229" s="407"/>
      <c r="P1229" s="49">
        <f t="shared" si="38"/>
        <v>0</v>
      </c>
      <c r="Q1229" s="49">
        <f t="shared" si="39"/>
        <v>0</v>
      </c>
    </row>
    <row r="1230" spans="1:17" ht="13" x14ac:dyDescent="0.35">
      <c r="A1230" s="11" t="s">
        <v>760</v>
      </c>
      <c r="B1230" s="163" t="s">
        <v>788</v>
      </c>
      <c r="C1230" s="284"/>
      <c r="D1230" s="365"/>
      <c r="E1230" s="365"/>
      <c r="F1230" s="11"/>
      <c r="G1230" s="11" t="s">
        <v>65</v>
      </c>
      <c r="H1230" s="57" t="s">
        <v>166</v>
      </c>
      <c r="I1230" s="44"/>
      <c r="J1230" s="58"/>
      <c r="K1230" s="70"/>
      <c r="L1230" s="48"/>
      <c r="M1230" s="59"/>
      <c r="N1230" s="59"/>
      <c r="O1230" s="409"/>
      <c r="P1230" s="49">
        <f t="shared" si="38"/>
        <v>0</v>
      </c>
      <c r="Q1230" s="49">
        <f t="shared" si="39"/>
        <v>0</v>
      </c>
    </row>
    <row r="1231" spans="1:17" ht="14.5" x14ac:dyDescent="0.35">
      <c r="A1231" s="11" t="s">
        <v>760</v>
      </c>
      <c r="B1231" s="163" t="s">
        <v>788</v>
      </c>
      <c r="C1231" s="284"/>
      <c r="D1231" s="365"/>
      <c r="E1231" s="365"/>
      <c r="F1231" s="11" t="s">
        <v>39</v>
      </c>
      <c r="G1231" s="11"/>
      <c r="H1231" s="60" t="s">
        <v>167</v>
      </c>
      <c r="I1231" s="44" t="s">
        <v>117</v>
      </c>
      <c r="J1231" s="58">
        <v>2</v>
      </c>
      <c r="K1231" s="47">
        <v>2000</v>
      </c>
      <c r="L1231" s="48">
        <f>J1231*K1231</f>
        <v>4000</v>
      </c>
      <c r="M1231" s="59">
        <v>2</v>
      </c>
      <c r="N1231" s="59">
        <v>2</v>
      </c>
      <c r="O1231" s="407">
        <v>2000</v>
      </c>
      <c r="P1231" s="49">
        <f t="shared" si="38"/>
        <v>4000</v>
      </c>
      <c r="Q1231" s="49">
        <f t="shared" si="39"/>
        <v>4000</v>
      </c>
    </row>
    <row r="1232" spans="1:17" ht="13" x14ac:dyDescent="0.35">
      <c r="A1232" s="11" t="s">
        <v>760</v>
      </c>
      <c r="B1232" s="163" t="s">
        <v>788</v>
      </c>
      <c r="C1232" s="284"/>
      <c r="D1232" s="365"/>
      <c r="E1232" s="365"/>
      <c r="F1232" s="11"/>
      <c r="G1232" s="11"/>
      <c r="H1232" s="57" t="s">
        <v>168</v>
      </c>
      <c r="I1232" s="44"/>
      <c r="J1232" s="45"/>
      <c r="K1232" s="47"/>
      <c r="L1232" s="48"/>
      <c r="M1232" s="46"/>
      <c r="N1232" s="46"/>
      <c r="O1232" s="407"/>
      <c r="P1232" s="49">
        <f t="shared" si="38"/>
        <v>0</v>
      </c>
      <c r="Q1232" s="49">
        <f t="shared" si="39"/>
        <v>0</v>
      </c>
    </row>
    <row r="1233" spans="1:17" ht="14.5" x14ac:dyDescent="0.35">
      <c r="A1233" s="11" t="s">
        <v>760</v>
      </c>
      <c r="B1233" s="163" t="s">
        <v>788</v>
      </c>
      <c r="C1233" s="284"/>
      <c r="D1233" s="365"/>
      <c r="E1233" s="365"/>
      <c r="F1233" s="11" t="s">
        <v>42</v>
      </c>
      <c r="G1233" s="11"/>
      <c r="H1233" s="60" t="s">
        <v>169</v>
      </c>
      <c r="I1233" s="44" t="s">
        <v>117</v>
      </c>
      <c r="J1233" s="45">
        <v>2</v>
      </c>
      <c r="K1233" s="47">
        <v>2200</v>
      </c>
      <c r="L1233" s="48">
        <f>J1233*K1233</f>
        <v>4400</v>
      </c>
      <c r="M1233" s="46">
        <v>2</v>
      </c>
      <c r="N1233" s="46">
        <v>2</v>
      </c>
      <c r="O1233" s="407">
        <v>2200</v>
      </c>
      <c r="P1233" s="49">
        <f t="shared" si="38"/>
        <v>4400</v>
      </c>
      <c r="Q1233" s="49">
        <f t="shared" si="39"/>
        <v>4400</v>
      </c>
    </row>
    <row r="1234" spans="1:17" ht="14.5" x14ac:dyDescent="0.35">
      <c r="A1234" s="11" t="s">
        <v>760</v>
      </c>
      <c r="B1234" s="163" t="s">
        <v>788</v>
      </c>
      <c r="C1234" s="284"/>
      <c r="D1234" s="365"/>
      <c r="E1234" s="365"/>
      <c r="F1234" s="11" t="s">
        <v>45</v>
      </c>
      <c r="G1234" s="11"/>
      <c r="H1234" s="60" t="s">
        <v>790</v>
      </c>
      <c r="I1234" s="44" t="s">
        <v>117</v>
      </c>
      <c r="J1234" s="45">
        <v>2</v>
      </c>
      <c r="K1234" s="47">
        <v>2200</v>
      </c>
      <c r="L1234" s="48">
        <f>J1234*K1234</f>
        <v>4400</v>
      </c>
      <c r="M1234" s="46">
        <v>2</v>
      </c>
      <c r="N1234" s="46">
        <v>2</v>
      </c>
      <c r="O1234" s="407">
        <v>2200</v>
      </c>
      <c r="P1234" s="49">
        <f t="shared" si="38"/>
        <v>4400</v>
      </c>
      <c r="Q1234" s="49">
        <f t="shared" si="39"/>
        <v>4400</v>
      </c>
    </row>
    <row r="1235" spans="1:17" ht="14.5" x14ac:dyDescent="0.35">
      <c r="A1235" s="11" t="s">
        <v>760</v>
      </c>
      <c r="B1235" s="163" t="s">
        <v>788</v>
      </c>
      <c r="C1235" s="284"/>
      <c r="D1235" s="365"/>
      <c r="E1235" s="365"/>
      <c r="F1235" s="11" t="s">
        <v>210</v>
      </c>
      <c r="G1235" s="11"/>
      <c r="H1235" s="60" t="s">
        <v>171</v>
      </c>
      <c r="I1235" s="44" t="s">
        <v>117</v>
      </c>
      <c r="J1235" s="45">
        <v>4</v>
      </c>
      <c r="K1235" s="47">
        <v>2200</v>
      </c>
      <c r="L1235" s="48">
        <f>J1235*K1235</f>
        <v>8800</v>
      </c>
      <c r="M1235" s="46">
        <v>4</v>
      </c>
      <c r="N1235" s="46">
        <v>4</v>
      </c>
      <c r="O1235" s="407">
        <v>2200</v>
      </c>
      <c r="P1235" s="49">
        <f t="shared" si="38"/>
        <v>8800</v>
      </c>
      <c r="Q1235" s="49">
        <f t="shared" si="39"/>
        <v>8800</v>
      </c>
    </row>
    <row r="1236" spans="1:17" ht="13" x14ac:dyDescent="0.35">
      <c r="A1236" s="11" t="s">
        <v>760</v>
      </c>
      <c r="B1236" s="163" t="s">
        <v>788</v>
      </c>
      <c r="C1236" s="284"/>
      <c r="D1236" s="365"/>
      <c r="E1236" s="365"/>
      <c r="F1236" s="11"/>
      <c r="G1236" s="11"/>
      <c r="H1236" s="57" t="s">
        <v>173</v>
      </c>
      <c r="I1236" s="44"/>
      <c r="J1236" s="45"/>
      <c r="K1236" s="47"/>
      <c r="L1236" s="48"/>
      <c r="M1236" s="46"/>
      <c r="N1236" s="46"/>
      <c r="O1236" s="407"/>
      <c r="P1236" s="49">
        <f t="shared" si="38"/>
        <v>0</v>
      </c>
      <c r="Q1236" s="49">
        <f t="shared" si="39"/>
        <v>0</v>
      </c>
    </row>
    <row r="1237" spans="1:17" ht="25" x14ac:dyDescent="0.35">
      <c r="A1237" s="11" t="s">
        <v>760</v>
      </c>
      <c r="B1237" s="163" t="s">
        <v>788</v>
      </c>
      <c r="C1237" s="284"/>
      <c r="D1237" s="365"/>
      <c r="E1237" s="365"/>
      <c r="F1237" s="144" t="s">
        <v>51</v>
      </c>
      <c r="G1237" s="144"/>
      <c r="H1237" s="146" t="s">
        <v>174</v>
      </c>
      <c r="I1237" s="147" t="s">
        <v>175</v>
      </c>
      <c r="J1237" s="206">
        <v>35</v>
      </c>
      <c r="K1237" s="208">
        <v>650</v>
      </c>
      <c r="L1237" s="151">
        <f>J1237*K1237</f>
        <v>22750</v>
      </c>
      <c r="M1237" s="207">
        <v>35</v>
      </c>
      <c r="N1237" s="207">
        <v>35</v>
      </c>
      <c r="O1237" s="423">
        <v>650</v>
      </c>
      <c r="P1237" s="152">
        <f t="shared" si="38"/>
        <v>22750</v>
      </c>
      <c r="Q1237" s="152">
        <f t="shared" si="39"/>
        <v>22750</v>
      </c>
    </row>
    <row r="1238" spans="1:17" ht="13" x14ac:dyDescent="0.35">
      <c r="A1238" s="11" t="s">
        <v>760</v>
      </c>
      <c r="B1238" s="163" t="s">
        <v>788</v>
      </c>
      <c r="C1238" s="284"/>
      <c r="D1238" s="365"/>
      <c r="E1238" s="365"/>
      <c r="F1238" s="11"/>
      <c r="G1238" s="11" t="s">
        <v>82</v>
      </c>
      <c r="H1238" s="57" t="s">
        <v>176</v>
      </c>
      <c r="I1238" s="44"/>
      <c r="J1238" s="58"/>
      <c r="K1238" s="70"/>
      <c r="L1238" s="48"/>
      <c r="M1238" s="59"/>
      <c r="N1238" s="59"/>
      <c r="O1238" s="409"/>
      <c r="P1238" s="49">
        <f t="shared" si="38"/>
        <v>0</v>
      </c>
      <c r="Q1238" s="49">
        <f t="shared" si="39"/>
        <v>0</v>
      </c>
    </row>
    <row r="1239" spans="1:17" ht="13" x14ac:dyDescent="0.35">
      <c r="A1239" s="11" t="s">
        <v>760</v>
      </c>
      <c r="B1239" s="163" t="s">
        <v>788</v>
      </c>
      <c r="C1239" s="284"/>
      <c r="D1239" s="365"/>
      <c r="E1239" s="365"/>
      <c r="F1239" s="11"/>
      <c r="G1239" s="11" t="s">
        <v>177</v>
      </c>
      <c r="H1239" s="57" t="s">
        <v>791</v>
      </c>
      <c r="I1239" s="44"/>
      <c r="J1239" s="58"/>
      <c r="K1239" s="70"/>
      <c r="L1239" s="48"/>
      <c r="M1239" s="59"/>
      <c r="N1239" s="59"/>
      <c r="O1239" s="409"/>
      <c r="P1239" s="49">
        <f t="shared" si="38"/>
        <v>0</v>
      </c>
      <c r="Q1239" s="49">
        <f t="shared" si="39"/>
        <v>0</v>
      </c>
    </row>
    <row r="1240" spans="1:17" ht="14.5" x14ac:dyDescent="0.35">
      <c r="A1240" s="11" t="s">
        <v>760</v>
      </c>
      <c r="B1240" s="163" t="s">
        <v>788</v>
      </c>
      <c r="C1240" s="284"/>
      <c r="D1240" s="365"/>
      <c r="E1240" s="365"/>
      <c r="F1240" s="11" t="s">
        <v>53</v>
      </c>
      <c r="G1240" s="11"/>
      <c r="H1240" s="60" t="s">
        <v>179</v>
      </c>
      <c r="I1240" s="44" t="s">
        <v>110</v>
      </c>
      <c r="J1240" s="58">
        <v>21</v>
      </c>
      <c r="K1240" s="47">
        <v>15</v>
      </c>
      <c r="L1240" s="48">
        <f>J1240*K1240</f>
        <v>315</v>
      </c>
      <c r="M1240" s="59">
        <v>21</v>
      </c>
      <c r="N1240" s="59">
        <v>21</v>
      </c>
      <c r="O1240" s="407">
        <v>15</v>
      </c>
      <c r="P1240" s="49">
        <f t="shared" si="38"/>
        <v>315</v>
      </c>
      <c r="Q1240" s="49">
        <f t="shared" si="39"/>
        <v>315</v>
      </c>
    </row>
    <row r="1241" spans="1:17" ht="13" x14ac:dyDescent="0.35">
      <c r="A1241" s="11" t="s">
        <v>760</v>
      </c>
      <c r="B1241" s="163" t="s">
        <v>788</v>
      </c>
      <c r="C1241" s="284"/>
      <c r="D1241" s="365"/>
      <c r="E1241" s="365"/>
      <c r="F1241" s="11"/>
      <c r="G1241" s="11" t="s">
        <v>183</v>
      </c>
      <c r="H1241" s="57" t="s">
        <v>184</v>
      </c>
      <c r="I1241" s="44"/>
      <c r="J1241" s="58"/>
      <c r="K1241" s="47"/>
      <c r="L1241" s="48"/>
      <c r="M1241" s="59"/>
      <c r="N1241" s="59"/>
      <c r="O1241" s="407"/>
      <c r="P1241" s="49">
        <f t="shared" si="38"/>
        <v>0</v>
      </c>
      <c r="Q1241" s="49">
        <f t="shared" si="39"/>
        <v>0</v>
      </c>
    </row>
    <row r="1242" spans="1:17" ht="37.5" x14ac:dyDescent="0.35">
      <c r="A1242" s="11" t="s">
        <v>760</v>
      </c>
      <c r="B1242" s="163" t="s">
        <v>788</v>
      </c>
      <c r="C1242" s="284"/>
      <c r="D1242" s="365"/>
      <c r="E1242" s="365"/>
      <c r="F1242" s="11" t="s">
        <v>180</v>
      </c>
      <c r="G1242" s="11"/>
      <c r="H1242" s="60" t="s">
        <v>185</v>
      </c>
      <c r="I1242" s="44" t="s">
        <v>186</v>
      </c>
      <c r="J1242" s="58">
        <v>15</v>
      </c>
      <c r="K1242" s="47">
        <v>95</v>
      </c>
      <c r="L1242" s="48">
        <f>J1242*K1242</f>
        <v>1425</v>
      </c>
      <c r="M1242" s="59">
        <v>15</v>
      </c>
      <c r="N1242" s="59">
        <v>15</v>
      </c>
      <c r="O1242" s="407">
        <v>95</v>
      </c>
      <c r="P1242" s="49">
        <f t="shared" si="38"/>
        <v>1425</v>
      </c>
      <c r="Q1242" s="49">
        <f t="shared" si="39"/>
        <v>1425</v>
      </c>
    </row>
    <row r="1243" spans="1:17" ht="25" x14ac:dyDescent="0.35">
      <c r="A1243" s="11" t="s">
        <v>760</v>
      </c>
      <c r="B1243" s="163" t="s">
        <v>788</v>
      </c>
      <c r="C1243" s="284"/>
      <c r="D1243" s="365"/>
      <c r="E1243" s="365"/>
      <c r="F1243" s="11" t="s">
        <v>87</v>
      </c>
      <c r="G1243" s="11"/>
      <c r="H1243" s="60" t="s">
        <v>188</v>
      </c>
      <c r="I1243" s="44" t="s">
        <v>186</v>
      </c>
      <c r="J1243" s="58">
        <v>15</v>
      </c>
      <c r="K1243" s="47">
        <v>95</v>
      </c>
      <c r="L1243" s="48">
        <f>J1243*K1243</f>
        <v>1425</v>
      </c>
      <c r="M1243" s="59">
        <v>15</v>
      </c>
      <c r="N1243" s="59">
        <v>15</v>
      </c>
      <c r="O1243" s="407">
        <v>95</v>
      </c>
      <c r="P1243" s="49">
        <f t="shared" si="38"/>
        <v>1425</v>
      </c>
      <c r="Q1243" s="49">
        <f t="shared" si="39"/>
        <v>1425</v>
      </c>
    </row>
    <row r="1244" spans="1:17" ht="13" x14ac:dyDescent="0.35">
      <c r="A1244" s="11" t="s">
        <v>760</v>
      </c>
      <c r="B1244" s="163" t="s">
        <v>792</v>
      </c>
      <c r="C1244" s="284"/>
      <c r="D1244" s="365"/>
      <c r="E1244" s="365"/>
      <c r="F1244" s="11"/>
      <c r="G1244" s="11"/>
      <c r="H1244" s="262" t="s">
        <v>762</v>
      </c>
      <c r="I1244" s="44"/>
      <c r="J1244" s="45"/>
      <c r="K1244" s="47"/>
      <c r="L1244" s="48"/>
      <c r="M1244" s="46"/>
      <c r="N1244" s="46"/>
      <c r="O1244" s="407"/>
      <c r="P1244" s="49">
        <f t="shared" si="38"/>
        <v>0</v>
      </c>
      <c r="Q1244" s="49">
        <f t="shared" si="39"/>
        <v>0</v>
      </c>
    </row>
    <row r="1245" spans="1:17" ht="13" x14ac:dyDescent="0.35">
      <c r="A1245" s="11" t="s">
        <v>760</v>
      </c>
      <c r="B1245" s="163" t="s">
        <v>792</v>
      </c>
      <c r="C1245" s="284"/>
      <c r="D1245" s="365"/>
      <c r="E1245" s="365"/>
      <c r="F1245" s="11"/>
      <c r="G1245" s="11"/>
      <c r="H1245" s="262" t="s">
        <v>763</v>
      </c>
      <c r="I1245" s="44"/>
      <c r="J1245" s="45"/>
      <c r="K1245" s="47"/>
      <c r="L1245" s="48"/>
      <c r="M1245" s="46"/>
      <c r="N1245" s="46"/>
      <c r="O1245" s="407"/>
      <c r="P1245" s="49">
        <f t="shared" si="38"/>
        <v>0</v>
      </c>
      <c r="Q1245" s="49">
        <f t="shared" si="39"/>
        <v>0</v>
      </c>
    </row>
    <row r="1246" spans="1:17" ht="13" x14ac:dyDescent="0.35">
      <c r="A1246" s="11" t="s">
        <v>760</v>
      </c>
      <c r="B1246" s="163" t="s">
        <v>792</v>
      </c>
      <c r="C1246" s="284"/>
      <c r="D1246" s="365"/>
      <c r="E1246" s="365"/>
      <c r="F1246" s="11"/>
      <c r="G1246" s="11"/>
      <c r="H1246" s="43" t="s">
        <v>225</v>
      </c>
      <c r="I1246" s="44"/>
      <c r="J1246" s="45"/>
      <c r="K1246" s="47"/>
      <c r="L1246" s="48"/>
      <c r="M1246" s="46"/>
      <c r="N1246" s="46"/>
      <c r="O1246" s="407"/>
      <c r="P1246" s="49">
        <f t="shared" si="38"/>
        <v>0</v>
      </c>
      <c r="Q1246" s="49">
        <f t="shared" si="39"/>
        <v>0</v>
      </c>
    </row>
    <row r="1247" spans="1:17" ht="13" x14ac:dyDescent="0.35">
      <c r="A1247" s="11" t="s">
        <v>760</v>
      </c>
      <c r="B1247" s="163" t="s">
        <v>792</v>
      </c>
      <c r="C1247" s="284"/>
      <c r="D1247" s="365"/>
      <c r="E1247" s="365"/>
      <c r="F1247" s="11"/>
      <c r="G1247" s="11"/>
      <c r="H1247" s="43" t="s">
        <v>191</v>
      </c>
      <c r="I1247" s="44"/>
      <c r="J1247" s="45"/>
      <c r="K1247" s="47"/>
      <c r="L1247" s="48"/>
      <c r="M1247" s="46"/>
      <c r="N1247" s="46"/>
      <c r="O1247" s="407"/>
      <c r="P1247" s="49">
        <f t="shared" si="38"/>
        <v>0</v>
      </c>
      <c r="Q1247" s="49">
        <f t="shared" si="39"/>
        <v>0</v>
      </c>
    </row>
    <row r="1248" spans="1:17" ht="13" x14ac:dyDescent="0.35">
      <c r="A1248" s="11" t="s">
        <v>760</v>
      </c>
      <c r="B1248" s="163" t="s">
        <v>792</v>
      </c>
      <c r="C1248" s="284"/>
      <c r="D1248" s="365"/>
      <c r="E1248" s="365"/>
      <c r="F1248" s="11"/>
      <c r="G1248" s="11"/>
      <c r="H1248" s="57" t="s">
        <v>100</v>
      </c>
      <c r="I1248" s="44"/>
      <c r="J1248" s="45"/>
      <c r="K1248" s="47"/>
      <c r="L1248" s="48"/>
      <c r="M1248" s="46"/>
      <c r="N1248" s="46"/>
      <c r="O1248" s="407"/>
      <c r="P1248" s="49">
        <f t="shared" si="38"/>
        <v>0</v>
      </c>
      <c r="Q1248" s="49">
        <f t="shared" si="39"/>
        <v>0</v>
      </c>
    </row>
    <row r="1249" spans="1:17" x14ac:dyDescent="0.35">
      <c r="A1249" s="11" t="s">
        <v>760</v>
      </c>
      <c r="B1249" s="163" t="s">
        <v>792</v>
      </c>
      <c r="C1249" s="284"/>
      <c r="D1249" s="365"/>
      <c r="E1249" s="365"/>
      <c r="F1249" s="11"/>
      <c r="G1249" s="11"/>
      <c r="H1249" s="60" t="s">
        <v>101</v>
      </c>
      <c r="I1249" s="44"/>
      <c r="J1249" s="45"/>
      <c r="K1249" s="47"/>
      <c r="L1249" s="48"/>
      <c r="M1249" s="46"/>
      <c r="N1249" s="46"/>
      <c r="O1249" s="407"/>
      <c r="P1249" s="49">
        <f t="shared" si="38"/>
        <v>0</v>
      </c>
      <c r="Q1249" s="49">
        <f t="shared" si="39"/>
        <v>0</v>
      </c>
    </row>
    <row r="1250" spans="1:17" ht="13" x14ac:dyDescent="0.35">
      <c r="A1250" s="11" t="s">
        <v>760</v>
      </c>
      <c r="B1250" s="163" t="s">
        <v>792</v>
      </c>
      <c r="C1250" s="284"/>
      <c r="D1250" s="365"/>
      <c r="E1250" s="365"/>
      <c r="F1250" s="11"/>
      <c r="G1250" s="11"/>
      <c r="H1250" s="57" t="s">
        <v>102</v>
      </c>
      <c r="I1250" s="44"/>
      <c r="J1250" s="45"/>
      <c r="K1250" s="47"/>
      <c r="L1250" s="48"/>
      <c r="M1250" s="46"/>
      <c r="N1250" s="46"/>
      <c r="O1250" s="407"/>
      <c r="P1250" s="49">
        <f t="shared" si="38"/>
        <v>0</v>
      </c>
      <c r="Q1250" s="49">
        <f t="shared" si="39"/>
        <v>0</v>
      </c>
    </row>
    <row r="1251" spans="1:17" ht="25" x14ac:dyDescent="0.35">
      <c r="A1251" s="11" t="s">
        <v>760</v>
      </c>
      <c r="B1251" s="163" t="s">
        <v>792</v>
      </c>
      <c r="C1251" s="284"/>
      <c r="D1251" s="365"/>
      <c r="E1251" s="365"/>
      <c r="F1251" s="11"/>
      <c r="G1251" s="11"/>
      <c r="H1251" s="60" t="s">
        <v>192</v>
      </c>
      <c r="I1251" s="44"/>
      <c r="J1251" s="45"/>
      <c r="K1251" s="47"/>
      <c r="L1251" s="48"/>
      <c r="M1251" s="46"/>
      <c r="N1251" s="46"/>
      <c r="O1251" s="407"/>
      <c r="P1251" s="49">
        <f t="shared" si="38"/>
        <v>0</v>
      </c>
      <c r="Q1251" s="49">
        <f t="shared" si="39"/>
        <v>0</v>
      </c>
    </row>
    <row r="1252" spans="1:17" x14ac:dyDescent="0.35">
      <c r="A1252" s="11" t="s">
        <v>760</v>
      </c>
      <c r="B1252" s="163" t="s">
        <v>792</v>
      </c>
      <c r="C1252" s="284"/>
      <c r="D1252" s="365"/>
      <c r="E1252" s="365"/>
      <c r="F1252" s="11"/>
      <c r="G1252" s="11"/>
      <c r="H1252" s="62" t="s">
        <v>193</v>
      </c>
      <c r="I1252" s="44"/>
      <c r="J1252" s="58"/>
      <c r="K1252" s="47"/>
      <c r="L1252" s="48"/>
      <c r="M1252" s="59"/>
      <c r="N1252" s="59"/>
      <c r="O1252" s="407"/>
      <c r="P1252" s="49">
        <f t="shared" si="38"/>
        <v>0</v>
      </c>
      <c r="Q1252" s="49">
        <f t="shared" si="39"/>
        <v>0</v>
      </c>
    </row>
    <row r="1253" spans="1:17" x14ac:dyDescent="0.35">
      <c r="A1253" s="11" t="s">
        <v>760</v>
      </c>
      <c r="B1253" s="163" t="s">
        <v>792</v>
      </c>
      <c r="C1253" s="284"/>
      <c r="D1253" s="365"/>
      <c r="E1253" s="365"/>
      <c r="F1253" s="11"/>
      <c r="G1253" s="11"/>
      <c r="H1253" s="60" t="s">
        <v>194</v>
      </c>
      <c r="I1253" s="44"/>
      <c r="J1253" s="58"/>
      <c r="K1253" s="47"/>
      <c r="L1253" s="48"/>
      <c r="M1253" s="59"/>
      <c r="N1253" s="59"/>
      <c r="O1253" s="407"/>
      <c r="P1253" s="49">
        <f t="shared" si="38"/>
        <v>0</v>
      </c>
      <c r="Q1253" s="49">
        <f t="shared" si="39"/>
        <v>0</v>
      </c>
    </row>
    <row r="1254" spans="1:17" x14ac:dyDescent="0.35">
      <c r="A1254" s="11" t="s">
        <v>760</v>
      </c>
      <c r="B1254" s="163" t="s">
        <v>792</v>
      </c>
      <c r="C1254" s="284"/>
      <c r="D1254" s="365"/>
      <c r="E1254" s="365"/>
      <c r="F1254" s="11"/>
      <c r="G1254" s="11"/>
      <c r="H1254" s="62" t="s">
        <v>195</v>
      </c>
      <c r="I1254" s="44"/>
      <c r="J1254" s="58"/>
      <c r="K1254" s="47"/>
      <c r="L1254" s="48"/>
      <c r="M1254" s="59"/>
      <c r="N1254" s="59"/>
      <c r="O1254" s="407"/>
      <c r="P1254" s="49">
        <f t="shared" si="38"/>
        <v>0</v>
      </c>
      <c r="Q1254" s="49">
        <f t="shared" si="39"/>
        <v>0</v>
      </c>
    </row>
    <row r="1255" spans="1:17" ht="37.5" x14ac:dyDescent="0.35">
      <c r="A1255" s="11" t="s">
        <v>760</v>
      </c>
      <c r="B1255" s="163" t="s">
        <v>792</v>
      </c>
      <c r="C1255" s="284"/>
      <c r="D1255" s="365"/>
      <c r="E1255" s="365"/>
      <c r="F1255" s="11"/>
      <c r="G1255" s="11"/>
      <c r="H1255" s="60" t="s">
        <v>196</v>
      </c>
      <c r="I1255" s="44"/>
      <c r="J1255" s="58"/>
      <c r="K1255" s="47"/>
      <c r="L1255" s="48"/>
      <c r="M1255" s="59"/>
      <c r="N1255" s="59"/>
      <c r="O1255" s="407"/>
      <c r="P1255" s="49">
        <f t="shared" si="38"/>
        <v>0</v>
      </c>
      <c r="Q1255" s="49">
        <f t="shared" si="39"/>
        <v>0</v>
      </c>
    </row>
    <row r="1256" spans="1:17" x14ac:dyDescent="0.35">
      <c r="A1256" s="11" t="s">
        <v>760</v>
      </c>
      <c r="B1256" s="163" t="s">
        <v>792</v>
      </c>
      <c r="C1256" s="284"/>
      <c r="D1256" s="365"/>
      <c r="E1256" s="365"/>
      <c r="F1256" s="11"/>
      <c r="G1256" s="11"/>
      <c r="H1256" s="62" t="s">
        <v>197</v>
      </c>
      <c r="I1256" s="44"/>
      <c r="J1256" s="45"/>
      <c r="K1256" s="47"/>
      <c r="L1256" s="48"/>
      <c r="M1256" s="46"/>
      <c r="N1256" s="46"/>
      <c r="O1256" s="407"/>
      <c r="P1256" s="49">
        <f t="shared" si="38"/>
        <v>0</v>
      </c>
      <c r="Q1256" s="49">
        <f t="shared" si="39"/>
        <v>0</v>
      </c>
    </row>
    <row r="1257" spans="1:17" ht="37.5" x14ac:dyDescent="0.35">
      <c r="A1257" s="11" t="s">
        <v>760</v>
      </c>
      <c r="B1257" s="163" t="s">
        <v>792</v>
      </c>
      <c r="C1257" s="284"/>
      <c r="D1257" s="365"/>
      <c r="E1257" s="365"/>
      <c r="F1257" s="11"/>
      <c r="G1257" s="11"/>
      <c r="H1257" s="60" t="s">
        <v>198</v>
      </c>
      <c r="I1257" s="44"/>
      <c r="J1257" s="45"/>
      <c r="K1257" s="47"/>
      <c r="L1257" s="48"/>
      <c r="M1257" s="46"/>
      <c r="N1257" s="46"/>
      <c r="O1257" s="407"/>
      <c r="P1257" s="49">
        <f t="shared" si="38"/>
        <v>0</v>
      </c>
      <c r="Q1257" s="49">
        <f t="shared" si="39"/>
        <v>0</v>
      </c>
    </row>
    <row r="1258" spans="1:17" ht="13" x14ac:dyDescent="0.35">
      <c r="A1258" s="11" t="s">
        <v>760</v>
      </c>
      <c r="B1258" s="163" t="s">
        <v>792</v>
      </c>
      <c r="C1258" s="284"/>
      <c r="D1258" s="365"/>
      <c r="E1258" s="365"/>
      <c r="F1258" s="11"/>
      <c r="G1258" s="11"/>
      <c r="H1258" s="57" t="s">
        <v>199</v>
      </c>
      <c r="I1258" s="44"/>
      <c r="J1258" s="45"/>
      <c r="K1258" s="47"/>
      <c r="L1258" s="48"/>
      <c r="M1258" s="46"/>
      <c r="N1258" s="46"/>
      <c r="O1258" s="407"/>
      <c r="P1258" s="49">
        <f t="shared" si="38"/>
        <v>0</v>
      </c>
      <c r="Q1258" s="49">
        <f t="shared" si="39"/>
        <v>0</v>
      </c>
    </row>
    <row r="1259" spans="1:17" ht="13" x14ac:dyDescent="0.35">
      <c r="A1259" s="11" t="s">
        <v>760</v>
      </c>
      <c r="B1259" s="163" t="s">
        <v>792</v>
      </c>
      <c r="C1259" s="284"/>
      <c r="D1259" s="365"/>
      <c r="E1259" s="365"/>
      <c r="F1259" s="11"/>
      <c r="G1259" s="11"/>
      <c r="H1259" s="57" t="s">
        <v>200</v>
      </c>
      <c r="I1259" s="44"/>
      <c r="J1259" s="45"/>
      <c r="K1259" s="47"/>
      <c r="L1259" s="48"/>
      <c r="M1259" s="46"/>
      <c r="N1259" s="46"/>
      <c r="O1259" s="407"/>
      <c r="P1259" s="49">
        <f t="shared" si="38"/>
        <v>0</v>
      </c>
      <c r="Q1259" s="49">
        <f t="shared" si="39"/>
        <v>0</v>
      </c>
    </row>
    <row r="1260" spans="1:17" ht="13" x14ac:dyDescent="0.35">
      <c r="A1260" s="11" t="s">
        <v>760</v>
      </c>
      <c r="B1260" s="163" t="s">
        <v>792</v>
      </c>
      <c r="C1260" s="284"/>
      <c r="D1260" s="365"/>
      <c r="E1260" s="365"/>
      <c r="F1260" s="11"/>
      <c r="G1260" s="11"/>
      <c r="H1260" s="57" t="s">
        <v>201</v>
      </c>
      <c r="I1260" s="44"/>
      <c r="J1260" s="45"/>
      <c r="K1260" s="47"/>
      <c r="L1260" s="48"/>
      <c r="M1260" s="46"/>
      <c r="N1260" s="46"/>
      <c r="O1260" s="407"/>
      <c r="P1260" s="49">
        <f t="shared" si="38"/>
        <v>0</v>
      </c>
      <c r="Q1260" s="49">
        <f t="shared" si="39"/>
        <v>0</v>
      </c>
    </row>
    <row r="1261" spans="1:17" ht="14.5" x14ac:dyDescent="0.35">
      <c r="A1261" s="11" t="s">
        <v>760</v>
      </c>
      <c r="B1261" s="163" t="s">
        <v>792</v>
      </c>
      <c r="C1261" s="284"/>
      <c r="D1261" s="365"/>
      <c r="E1261" s="365"/>
      <c r="F1261" s="11" t="s">
        <v>20</v>
      </c>
      <c r="G1261" s="11"/>
      <c r="H1261" s="60" t="s">
        <v>203</v>
      </c>
      <c r="I1261" s="44" t="s">
        <v>110</v>
      </c>
      <c r="J1261" s="45">
        <v>13</v>
      </c>
      <c r="K1261" s="47">
        <v>295</v>
      </c>
      <c r="L1261" s="48">
        <f>J1261*K1261</f>
        <v>3835</v>
      </c>
      <c r="M1261" s="46">
        <v>13</v>
      </c>
      <c r="N1261" s="46">
        <v>13</v>
      </c>
      <c r="O1261" s="407">
        <v>295</v>
      </c>
      <c r="P1261" s="49">
        <f t="shared" si="38"/>
        <v>3835</v>
      </c>
      <c r="Q1261" s="49">
        <f t="shared" si="39"/>
        <v>3835</v>
      </c>
    </row>
    <row r="1262" spans="1:17" ht="13" x14ac:dyDescent="0.35">
      <c r="A1262" s="11" t="s">
        <v>760</v>
      </c>
      <c r="B1262" s="163" t="s">
        <v>792</v>
      </c>
      <c r="C1262" s="284"/>
      <c r="D1262" s="365"/>
      <c r="E1262" s="365"/>
      <c r="F1262" s="11"/>
      <c r="G1262" s="11"/>
      <c r="H1262" s="57" t="s">
        <v>205</v>
      </c>
      <c r="I1262" s="44"/>
      <c r="J1262" s="45"/>
      <c r="K1262" s="47"/>
      <c r="L1262" s="48"/>
      <c r="M1262" s="46"/>
      <c r="N1262" s="46"/>
      <c r="O1262" s="407"/>
      <c r="P1262" s="49">
        <f t="shared" si="38"/>
        <v>0</v>
      </c>
      <c r="Q1262" s="49">
        <f t="shared" si="39"/>
        <v>0</v>
      </c>
    </row>
    <row r="1263" spans="1:17" ht="13" x14ac:dyDescent="0.35">
      <c r="A1263" s="11" t="s">
        <v>760</v>
      </c>
      <c r="B1263" s="163" t="s">
        <v>792</v>
      </c>
      <c r="C1263" s="284"/>
      <c r="D1263" s="365"/>
      <c r="E1263" s="365"/>
      <c r="F1263" s="11"/>
      <c r="G1263" s="11"/>
      <c r="H1263" s="57" t="s">
        <v>201</v>
      </c>
      <c r="I1263" s="44"/>
      <c r="J1263" s="45"/>
      <c r="K1263" s="47"/>
      <c r="L1263" s="48"/>
      <c r="M1263" s="46"/>
      <c r="N1263" s="46"/>
      <c r="O1263" s="407"/>
      <c r="P1263" s="49">
        <f t="shared" si="38"/>
        <v>0</v>
      </c>
      <c r="Q1263" s="49">
        <f t="shared" si="39"/>
        <v>0</v>
      </c>
    </row>
    <row r="1264" spans="1:17" ht="14.5" x14ac:dyDescent="0.35">
      <c r="A1264" s="11" t="s">
        <v>760</v>
      </c>
      <c r="B1264" s="163" t="s">
        <v>792</v>
      </c>
      <c r="C1264" s="284"/>
      <c r="D1264" s="365"/>
      <c r="E1264" s="365"/>
      <c r="F1264" s="11" t="s">
        <v>26</v>
      </c>
      <c r="G1264" s="11"/>
      <c r="H1264" s="60" t="s">
        <v>203</v>
      </c>
      <c r="I1264" s="44" t="s">
        <v>110</v>
      </c>
      <c r="J1264" s="45">
        <v>72</v>
      </c>
      <c r="K1264" s="47">
        <v>295</v>
      </c>
      <c r="L1264" s="48">
        <f>J1264*K1264</f>
        <v>21240</v>
      </c>
      <c r="M1264" s="46">
        <v>72</v>
      </c>
      <c r="N1264" s="46">
        <v>72</v>
      </c>
      <c r="O1264" s="407">
        <v>295</v>
      </c>
      <c r="P1264" s="49">
        <f t="shared" si="38"/>
        <v>21240</v>
      </c>
      <c r="Q1264" s="49">
        <f t="shared" si="39"/>
        <v>21240</v>
      </c>
    </row>
    <row r="1265" spans="1:17" ht="14.5" x14ac:dyDescent="0.35">
      <c r="A1265" s="11" t="s">
        <v>760</v>
      </c>
      <c r="B1265" s="163" t="s">
        <v>792</v>
      </c>
      <c r="C1265" s="284"/>
      <c r="D1265" s="365"/>
      <c r="E1265" s="365"/>
      <c r="F1265" s="11" t="s">
        <v>26</v>
      </c>
      <c r="G1265" s="11"/>
      <c r="H1265" s="60" t="s">
        <v>204</v>
      </c>
      <c r="I1265" s="44" t="s">
        <v>110</v>
      </c>
      <c r="J1265" s="45">
        <v>20</v>
      </c>
      <c r="K1265" s="47">
        <v>245</v>
      </c>
      <c r="L1265" s="48">
        <f>J1265*K1265</f>
        <v>4900</v>
      </c>
      <c r="M1265" s="46">
        <v>20</v>
      </c>
      <c r="N1265" s="46">
        <v>20</v>
      </c>
      <c r="O1265" s="407">
        <v>245</v>
      </c>
      <c r="P1265" s="49">
        <f t="shared" si="38"/>
        <v>4900</v>
      </c>
      <c r="Q1265" s="49">
        <f t="shared" si="39"/>
        <v>4900</v>
      </c>
    </row>
    <row r="1266" spans="1:17" ht="26" x14ac:dyDescent="0.35">
      <c r="A1266" s="11" t="s">
        <v>760</v>
      </c>
      <c r="B1266" s="163" t="s">
        <v>792</v>
      </c>
      <c r="C1266" s="284"/>
      <c r="D1266" s="365"/>
      <c r="E1266" s="365"/>
      <c r="F1266" s="11"/>
      <c r="G1266" s="11"/>
      <c r="H1266" s="57" t="s">
        <v>207</v>
      </c>
      <c r="I1266" s="44"/>
      <c r="J1266" s="45"/>
      <c r="K1266" s="47"/>
      <c r="L1266" s="48"/>
      <c r="M1266" s="46"/>
      <c r="N1266" s="46"/>
      <c r="O1266" s="407"/>
      <c r="P1266" s="49">
        <f t="shared" si="38"/>
        <v>0</v>
      </c>
      <c r="Q1266" s="49">
        <f t="shared" si="39"/>
        <v>0</v>
      </c>
    </row>
    <row r="1267" spans="1:17" x14ac:dyDescent="0.35">
      <c r="A1267" s="11" t="s">
        <v>760</v>
      </c>
      <c r="B1267" s="163" t="s">
        <v>792</v>
      </c>
      <c r="C1267" s="284"/>
      <c r="D1267" s="365"/>
      <c r="E1267" s="365"/>
      <c r="F1267" s="11" t="s">
        <v>29</v>
      </c>
      <c r="G1267" s="11"/>
      <c r="H1267" s="60" t="s">
        <v>208</v>
      </c>
      <c r="I1267" s="44" t="s">
        <v>186</v>
      </c>
      <c r="J1267" s="45">
        <v>4</v>
      </c>
      <c r="K1267" s="47">
        <v>300</v>
      </c>
      <c r="L1267" s="48">
        <f>J1267*K1267</f>
        <v>1200</v>
      </c>
      <c r="M1267" s="46">
        <v>4</v>
      </c>
      <c r="N1267" s="46">
        <v>4</v>
      </c>
      <c r="O1267" s="407">
        <v>300</v>
      </c>
      <c r="P1267" s="49">
        <f t="shared" si="38"/>
        <v>1200</v>
      </c>
      <c r="Q1267" s="49">
        <f t="shared" si="39"/>
        <v>1200</v>
      </c>
    </row>
    <row r="1268" spans="1:17" ht="26" x14ac:dyDescent="0.35">
      <c r="A1268" s="11" t="s">
        <v>760</v>
      </c>
      <c r="B1268" s="163" t="s">
        <v>792</v>
      </c>
      <c r="C1268" s="284"/>
      <c r="D1268" s="365"/>
      <c r="E1268" s="365"/>
      <c r="F1268" s="11"/>
      <c r="G1268" s="11"/>
      <c r="H1268" s="57" t="s">
        <v>209</v>
      </c>
      <c r="I1268" s="44"/>
      <c r="J1268" s="58"/>
      <c r="K1268" s="47"/>
      <c r="L1268" s="48"/>
      <c r="M1268" s="59"/>
      <c r="N1268" s="59"/>
      <c r="O1268" s="407"/>
      <c r="P1268" s="49">
        <f t="shared" si="38"/>
        <v>0</v>
      </c>
      <c r="Q1268" s="49">
        <f t="shared" si="39"/>
        <v>0</v>
      </c>
    </row>
    <row r="1269" spans="1:17" ht="25" x14ac:dyDescent="0.35">
      <c r="A1269" s="11" t="s">
        <v>760</v>
      </c>
      <c r="B1269" s="163" t="s">
        <v>792</v>
      </c>
      <c r="C1269" s="284"/>
      <c r="D1269" s="365"/>
      <c r="E1269" s="365"/>
      <c r="F1269" s="11" t="s">
        <v>32</v>
      </c>
      <c r="G1269" s="11"/>
      <c r="H1269" s="60" t="s">
        <v>211</v>
      </c>
      <c r="I1269" s="44" t="s">
        <v>186</v>
      </c>
      <c r="J1269" s="58">
        <v>18</v>
      </c>
      <c r="K1269" s="47">
        <v>95</v>
      </c>
      <c r="L1269" s="48">
        <f>J1269*K1269</f>
        <v>1710</v>
      </c>
      <c r="M1269" s="59">
        <v>18</v>
      </c>
      <c r="N1269" s="59">
        <v>18</v>
      </c>
      <c r="O1269" s="407">
        <v>95</v>
      </c>
      <c r="P1269" s="49">
        <f t="shared" si="38"/>
        <v>1710</v>
      </c>
      <c r="Q1269" s="49">
        <f t="shared" si="39"/>
        <v>1710</v>
      </c>
    </row>
    <row r="1270" spans="1:17" ht="13" x14ac:dyDescent="0.35">
      <c r="A1270" s="11" t="s">
        <v>760</v>
      </c>
      <c r="B1270" s="163" t="s">
        <v>792</v>
      </c>
      <c r="C1270" s="284"/>
      <c r="D1270" s="365"/>
      <c r="E1270" s="365"/>
      <c r="F1270" s="11"/>
      <c r="G1270" s="11"/>
      <c r="H1270" s="57" t="s">
        <v>212</v>
      </c>
      <c r="I1270" s="44"/>
      <c r="J1270" s="58"/>
      <c r="K1270" s="47"/>
      <c r="L1270" s="48"/>
      <c r="M1270" s="59"/>
      <c r="N1270" s="59"/>
      <c r="O1270" s="407"/>
      <c r="P1270" s="49">
        <f t="shared" si="38"/>
        <v>0</v>
      </c>
      <c r="Q1270" s="49">
        <f t="shared" si="39"/>
        <v>0</v>
      </c>
    </row>
    <row r="1271" spans="1:17" x14ac:dyDescent="0.35">
      <c r="A1271" s="11" t="s">
        <v>760</v>
      </c>
      <c r="B1271" s="163" t="s">
        <v>792</v>
      </c>
      <c r="C1271" s="284"/>
      <c r="D1271" s="365"/>
      <c r="E1271" s="365"/>
      <c r="F1271" s="11" t="s">
        <v>36</v>
      </c>
      <c r="G1271" s="11"/>
      <c r="H1271" s="60" t="s">
        <v>213</v>
      </c>
      <c r="I1271" s="44" t="s">
        <v>186</v>
      </c>
      <c r="J1271" s="58">
        <v>34</v>
      </c>
      <c r="K1271" s="47">
        <v>65</v>
      </c>
      <c r="L1271" s="48">
        <f>J1271*K1271</f>
        <v>2210</v>
      </c>
      <c r="M1271" s="59">
        <v>34</v>
      </c>
      <c r="N1271" s="59">
        <v>34</v>
      </c>
      <c r="O1271" s="407">
        <v>65</v>
      </c>
      <c r="P1271" s="49">
        <f t="shared" si="38"/>
        <v>2210</v>
      </c>
      <c r="Q1271" s="49">
        <f t="shared" si="39"/>
        <v>2210</v>
      </c>
    </row>
    <row r="1272" spans="1:17" ht="13" x14ac:dyDescent="0.35">
      <c r="A1272" s="11" t="s">
        <v>760</v>
      </c>
      <c r="B1272" s="163" t="s">
        <v>792</v>
      </c>
      <c r="C1272" s="284"/>
      <c r="D1272" s="365"/>
      <c r="E1272" s="365"/>
      <c r="F1272" s="11"/>
      <c r="G1272" s="11"/>
      <c r="H1272" s="57" t="s">
        <v>214</v>
      </c>
      <c r="I1272" s="44"/>
      <c r="J1272" s="45"/>
      <c r="K1272" s="47"/>
      <c r="L1272" s="48"/>
      <c r="M1272" s="46"/>
      <c r="N1272" s="46"/>
      <c r="O1272" s="407"/>
      <c r="P1272" s="49">
        <f t="shared" si="38"/>
        <v>0</v>
      </c>
      <c r="Q1272" s="49">
        <f t="shared" si="39"/>
        <v>0</v>
      </c>
    </row>
    <row r="1273" spans="1:17" x14ac:dyDescent="0.35">
      <c r="A1273" s="11" t="s">
        <v>760</v>
      </c>
      <c r="B1273" s="163" t="s">
        <v>792</v>
      </c>
      <c r="C1273" s="284"/>
      <c r="D1273" s="365"/>
      <c r="E1273" s="365"/>
      <c r="F1273" s="11"/>
      <c r="G1273" s="11"/>
      <c r="H1273" s="62" t="s">
        <v>215</v>
      </c>
      <c r="I1273" s="44"/>
      <c r="J1273" s="45"/>
      <c r="K1273" s="47"/>
      <c r="L1273" s="48"/>
      <c r="M1273" s="46"/>
      <c r="N1273" s="46"/>
      <c r="O1273" s="407"/>
      <c r="P1273" s="49">
        <f t="shared" si="38"/>
        <v>0</v>
      </c>
      <c r="Q1273" s="49">
        <f t="shared" si="39"/>
        <v>0</v>
      </c>
    </row>
    <row r="1274" spans="1:17" ht="13" x14ac:dyDescent="0.35">
      <c r="A1274" s="11" t="s">
        <v>760</v>
      </c>
      <c r="B1274" s="163" t="s">
        <v>792</v>
      </c>
      <c r="C1274" s="284"/>
      <c r="D1274" s="365"/>
      <c r="E1274" s="365"/>
      <c r="F1274" s="11"/>
      <c r="G1274" s="11"/>
      <c r="H1274" s="57" t="s">
        <v>216</v>
      </c>
      <c r="I1274" s="44"/>
      <c r="J1274" s="45"/>
      <c r="K1274" s="47"/>
      <c r="L1274" s="48"/>
      <c r="M1274" s="46"/>
      <c r="N1274" s="46"/>
      <c r="O1274" s="407"/>
      <c r="P1274" s="49">
        <f t="shared" si="38"/>
        <v>0</v>
      </c>
      <c r="Q1274" s="49">
        <f t="shared" si="39"/>
        <v>0</v>
      </c>
    </row>
    <row r="1275" spans="1:17" ht="14.5" x14ac:dyDescent="0.35">
      <c r="A1275" s="11" t="s">
        <v>760</v>
      </c>
      <c r="B1275" s="163" t="s">
        <v>792</v>
      </c>
      <c r="C1275" s="284"/>
      <c r="D1275" s="365"/>
      <c r="E1275" s="365"/>
      <c r="F1275" s="11" t="s">
        <v>39</v>
      </c>
      <c r="G1275" s="11"/>
      <c r="H1275" s="60" t="s">
        <v>218</v>
      </c>
      <c r="I1275" s="44" t="s">
        <v>110</v>
      </c>
      <c r="J1275" s="45">
        <v>17</v>
      </c>
      <c r="K1275" s="47">
        <v>550</v>
      </c>
      <c r="L1275" s="48">
        <f>J1275*K1275</f>
        <v>9350</v>
      </c>
      <c r="M1275" s="46">
        <v>17</v>
      </c>
      <c r="N1275" s="46">
        <v>17</v>
      </c>
      <c r="O1275" s="407">
        <v>550</v>
      </c>
      <c r="P1275" s="49">
        <f t="shared" si="38"/>
        <v>9350</v>
      </c>
      <c r="Q1275" s="49">
        <f t="shared" si="39"/>
        <v>9350</v>
      </c>
    </row>
    <row r="1276" spans="1:17" x14ac:dyDescent="0.35">
      <c r="A1276" s="11" t="s">
        <v>760</v>
      </c>
      <c r="B1276" s="163" t="s">
        <v>792</v>
      </c>
      <c r="C1276" s="284"/>
      <c r="D1276" s="365"/>
      <c r="E1276" s="365"/>
      <c r="F1276" s="11" t="s">
        <v>42</v>
      </c>
      <c r="G1276" s="11"/>
      <c r="H1276" s="60" t="s">
        <v>219</v>
      </c>
      <c r="I1276" s="44" t="s">
        <v>186</v>
      </c>
      <c r="J1276" s="45">
        <v>7</v>
      </c>
      <c r="K1276" s="47">
        <v>300</v>
      </c>
      <c r="L1276" s="48">
        <f>J1276*K1276</f>
        <v>2100</v>
      </c>
      <c r="M1276" s="46">
        <v>7</v>
      </c>
      <c r="N1276" s="46">
        <v>7</v>
      </c>
      <c r="O1276" s="407">
        <v>300</v>
      </c>
      <c r="P1276" s="49">
        <f t="shared" si="38"/>
        <v>2100</v>
      </c>
      <c r="Q1276" s="49">
        <f t="shared" si="39"/>
        <v>2100</v>
      </c>
    </row>
    <row r="1277" spans="1:17" ht="13" x14ac:dyDescent="0.35">
      <c r="A1277" s="11" t="s">
        <v>760</v>
      </c>
      <c r="B1277" s="163" t="s">
        <v>792</v>
      </c>
      <c r="C1277" s="284"/>
      <c r="D1277" s="365"/>
      <c r="E1277" s="365"/>
      <c r="F1277" s="11"/>
      <c r="G1277" s="11"/>
      <c r="H1277" s="57" t="s">
        <v>220</v>
      </c>
      <c r="I1277" s="44"/>
      <c r="J1277" s="45"/>
      <c r="K1277" s="47"/>
      <c r="L1277" s="48"/>
      <c r="M1277" s="46"/>
      <c r="N1277" s="46"/>
      <c r="O1277" s="407"/>
      <c r="P1277" s="49">
        <f t="shared" si="38"/>
        <v>0</v>
      </c>
      <c r="Q1277" s="49">
        <f t="shared" si="39"/>
        <v>0</v>
      </c>
    </row>
    <row r="1278" spans="1:17" ht="13" x14ac:dyDescent="0.35">
      <c r="A1278" s="11" t="s">
        <v>760</v>
      </c>
      <c r="B1278" s="163" t="s">
        <v>792</v>
      </c>
      <c r="C1278" s="284"/>
      <c r="D1278" s="365"/>
      <c r="E1278" s="365"/>
      <c r="F1278" s="11"/>
      <c r="G1278" s="11"/>
      <c r="H1278" s="57" t="s">
        <v>221</v>
      </c>
      <c r="I1278" s="44"/>
      <c r="J1278" s="45"/>
      <c r="K1278" s="47"/>
      <c r="L1278" s="48"/>
      <c r="M1278" s="46"/>
      <c r="N1278" s="46"/>
      <c r="O1278" s="407"/>
      <c r="P1278" s="49">
        <f t="shared" si="38"/>
        <v>0</v>
      </c>
      <c r="Q1278" s="49">
        <f t="shared" si="39"/>
        <v>0</v>
      </c>
    </row>
    <row r="1279" spans="1:17" x14ac:dyDescent="0.35">
      <c r="A1279" s="11" t="s">
        <v>760</v>
      </c>
      <c r="B1279" s="163" t="s">
        <v>792</v>
      </c>
      <c r="C1279" s="284"/>
      <c r="D1279" s="365"/>
      <c r="E1279" s="365"/>
      <c r="F1279" s="11" t="s">
        <v>45</v>
      </c>
      <c r="G1279" s="11"/>
      <c r="H1279" s="60" t="s">
        <v>222</v>
      </c>
      <c r="I1279" s="44" t="s">
        <v>186</v>
      </c>
      <c r="J1279" s="45">
        <v>80</v>
      </c>
      <c r="K1279" s="47">
        <v>10</v>
      </c>
      <c r="L1279" s="48">
        <f>J1279*K1279</f>
        <v>800</v>
      </c>
      <c r="M1279" s="46">
        <v>80</v>
      </c>
      <c r="N1279" s="46">
        <v>80</v>
      </c>
      <c r="O1279" s="407">
        <v>10</v>
      </c>
      <c r="P1279" s="49">
        <f t="shared" si="38"/>
        <v>800</v>
      </c>
      <c r="Q1279" s="49">
        <f t="shared" si="39"/>
        <v>800</v>
      </c>
    </row>
    <row r="1280" spans="1:17" x14ac:dyDescent="0.35">
      <c r="A1280" s="11" t="s">
        <v>760</v>
      </c>
      <c r="B1280" s="163" t="s">
        <v>792</v>
      </c>
      <c r="C1280" s="284"/>
      <c r="D1280" s="365"/>
      <c r="E1280" s="365"/>
      <c r="F1280" s="11" t="s">
        <v>210</v>
      </c>
      <c r="G1280" s="11"/>
      <c r="H1280" s="60" t="s">
        <v>223</v>
      </c>
      <c r="I1280" s="44" t="s">
        <v>186</v>
      </c>
      <c r="J1280" s="45">
        <v>185</v>
      </c>
      <c r="K1280" s="47">
        <v>15</v>
      </c>
      <c r="L1280" s="48">
        <f>J1280*K1280</f>
        <v>2775</v>
      </c>
      <c r="M1280" s="46">
        <v>185</v>
      </c>
      <c r="N1280" s="46">
        <v>185</v>
      </c>
      <c r="O1280" s="407">
        <v>15</v>
      </c>
      <c r="P1280" s="49">
        <f t="shared" si="38"/>
        <v>2775</v>
      </c>
      <c r="Q1280" s="49">
        <f t="shared" si="39"/>
        <v>2775</v>
      </c>
    </row>
    <row r="1281" spans="1:17" ht="13" x14ac:dyDescent="0.35">
      <c r="A1281" s="11" t="s">
        <v>760</v>
      </c>
      <c r="B1281" s="163" t="s">
        <v>793</v>
      </c>
      <c r="C1281" s="375"/>
      <c r="D1281" s="380"/>
      <c r="E1281" s="380"/>
      <c r="F1281" s="11"/>
      <c r="G1281" s="11"/>
      <c r="H1281" s="262" t="s">
        <v>762</v>
      </c>
      <c r="I1281" s="44"/>
      <c r="J1281" s="45"/>
      <c r="K1281" s="47"/>
      <c r="L1281" s="48"/>
      <c r="M1281" s="46"/>
      <c r="N1281" s="46"/>
      <c r="O1281" s="407"/>
      <c r="P1281" s="49">
        <f t="shared" si="38"/>
        <v>0</v>
      </c>
      <c r="Q1281" s="49">
        <f t="shared" si="39"/>
        <v>0</v>
      </c>
    </row>
    <row r="1282" spans="1:17" ht="13" x14ac:dyDescent="0.35">
      <c r="A1282" s="11" t="s">
        <v>760</v>
      </c>
      <c r="B1282" s="163" t="s">
        <v>793</v>
      </c>
      <c r="C1282" s="375"/>
      <c r="D1282" s="380"/>
      <c r="E1282" s="380"/>
      <c r="F1282" s="11"/>
      <c r="G1282" s="11"/>
      <c r="H1282" s="262" t="s">
        <v>763</v>
      </c>
      <c r="I1282" s="44"/>
      <c r="J1282" s="45"/>
      <c r="K1282" s="47"/>
      <c r="L1282" s="48"/>
      <c r="M1282" s="46"/>
      <c r="N1282" s="46"/>
      <c r="O1282" s="407"/>
      <c r="P1282" s="49">
        <f t="shared" si="38"/>
        <v>0</v>
      </c>
      <c r="Q1282" s="49">
        <f t="shared" si="39"/>
        <v>0</v>
      </c>
    </row>
    <row r="1283" spans="1:17" ht="13" x14ac:dyDescent="0.35">
      <c r="A1283" s="11" t="s">
        <v>760</v>
      </c>
      <c r="B1283" s="163" t="s">
        <v>793</v>
      </c>
      <c r="C1283" s="375"/>
      <c r="D1283" s="380"/>
      <c r="E1283" s="380"/>
      <c r="F1283" s="11"/>
      <c r="G1283" s="11"/>
      <c r="H1283" s="43" t="s">
        <v>236</v>
      </c>
      <c r="I1283" s="44"/>
      <c r="J1283" s="45"/>
      <c r="K1283" s="47"/>
      <c r="L1283" s="48"/>
      <c r="M1283" s="46"/>
      <c r="N1283" s="46"/>
      <c r="O1283" s="407"/>
      <c r="P1283" s="49">
        <f t="shared" si="38"/>
        <v>0</v>
      </c>
      <c r="Q1283" s="49">
        <f t="shared" si="39"/>
        <v>0</v>
      </c>
    </row>
    <row r="1284" spans="1:17" ht="13" x14ac:dyDescent="0.35">
      <c r="A1284" s="11" t="s">
        <v>760</v>
      </c>
      <c r="B1284" s="163" t="s">
        <v>793</v>
      </c>
      <c r="C1284" s="375"/>
      <c r="D1284" s="380"/>
      <c r="E1284" s="380"/>
      <c r="F1284" s="11"/>
      <c r="G1284" s="11"/>
      <c r="H1284" s="43" t="s">
        <v>226</v>
      </c>
      <c r="I1284" s="44"/>
      <c r="J1284" s="45"/>
      <c r="K1284" s="47"/>
      <c r="L1284" s="48"/>
      <c r="M1284" s="46"/>
      <c r="N1284" s="46"/>
      <c r="O1284" s="407"/>
      <c r="P1284" s="49">
        <f t="shared" si="38"/>
        <v>0</v>
      </c>
      <c r="Q1284" s="49">
        <f t="shared" si="39"/>
        <v>0</v>
      </c>
    </row>
    <row r="1285" spans="1:17" ht="13" x14ac:dyDescent="0.35">
      <c r="A1285" s="11" t="s">
        <v>760</v>
      </c>
      <c r="B1285" s="163" t="s">
        <v>793</v>
      </c>
      <c r="C1285" s="284"/>
      <c r="D1285" s="365"/>
      <c r="E1285" s="365"/>
      <c r="F1285" s="11"/>
      <c r="G1285" s="11"/>
      <c r="H1285" s="57" t="s">
        <v>100</v>
      </c>
      <c r="I1285" s="44"/>
      <c r="J1285" s="45"/>
      <c r="K1285" s="47"/>
      <c r="L1285" s="48"/>
      <c r="M1285" s="46"/>
      <c r="N1285" s="46"/>
      <c r="O1285" s="407"/>
      <c r="P1285" s="49">
        <f t="shared" si="38"/>
        <v>0</v>
      </c>
      <c r="Q1285" s="49">
        <f t="shared" si="39"/>
        <v>0</v>
      </c>
    </row>
    <row r="1286" spans="1:17" x14ac:dyDescent="0.35">
      <c r="A1286" s="11" t="s">
        <v>760</v>
      </c>
      <c r="B1286" s="163" t="s">
        <v>793</v>
      </c>
      <c r="C1286" s="284"/>
      <c r="D1286" s="365"/>
      <c r="E1286" s="365"/>
      <c r="F1286" s="11"/>
      <c r="G1286" s="11"/>
      <c r="H1286" s="60" t="s">
        <v>101</v>
      </c>
      <c r="I1286" s="44"/>
      <c r="J1286" s="45"/>
      <c r="K1286" s="47"/>
      <c r="L1286" s="48"/>
      <c r="M1286" s="46"/>
      <c r="N1286" s="46"/>
      <c r="O1286" s="407"/>
      <c r="P1286" s="49">
        <f t="shared" si="38"/>
        <v>0</v>
      </c>
      <c r="Q1286" s="49">
        <f t="shared" si="39"/>
        <v>0</v>
      </c>
    </row>
    <row r="1287" spans="1:17" ht="13" x14ac:dyDescent="0.35">
      <c r="A1287" s="11" t="s">
        <v>760</v>
      </c>
      <c r="B1287" s="163" t="s">
        <v>793</v>
      </c>
      <c r="C1287" s="375"/>
      <c r="D1287" s="380"/>
      <c r="E1287" s="380"/>
      <c r="F1287" s="11"/>
      <c r="G1287" s="11"/>
      <c r="H1287" s="57" t="s">
        <v>102</v>
      </c>
      <c r="I1287" s="44"/>
      <c r="J1287" s="45"/>
      <c r="K1287" s="47"/>
      <c r="L1287" s="48"/>
      <c r="M1287" s="46"/>
      <c r="N1287" s="46"/>
      <c r="O1287" s="407"/>
      <c r="P1287" s="49">
        <f t="shared" si="38"/>
        <v>0</v>
      </c>
      <c r="Q1287" s="49">
        <f t="shared" si="39"/>
        <v>0</v>
      </c>
    </row>
    <row r="1288" spans="1:17" ht="62.5" x14ac:dyDescent="0.35">
      <c r="A1288" s="11" t="s">
        <v>760</v>
      </c>
      <c r="B1288" s="163" t="s">
        <v>793</v>
      </c>
      <c r="C1288" s="284"/>
      <c r="D1288" s="365"/>
      <c r="E1288" s="365"/>
      <c r="F1288" s="11"/>
      <c r="G1288" s="11"/>
      <c r="H1288" s="60" t="s">
        <v>227</v>
      </c>
      <c r="I1288" s="44"/>
      <c r="J1288" s="45"/>
      <c r="K1288" s="47"/>
      <c r="L1288" s="48"/>
      <c r="M1288" s="46"/>
      <c r="N1288" s="46"/>
      <c r="O1288" s="407"/>
      <c r="P1288" s="49">
        <f t="shared" si="38"/>
        <v>0</v>
      </c>
      <c r="Q1288" s="49">
        <f t="shared" si="39"/>
        <v>0</v>
      </c>
    </row>
    <row r="1289" spans="1:17" ht="25" x14ac:dyDescent="0.35">
      <c r="A1289" s="11" t="s">
        <v>760</v>
      </c>
      <c r="B1289" s="163" t="s">
        <v>793</v>
      </c>
      <c r="C1289" s="284"/>
      <c r="D1289" s="365"/>
      <c r="E1289" s="365"/>
      <c r="F1289" s="11"/>
      <c r="G1289" s="11"/>
      <c r="H1289" s="60" t="s">
        <v>228</v>
      </c>
      <c r="I1289" s="44"/>
      <c r="J1289" s="45"/>
      <c r="K1289" s="47"/>
      <c r="L1289" s="48"/>
      <c r="M1289" s="46"/>
      <c r="N1289" s="46"/>
      <c r="O1289" s="407"/>
      <c r="P1289" s="49">
        <f t="shared" si="38"/>
        <v>0</v>
      </c>
      <c r="Q1289" s="49">
        <f t="shared" si="39"/>
        <v>0</v>
      </c>
    </row>
    <row r="1290" spans="1:17" ht="13" x14ac:dyDescent="0.35">
      <c r="A1290" s="11" t="s">
        <v>760</v>
      </c>
      <c r="B1290" s="163" t="s">
        <v>793</v>
      </c>
      <c r="C1290" s="284"/>
      <c r="D1290" s="365"/>
      <c r="E1290" s="365"/>
      <c r="F1290" s="11"/>
      <c r="G1290" s="11"/>
      <c r="H1290" s="57" t="s">
        <v>229</v>
      </c>
      <c r="I1290" s="44"/>
      <c r="J1290" s="45"/>
      <c r="K1290" s="47"/>
      <c r="L1290" s="48"/>
      <c r="M1290" s="46"/>
      <c r="N1290" s="46"/>
      <c r="O1290" s="407"/>
      <c r="P1290" s="49">
        <f t="shared" ref="P1290:P1353" si="40">O1290*M1290</f>
        <v>0</v>
      </c>
      <c r="Q1290" s="49">
        <f t="shared" ref="Q1290:Q1353" si="41">O1290*N1290</f>
        <v>0</v>
      </c>
    </row>
    <row r="1291" spans="1:17" ht="26" x14ac:dyDescent="0.35">
      <c r="A1291" s="11" t="s">
        <v>760</v>
      </c>
      <c r="B1291" s="163" t="s">
        <v>793</v>
      </c>
      <c r="C1291" s="284"/>
      <c r="D1291" s="365"/>
      <c r="E1291" s="365"/>
      <c r="F1291" s="11"/>
      <c r="G1291" s="11"/>
      <c r="H1291" s="57" t="s">
        <v>230</v>
      </c>
      <c r="I1291" s="44"/>
      <c r="J1291" s="45"/>
      <c r="K1291" s="47"/>
      <c r="L1291" s="48"/>
      <c r="M1291" s="46"/>
      <c r="N1291" s="46"/>
      <c r="O1291" s="407"/>
      <c r="P1291" s="49">
        <f t="shared" si="40"/>
        <v>0</v>
      </c>
      <c r="Q1291" s="49">
        <f t="shared" si="41"/>
        <v>0</v>
      </c>
    </row>
    <row r="1292" spans="1:17" ht="14.5" x14ac:dyDescent="0.35">
      <c r="A1292" s="11" t="s">
        <v>760</v>
      </c>
      <c r="B1292" s="163" t="s">
        <v>793</v>
      </c>
      <c r="C1292" s="284"/>
      <c r="D1292" s="365"/>
      <c r="E1292" s="365"/>
      <c r="F1292" s="11" t="s">
        <v>20</v>
      </c>
      <c r="G1292" s="11"/>
      <c r="H1292" s="60" t="s">
        <v>231</v>
      </c>
      <c r="I1292" s="44" t="s">
        <v>110</v>
      </c>
      <c r="J1292" s="45">
        <v>15</v>
      </c>
      <c r="K1292" s="47">
        <v>65</v>
      </c>
      <c r="L1292" s="48">
        <f>J1292*K1292</f>
        <v>975</v>
      </c>
      <c r="M1292" s="46">
        <v>15</v>
      </c>
      <c r="N1292" s="46">
        <v>15</v>
      </c>
      <c r="O1292" s="407">
        <v>65</v>
      </c>
      <c r="P1292" s="49">
        <f t="shared" si="40"/>
        <v>975</v>
      </c>
      <c r="Q1292" s="49">
        <f t="shared" si="41"/>
        <v>975</v>
      </c>
    </row>
    <row r="1293" spans="1:17" ht="39" x14ac:dyDescent="0.35">
      <c r="A1293" s="11" t="s">
        <v>760</v>
      </c>
      <c r="B1293" s="163" t="s">
        <v>793</v>
      </c>
      <c r="C1293" s="284"/>
      <c r="D1293" s="365"/>
      <c r="E1293" s="365"/>
      <c r="F1293" s="11"/>
      <c r="G1293" s="11"/>
      <c r="H1293" s="57" t="s">
        <v>232</v>
      </c>
      <c r="I1293" s="44"/>
      <c r="J1293" s="45"/>
      <c r="K1293" s="47"/>
      <c r="L1293" s="48"/>
      <c r="M1293" s="46"/>
      <c r="N1293" s="46"/>
      <c r="O1293" s="407"/>
      <c r="P1293" s="49">
        <f t="shared" si="40"/>
        <v>0</v>
      </c>
      <c r="Q1293" s="49">
        <f t="shared" si="41"/>
        <v>0</v>
      </c>
    </row>
    <row r="1294" spans="1:17" ht="14.5" x14ac:dyDescent="0.35">
      <c r="A1294" s="11" t="s">
        <v>760</v>
      </c>
      <c r="B1294" s="163" t="s">
        <v>793</v>
      </c>
      <c r="C1294" s="284"/>
      <c r="D1294" s="365"/>
      <c r="E1294" s="365"/>
      <c r="F1294" s="11" t="s">
        <v>26</v>
      </c>
      <c r="G1294" s="11"/>
      <c r="H1294" s="60" t="s">
        <v>641</v>
      </c>
      <c r="I1294" s="44" t="s">
        <v>110</v>
      </c>
      <c r="J1294" s="45">
        <v>21</v>
      </c>
      <c r="K1294" s="47">
        <v>65</v>
      </c>
      <c r="L1294" s="48">
        <f>J1294*K1294</f>
        <v>1365</v>
      </c>
      <c r="M1294" s="46">
        <v>21</v>
      </c>
      <c r="N1294" s="46">
        <v>21</v>
      </c>
      <c r="O1294" s="407">
        <v>65</v>
      </c>
      <c r="P1294" s="49">
        <f t="shared" si="40"/>
        <v>1365</v>
      </c>
      <c r="Q1294" s="49">
        <f t="shared" si="41"/>
        <v>1365</v>
      </c>
    </row>
    <row r="1295" spans="1:17" ht="13" x14ac:dyDescent="0.35">
      <c r="A1295" s="11" t="s">
        <v>760</v>
      </c>
      <c r="B1295" s="163" t="s">
        <v>794</v>
      </c>
      <c r="C1295" s="284"/>
      <c r="D1295" s="365"/>
      <c r="E1295" s="365"/>
      <c r="F1295" s="11"/>
      <c r="G1295" s="11"/>
      <c r="H1295" s="262" t="s">
        <v>762</v>
      </c>
      <c r="I1295" s="44"/>
      <c r="J1295" s="45"/>
      <c r="K1295" s="47"/>
      <c r="L1295" s="48"/>
      <c r="M1295" s="46"/>
      <c r="N1295" s="46"/>
      <c r="O1295" s="407"/>
      <c r="P1295" s="49">
        <f t="shared" si="40"/>
        <v>0</v>
      </c>
      <c r="Q1295" s="49">
        <f t="shared" si="41"/>
        <v>0</v>
      </c>
    </row>
    <row r="1296" spans="1:17" ht="13" x14ac:dyDescent="0.35">
      <c r="A1296" s="11" t="s">
        <v>760</v>
      </c>
      <c r="B1296" s="163" t="s">
        <v>794</v>
      </c>
      <c r="C1296" s="284"/>
      <c r="D1296" s="365"/>
      <c r="E1296" s="365"/>
      <c r="F1296" s="11"/>
      <c r="G1296" s="11"/>
      <c r="H1296" s="262" t="s">
        <v>763</v>
      </c>
      <c r="I1296" s="44"/>
      <c r="J1296" s="45"/>
      <c r="K1296" s="47"/>
      <c r="L1296" s="48"/>
      <c r="M1296" s="46"/>
      <c r="N1296" s="46"/>
      <c r="O1296" s="407"/>
      <c r="P1296" s="49">
        <f t="shared" si="40"/>
        <v>0</v>
      </c>
      <c r="Q1296" s="49">
        <f t="shared" si="41"/>
        <v>0</v>
      </c>
    </row>
    <row r="1297" spans="1:17" ht="13" x14ac:dyDescent="0.35">
      <c r="A1297" s="11" t="s">
        <v>760</v>
      </c>
      <c r="B1297" s="163" t="s">
        <v>794</v>
      </c>
      <c r="C1297" s="284"/>
      <c r="D1297" s="365"/>
      <c r="E1297" s="365"/>
      <c r="F1297" s="11"/>
      <c r="G1297" s="11"/>
      <c r="H1297" s="43" t="s">
        <v>247</v>
      </c>
      <c r="I1297" s="44"/>
      <c r="J1297" s="45"/>
      <c r="K1297" s="47"/>
      <c r="L1297" s="48"/>
      <c r="M1297" s="46"/>
      <c r="N1297" s="46"/>
      <c r="O1297" s="407"/>
      <c r="P1297" s="49">
        <f t="shared" si="40"/>
        <v>0</v>
      </c>
      <c r="Q1297" s="49">
        <f t="shared" si="41"/>
        <v>0</v>
      </c>
    </row>
    <row r="1298" spans="1:17" ht="13" x14ac:dyDescent="0.35">
      <c r="A1298" s="11" t="s">
        <v>760</v>
      </c>
      <c r="B1298" s="163" t="s">
        <v>794</v>
      </c>
      <c r="C1298" s="284"/>
      <c r="D1298" s="365"/>
      <c r="E1298" s="365"/>
      <c r="F1298" s="11"/>
      <c r="G1298" s="11"/>
      <c r="H1298" s="43" t="s">
        <v>248</v>
      </c>
      <c r="I1298" s="44"/>
      <c r="J1298" s="45"/>
      <c r="K1298" s="47"/>
      <c r="L1298" s="48"/>
      <c r="M1298" s="46"/>
      <c r="N1298" s="46"/>
      <c r="O1298" s="407"/>
      <c r="P1298" s="49">
        <f t="shared" si="40"/>
        <v>0</v>
      </c>
      <c r="Q1298" s="49">
        <f t="shared" si="41"/>
        <v>0</v>
      </c>
    </row>
    <row r="1299" spans="1:17" ht="13" x14ac:dyDescent="0.35">
      <c r="A1299" s="11" t="s">
        <v>760</v>
      </c>
      <c r="B1299" s="163" t="s">
        <v>794</v>
      </c>
      <c r="C1299" s="284"/>
      <c r="D1299" s="365"/>
      <c r="E1299" s="365"/>
      <c r="F1299" s="11"/>
      <c r="G1299" s="11"/>
      <c r="H1299" s="57" t="s">
        <v>100</v>
      </c>
      <c r="I1299" s="44"/>
      <c r="J1299" s="45"/>
      <c r="K1299" s="47"/>
      <c r="L1299" s="48"/>
      <c r="M1299" s="46"/>
      <c r="N1299" s="46"/>
      <c r="O1299" s="407"/>
      <c r="P1299" s="49">
        <f t="shared" si="40"/>
        <v>0</v>
      </c>
      <c r="Q1299" s="49">
        <f t="shared" si="41"/>
        <v>0</v>
      </c>
    </row>
    <row r="1300" spans="1:17" x14ac:dyDescent="0.35">
      <c r="A1300" s="11" t="s">
        <v>760</v>
      </c>
      <c r="B1300" s="163" t="s">
        <v>794</v>
      </c>
      <c r="C1300" s="284"/>
      <c r="D1300" s="365"/>
      <c r="E1300" s="365"/>
      <c r="F1300" s="11"/>
      <c r="G1300" s="11"/>
      <c r="H1300" s="60" t="s">
        <v>101</v>
      </c>
      <c r="I1300" s="44"/>
      <c r="J1300" s="45"/>
      <c r="K1300" s="47"/>
      <c r="L1300" s="48"/>
      <c r="M1300" s="46"/>
      <c r="N1300" s="46"/>
      <c r="O1300" s="407"/>
      <c r="P1300" s="49">
        <f t="shared" si="40"/>
        <v>0</v>
      </c>
      <c r="Q1300" s="49">
        <f t="shared" si="41"/>
        <v>0</v>
      </c>
    </row>
    <row r="1301" spans="1:17" ht="13" x14ac:dyDescent="0.35">
      <c r="A1301" s="11" t="s">
        <v>760</v>
      </c>
      <c r="B1301" s="163" t="s">
        <v>794</v>
      </c>
      <c r="C1301" s="284"/>
      <c r="D1301" s="365"/>
      <c r="E1301" s="365"/>
      <c r="F1301" s="11"/>
      <c r="G1301" s="11"/>
      <c r="H1301" s="57" t="s">
        <v>102</v>
      </c>
      <c r="I1301" s="44"/>
      <c r="J1301" s="45"/>
      <c r="K1301" s="47"/>
      <c r="L1301" s="48"/>
      <c r="M1301" s="46"/>
      <c r="N1301" s="46"/>
      <c r="O1301" s="407"/>
      <c r="P1301" s="49">
        <f t="shared" si="40"/>
        <v>0</v>
      </c>
      <c r="Q1301" s="49">
        <f t="shared" si="41"/>
        <v>0</v>
      </c>
    </row>
    <row r="1302" spans="1:17" x14ac:dyDescent="0.35">
      <c r="A1302" s="11" t="s">
        <v>760</v>
      </c>
      <c r="B1302" s="163" t="s">
        <v>794</v>
      </c>
      <c r="C1302" s="284"/>
      <c r="D1302" s="365"/>
      <c r="E1302" s="365"/>
      <c r="F1302" s="11"/>
      <c r="G1302" s="11"/>
      <c r="H1302" s="62" t="s">
        <v>249</v>
      </c>
      <c r="I1302" s="44"/>
      <c r="J1302" s="45"/>
      <c r="K1302" s="47"/>
      <c r="L1302" s="48"/>
      <c r="M1302" s="46"/>
      <c r="N1302" s="46"/>
      <c r="O1302" s="407"/>
      <c r="P1302" s="49">
        <f t="shared" si="40"/>
        <v>0</v>
      </c>
      <c r="Q1302" s="49">
        <f t="shared" si="41"/>
        <v>0</v>
      </c>
    </row>
    <row r="1303" spans="1:17" ht="25" x14ac:dyDescent="0.35">
      <c r="A1303" s="11" t="s">
        <v>760</v>
      </c>
      <c r="B1303" s="163" t="s">
        <v>794</v>
      </c>
      <c r="C1303" s="284"/>
      <c r="D1303" s="365"/>
      <c r="E1303" s="365"/>
      <c r="F1303" s="11"/>
      <c r="G1303" s="11"/>
      <c r="H1303" s="60" t="s">
        <v>250</v>
      </c>
      <c r="I1303" s="44"/>
      <c r="J1303" s="45"/>
      <c r="K1303" s="47"/>
      <c r="L1303" s="48"/>
      <c r="M1303" s="46"/>
      <c r="N1303" s="46"/>
      <c r="O1303" s="407"/>
      <c r="P1303" s="49">
        <f t="shared" si="40"/>
        <v>0</v>
      </c>
      <c r="Q1303" s="49">
        <f t="shared" si="41"/>
        <v>0</v>
      </c>
    </row>
    <row r="1304" spans="1:17" ht="37.5" x14ac:dyDescent="0.35">
      <c r="A1304" s="11" t="s">
        <v>760</v>
      </c>
      <c r="B1304" s="163" t="s">
        <v>794</v>
      </c>
      <c r="C1304" s="284"/>
      <c r="D1304" s="365"/>
      <c r="E1304" s="365"/>
      <c r="F1304" s="11"/>
      <c r="G1304" s="11"/>
      <c r="H1304" s="60" t="s">
        <v>251</v>
      </c>
      <c r="I1304" s="44"/>
      <c r="J1304" s="45"/>
      <c r="K1304" s="47"/>
      <c r="L1304" s="48"/>
      <c r="M1304" s="46"/>
      <c r="N1304" s="46"/>
      <c r="O1304" s="407"/>
      <c r="P1304" s="49">
        <f t="shared" si="40"/>
        <v>0</v>
      </c>
      <c r="Q1304" s="49">
        <f t="shared" si="41"/>
        <v>0</v>
      </c>
    </row>
    <row r="1305" spans="1:17" x14ac:dyDescent="0.35">
      <c r="A1305" s="11" t="s">
        <v>760</v>
      </c>
      <c r="B1305" s="163" t="s">
        <v>794</v>
      </c>
      <c r="C1305" s="284"/>
      <c r="D1305" s="365"/>
      <c r="E1305" s="365"/>
      <c r="F1305" s="11"/>
      <c r="G1305" s="11"/>
      <c r="H1305" s="62" t="s">
        <v>252</v>
      </c>
      <c r="I1305" s="44"/>
      <c r="J1305" s="45"/>
      <c r="K1305" s="47"/>
      <c r="L1305" s="48"/>
      <c r="M1305" s="46"/>
      <c r="N1305" s="46"/>
      <c r="O1305" s="407"/>
      <c r="P1305" s="49">
        <f t="shared" si="40"/>
        <v>0</v>
      </c>
      <c r="Q1305" s="49">
        <f t="shared" si="41"/>
        <v>0</v>
      </c>
    </row>
    <row r="1306" spans="1:17" ht="25" x14ac:dyDescent="0.35">
      <c r="A1306" s="11" t="s">
        <v>760</v>
      </c>
      <c r="B1306" s="163" t="s">
        <v>794</v>
      </c>
      <c r="C1306" s="284"/>
      <c r="D1306" s="365"/>
      <c r="E1306" s="365"/>
      <c r="F1306" s="11"/>
      <c r="G1306" s="11"/>
      <c r="H1306" s="60" t="s">
        <v>253</v>
      </c>
      <c r="I1306" s="44"/>
      <c r="J1306" s="45"/>
      <c r="K1306" s="47"/>
      <c r="L1306" s="48"/>
      <c r="M1306" s="46"/>
      <c r="N1306" s="46"/>
      <c r="O1306" s="407"/>
      <c r="P1306" s="49">
        <f t="shared" si="40"/>
        <v>0</v>
      </c>
      <c r="Q1306" s="49">
        <f t="shared" si="41"/>
        <v>0</v>
      </c>
    </row>
    <row r="1307" spans="1:17" ht="25" x14ac:dyDescent="0.35">
      <c r="A1307" s="11" t="s">
        <v>760</v>
      </c>
      <c r="B1307" s="163" t="s">
        <v>794</v>
      </c>
      <c r="C1307" s="284"/>
      <c r="D1307" s="365"/>
      <c r="E1307" s="365"/>
      <c r="F1307" s="11"/>
      <c r="G1307" s="11"/>
      <c r="H1307" s="60" t="s">
        <v>254</v>
      </c>
      <c r="I1307" s="44"/>
      <c r="J1307" s="45"/>
      <c r="K1307" s="47"/>
      <c r="L1307" s="48"/>
      <c r="M1307" s="46"/>
      <c r="N1307" s="46"/>
      <c r="O1307" s="407"/>
      <c r="P1307" s="49">
        <f t="shared" si="40"/>
        <v>0</v>
      </c>
      <c r="Q1307" s="49">
        <f t="shared" si="41"/>
        <v>0</v>
      </c>
    </row>
    <row r="1308" spans="1:17" x14ac:dyDescent="0.35">
      <c r="A1308" s="11" t="s">
        <v>760</v>
      </c>
      <c r="B1308" s="163" t="s">
        <v>794</v>
      </c>
      <c r="C1308" s="284"/>
      <c r="D1308" s="365"/>
      <c r="E1308" s="365"/>
      <c r="F1308" s="11"/>
      <c r="G1308" s="11"/>
      <c r="H1308" s="62" t="s">
        <v>255</v>
      </c>
      <c r="I1308" s="44"/>
      <c r="J1308" s="45"/>
      <c r="K1308" s="47"/>
      <c r="L1308" s="48"/>
      <c r="M1308" s="46"/>
      <c r="N1308" s="46"/>
      <c r="O1308" s="407"/>
      <c r="P1308" s="49">
        <f t="shared" si="40"/>
        <v>0</v>
      </c>
      <c r="Q1308" s="49">
        <f t="shared" si="41"/>
        <v>0</v>
      </c>
    </row>
    <row r="1309" spans="1:17" ht="25" x14ac:dyDescent="0.35">
      <c r="A1309" s="11" t="s">
        <v>760</v>
      </c>
      <c r="B1309" s="163" t="s">
        <v>794</v>
      </c>
      <c r="C1309" s="284"/>
      <c r="D1309" s="365"/>
      <c r="E1309" s="365"/>
      <c r="F1309" s="11"/>
      <c r="G1309" s="11"/>
      <c r="H1309" s="60" t="s">
        <v>256</v>
      </c>
      <c r="I1309" s="44"/>
      <c r="J1309" s="45"/>
      <c r="K1309" s="47"/>
      <c r="L1309" s="48"/>
      <c r="M1309" s="46"/>
      <c r="N1309" s="46"/>
      <c r="O1309" s="407"/>
      <c r="P1309" s="49">
        <f t="shared" si="40"/>
        <v>0</v>
      </c>
      <c r="Q1309" s="49">
        <f t="shared" si="41"/>
        <v>0</v>
      </c>
    </row>
    <row r="1310" spans="1:17" ht="37.5" x14ac:dyDescent="0.35">
      <c r="A1310" s="11" t="s">
        <v>760</v>
      </c>
      <c r="B1310" s="163" t="s">
        <v>794</v>
      </c>
      <c r="C1310" s="284"/>
      <c r="D1310" s="365"/>
      <c r="E1310" s="365"/>
      <c r="F1310" s="11"/>
      <c r="G1310" s="11"/>
      <c r="H1310" s="60" t="s">
        <v>257</v>
      </c>
      <c r="I1310" s="44"/>
      <c r="J1310" s="45"/>
      <c r="K1310" s="47"/>
      <c r="L1310" s="48"/>
      <c r="M1310" s="46"/>
      <c r="N1310" s="46"/>
      <c r="O1310" s="407"/>
      <c r="P1310" s="49">
        <f t="shared" si="40"/>
        <v>0</v>
      </c>
      <c r="Q1310" s="49">
        <f t="shared" si="41"/>
        <v>0</v>
      </c>
    </row>
    <row r="1311" spans="1:17" ht="13" x14ac:dyDescent="0.35">
      <c r="A1311" s="11" t="s">
        <v>760</v>
      </c>
      <c r="B1311" s="163" t="s">
        <v>794</v>
      </c>
      <c r="C1311" s="284"/>
      <c r="D1311" s="365"/>
      <c r="E1311" s="365"/>
      <c r="F1311" s="11"/>
      <c r="G1311" s="11"/>
      <c r="H1311" s="57" t="s">
        <v>261</v>
      </c>
      <c r="I1311" s="44"/>
      <c r="J1311" s="45"/>
      <c r="K1311" s="47"/>
      <c r="L1311" s="48"/>
      <c r="M1311" s="46"/>
      <c r="N1311" s="46"/>
      <c r="O1311" s="407"/>
      <c r="P1311" s="49">
        <f t="shared" si="40"/>
        <v>0</v>
      </c>
      <c r="Q1311" s="49">
        <f t="shared" si="41"/>
        <v>0</v>
      </c>
    </row>
    <row r="1312" spans="1:17" ht="13" x14ac:dyDescent="0.35">
      <c r="A1312" s="11" t="s">
        <v>760</v>
      </c>
      <c r="B1312" s="163" t="s">
        <v>794</v>
      </c>
      <c r="C1312" s="284"/>
      <c r="D1312" s="365"/>
      <c r="E1312" s="365"/>
      <c r="F1312" s="11"/>
      <c r="G1312" s="11"/>
      <c r="H1312" s="57" t="s">
        <v>262</v>
      </c>
      <c r="I1312" s="44"/>
      <c r="J1312" s="58"/>
      <c r="K1312" s="47"/>
      <c r="L1312" s="48"/>
      <c r="M1312" s="59"/>
      <c r="N1312" s="59"/>
      <c r="O1312" s="407"/>
      <c r="P1312" s="49">
        <f t="shared" si="40"/>
        <v>0</v>
      </c>
      <c r="Q1312" s="49">
        <f t="shared" si="41"/>
        <v>0</v>
      </c>
    </row>
    <row r="1313" spans="1:17" ht="25" x14ac:dyDescent="0.35">
      <c r="A1313" s="11" t="s">
        <v>760</v>
      </c>
      <c r="B1313" s="163" t="s">
        <v>794</v>
      </c>
      <c r="C1313" s="284"/>
      <c r="D1313" s="365"/>
      <c r="E1313" s="365"/>
      <c r="F1313" s="11" t="s">
        <v>20</v>
      </c>
      <c r="G1313" s="11"/>
      <c r="H1313" s="277" t="s">
        <v>795</v>
      </c>
      <c r="I1313" s="44" t="s">
        <v>175</v>
      </c>
      <c r="J1313" s="58">
        <v>1</v>
      </c>
      <c r="K1313" s="47">
        <v>2300</v>
      </c>
      <c r="L1313" s="48">
        <f>J1313*K1313</f>
        <v>2300</v>
      </c>
      <c r="M1313" s="59">
        <v>1</v>
      </c>
      <c r="N1313" s="59">
        <v>1</v>
      </c>
      <c r="O1313" s="407">
        <v>2300</v>
      </c>
      <c r="P1313" s="49">
        <f t="shared" si="40"/>
        <v>2300</v>
      </c>
      <c r="Q1313" s="49">
        <f t="shared" si="41"/>
        <v>2300</v>
      </c>
    </row>
    <row r="1314" spans="1:17" ht="25" x14ac:dyDescent="0.35">
      <c r="A1314" s="11" t="s">
        <v>760</v>
      </c>
      <c r="B1314" s="163" t="s">
        <v>794</v>
      </c>
      <c r="C1314" s="284"/>
      <c r="D1314" s="365"/>
      <c r="E1314" s="365"/>
      <c r="F1314" s="11" t="s">
        <v>26</v>
      </c>
      <c r="G1314" s="11"/>
      <c r="H1314" s="60" t="s">
        <v>796</v>
      </c>
      <c r="I1314" s="44" t="s">
        <v>175</v>
      </c>
      <c r="J1314" s="58">
        <v>4</v>
      </c>
      <c r="K1314" s="47">
        <v>2300</v>
      </c>
      <c r="L1314" s="48">
        <f>J1314*K1314</f>
        <v>9200</v>
      </c>
      <c r="M1314" s="59">
        <v>4</v>
      </c>
      <c r="N1314" s="59">
        <v>4</v>
      </c>
      <c r="O1314" s="407">
        <v>2300</v>
      </c>
      <c r="P1314" s="49">
        <f t="shared" si="40"/>
        <v>9200</v>
      </c>
      <c r="Q1314" s="49">
        <f t="shared" si="41"/>
        <v>9200</v>
      </c>
    </row>
    <row r="1315" spans="1:17" ht="25" x14ac:dyDescent="0.35">
      <c r="A1315" s="11" t="s">
        <v>760</v>
      </c>
      <c r="B1315" s="163" t="s">
        <v>794</v>
      </c>
      <c r="C1315" s="284"/>
      <c r="D1315" s="365"/>
      <c r="E1315" s="365"/>
      <c r="F1315" s="11" t="s">
        <v>29</v>
      </c>
      <c r="G1315" s="11"/>
      <c r="H1315" s="60" t="s">
        <v>797</v>
      </c>
      <c r="I1315" s="44" t="s">
        <v>175</v>
      </c>
      <c r="J1315" s="58">
        <v>1</v>
      </c>
      <c r="K1315" s="47">
        <v>2300</v>
      </c>
      <c r="L1315" s="48">
        <f>J1315*K1315</f>
        <v>2300</v>
      </c>
      <c r="M1315" s="59">
        <v>1</v>
      </c>
      <c r="N1315" s="59">
        <v>1</v>
      </c>
      <c r="O1315" s="407">
        <v>2300</v>
      </c>
      <c r="P1315" s="49">
        <f t="shared" si="40"/>
        <v>2300</v>
      </c>
      <c r="Q1315" s="49">
        <f t="shared" si="41"/>
        <v>2300</v>
      </c>
    </row>
    <row r="1316" spans="1:17" ht="13" x14ac:dyDescent="0.35">
      <c r="A1316" s="11" t="s">
        <v>760</v>
      </c>
      <c r="B1316" s="163" t="s">
        <v>794</v>
      </c>
      <c r="C1316" s="284"/>
      <c r="D1316" s="365"/>
      <c r="E1316" s="365"/>
      <c r="F1316" s="11"/>
      <c r="G1316" s="11"/>
      <c r="H1316" s="57" t="s">
        <v>265</v>
      </c>
      <c r="I1316" s="44"/>
      <c r="J1316" s="58"/>
      <c r="K1316" s="47"/>
      <c r="L1316" s="48"/>
      <c r="M1316" s="59"/>
      <c r="N1316" s="59"/>
      <c r="O1316" s="407"/>
      <c r="P1316" s="49">
        <f t="shared" si="40"/>
        <v>0</v>
      </c>
      <c r="Q1316" s="49">
        <f t="shared" si="41"/>
        <v>0</v>
      </c>
    </row>
    <row r="1317" spans="1:17" ht="13" x14ac:dyDescent="0.35">
      <c r="A1317" s="11" t="s">
        <v>760</v>
      </c>
      <c r="B1317" s="163" t="s">
        <v>794</v>
      </c>
      <c r="C1317" s="284"/>
      <c r="D1317" s="365"/>
      <c r="E1317" s="365"/>
      <c r="F1317" s="11"/>
      <c r="G1317" s="11"/>
      <c r="H1317" s="57" t="s">
        <v>266</v>
      </c>
      <c r="I1317" s="44"/>
      <c r="J1317" s="58"/>
      <c r="K1317" s="47"/>
      <c r="L1317" s="48"/>
      <c r="M1317" s="59"/>
      <c r="N1317" s="59"/>
      <c r="O1317" s="407"/>
      <c r="P1317" s="49">
        <f t="shared" si="40"/>
        <v>0</v>
      </c>
      <c r="Q1317" s="49">
        <f t="shared" si="41"/>
        <v>0</v>
      </c>
    </row>
    <row r="1318" spans="1:17" ht="75" x14ac:dyDescent="0.35">
      <c r="A1318" s="11" t="s">
        <v>760</v>
      </c>
      <c r="B1318" s="163" t="s">
        <v>794</v>
      </c>
      <c r="C1318" s="284"/>
      <c r="D1318" s="365"/>
      <c r="E1318" s="365"/>
      <c r="F1318" s="11" t="s">
        <v>32</v>
      </c>
      <c r="G1318" s="11"/>
      <c r="H1318" s="60" t="s">
        <v>267</v>
      </c>
      <c r="I1318" s="44" t="s">
        <v>186</v>
      </c>
      <c r="J1318" s="58">
        <v>73</v>
      </c>
      <c r="K1318" s="47">
        <v>75</v>
      </c>
      <c r="L1318" s="48">
        <f>J1318*K1318</f>
        <v>5475</v>
      </c>
      <c r="M1318" s="59">
        <v>73</v>
      </c>
      <c r="N1318" s="59">
        <v>73</v>
      </c>
      <c r="O1318" s="407">
        <v>75</v>
      </c>
      <c r="P1318" s="49">
        <f t="shared" si="40"/>
        <v>5475</v>
      </c>
      <c r="Q1318" s="49">
        <f t="shared" si="41"/>
        <v>5475</v>
      </c>
    </row>
    <row r="1319" spans="1:17" ht="13" x14ac:dyDescent="0.35">
      <c r="A1319" s="11" t="s">
        <v>760</v>
      </c>
      <c r="B1319" s="10" t="s">
        <v>277</v>
      </c>
      <c r="C1319" s="284"/>
      <c r="D1319" s="365"/>
      <c r="E1319" s="365"/>
      <c r="F1319" s="11"/>
      <c r="G1319" s="11"/>
      <c r="H1319" s="262" t="s">
        <v>762</v>
      </c>
      <c r="I1319" s="44"/>
      <c r="J1319" s="45"/>
      <c r="K1319" s="47"/>
      <c r="L1319" s="48"/>
      <c r="M1319" s="46"/>
      <c r="N1319" s="46"/>
      <c r="O1319" s="407"/>
      <c r="P1319" s="49">
        <f t="shared" si="40"/>
        <v>0</v>
      </c>
      <c r="Q1319" s="49">
        <f t="shared" si="41"/>
        <v>0</v>
      </c>
    </row>
    <row r="1320" spans="1:17" ht="13" x14ac:dyDescent="0.35">
      <c r="A1320" s="11" t="s">
        <v>760</v>
      </c>
      <c r="B1320" s="10" t="s">
        <v>277</v>
      </c>
      <c r="C1320" s="284"/>
      <c r="D1320" s="365"/>
      <c r="E1320" s="365"/>
      <c r="F1320" s="11"/>
      <c r="G1320" s="11"/>
      <c r="H1320" s="262" t="s">
        <v>763</v>
      </c>
      <c r="I1320" s="44"/>
      <c r="J1320" s="45"/>
      <c r="K1320" s="47"/>
      <c r="L1320" s="48"/>
      <c r="M1320" s="46"/>
      <c r="N1320" s="46"/>
      <c r="O1320" s="407"/>
      <c r="P1320" s="49">
        <f t="shared" si="40"/>
        <v>0</v>
      </c>
      <c r="Q1320" s="49">
        <f t="shared" si="41"/>
        <v>0</v>
      </c>
    </row>
    <row r="1321" spans="1:17" ht="13" x14ac:dyDescent="0.35">
      <c r="A1321" s="11" t="s">
        <v>760</v>
      </c>
      <c r="B1321" s="10" t="s">
        <v>277</v>
      </c>
      <c r="C1321" s="284"/>
      <c r="D1321" s="365"/>
      <c r="E1321" s="365"/>
      <c r="F1321" s="11"/>
      <c r="G1321" s="11"/>
      <c r="H1321" s="43" t="s">
        <v>278</v>
      </c>
      <c r="I1321" s="44"/>
      <c r="J1321" s="45"/>
      <c r="K1321" s="47"/>
      <c r="L1321" s="48"/>
      <c r="M1321" s="46"/>
      <c r="N1321" s="46"/>
      <c r="O1321" s="407"/>
      <c r="P1321" s="49">
        <f t="shared" si="40"/>
        <v>0</v>
      </c>
      <c r="Q1321" s="49">
        <f t="shared" si="41"/>
        <v>0</v>
      </c>
    </row>
    <row r="1322" spans="1:17" ht="13" x14ac:dyDescent="0.35">
      <c r="A1322" s="11" t="s">
        <v>760</v>
      </c>
      <c r="B1322" s="10" t="s">
        <v>277</v>
      </c>
      <c r="C1322" s="284"/>
      <c r="D1322" s="365"/>
      <c r="E1322" s="365"/>
      <c r="F1322" s="11"/>
      <c r="G1322" s="11"/>
      <c r="H1322" s="43" t="s">
        <v>279</v>
      </c>
      <c r="I1322" s="44"/>
      <c r="J1322" s="45"/>
      <c r="K1322" s="47"/>
      <c r="L1322" s="48"/>
      <c r="M1322" s="46"/>
      <c r="N1322" s="46"/>
      <c r="O1322" s="407"/>
      <c r="P1322" s="49">
        <f t="shared" si="40"/>
        <v>0</v>
      </c>
      <c r="Q1322" s="49">
        <f t="shared" si="41"/>
        <v>0</v>
      </c>
    </row>
    <row r="1323" spans="1:17" ht="13" x14ac:dyDescent="0.35">
      <c r="A1323" s="11" t="s">
        <v>760</v>
      </c>
      <c r="B1323" s="10" t="s">
        <v>277</v>
      </c>
      <c r="C1323" s="284"/>
      <c r="D1323" s="365"/>
      <c r="E1323" s="365"/>
      <c r="F1323" s="11"/>
      <c r="G1323" s="11"/>
      <c r="H1323" s="57" t="s">
        <v>100</v>
      </c>
      <c r="I1323" s="44"/>
      <c r="J1323" s="45"/>
      <c r="K1323" s="47"/>
      <c r="L1323" s="48"/>
      <c r="M1323" s="46"/>
      <c r="N1323" s="46"/>
      <c r="O1323" s="407"/>
      <c r="P1323" s="49">
        <f t="shared" si="40"/>
        <v>0</v>
      </c>
      <c r="Q1323" s="49">
        <f t="shared" si="41"/>
        <v>0</v>
      </c>
    </row>
    <row r="1324" spans="1:17" x14ac:dyDescent="0.35">
      <c r="A1324" s="11" t="s">
        <v>760</v>
      </c>
      <c r="B1324" s="10" t="s">
        <v>277</v>
      </c>
      <c r="C1324" s="284"/>
      <c r="D1324" s="365"/>
      <c r="E1324" s="365"/>
      <c r="F1324" s="11"/>
      <c r="G1324" s="11"/>
      <c r="H1324" s="60" t="s">
        <v>101</v>
      </c>
      <c r="I1324" s="44"/>
      <c r="J1324" s="45"/>
      <c r="K1324" s="47"/>
      <c r="L1324" s="48"/>
      <c r="M1324" s="46"/>
      <c r="N1324" s="46"/>
      <c r="O1324" s="407"/>
      <c r="P1324" s="49">
        <f t="shared" si="40"/>
        <v>0</v>
      </c>
      <c r="Q1324" s="49">
        <f t="shared" si="41"/>
        <v>0</v>
      </c>
    </row>
    <row r="1325" spans="1:17" ht="13" x14ac:dyDescent="0.35">
      <c r="A1325" s="11" t="s">
        <v>760</v>
      </c>
      <c r="B1325" s="10" t="s">
        <v>277</v>
      </c>
      <c r="C1325" s="284"/>
      <c r="D1325" s="365"/>
      <c r="E1325" s="365"/>
      <c r="F1325" s="11"/>
      <c r="G1325" s="11"/>
      <c r="H1325" s="57" t="s">
        <v>102</v>
      </c>
      <c r="I1325" s="44"/>
      <c r="J1325" s="45"/>
      <c r="K1325" s="47"/>
      <c r="L1325" s="48"/>
      <c r="M1325" s="46"/>
      <c r="N1325" s="46"/>
      <c r="O1325" s="407"/>
      <c r="P1325" s="49">
        <f t="shared" si="40"/>
        <v>0</v>
      </c>
      <c r="Q1325" s="49">
        <f t="shared" si="41"/>
        <v>0</v>
      </c>
    </row>
    <row r="1326" spans="1:17" x14ac:dyDescent="0.35">
      <c r="A1326" s="11" t="s">
        <v>760</v>
      </c>
      <c r="B1326" s="10" t="s">
        <v>277</v>
      </c>
      <c r="C1326" s="284"/>
      <c r="D1326" s="365"/>
      <c r="E1326" s="365"/>
      <c r="F1326" s="11"/>
      <c r="G1326" s="11"/>
      <c r="H1326" s="62" t="s">
        <v>280</v>
      </c>
      <c r="I1326" s="44"/>
      <c r="J1326" s="45"/>
      <c r="K1326" s="47"/>
      <c r="L1326" s="48"/>
      <c r="M1326" s="46"/>
      <c r="N1326" s="46"/>
      <c r="O1326" s="407"/>
      <c r="P1326" s="49">
        <f t="shared" si="40"/>
        <v>0</v>
      </c>
      <c r="Q1326" s="49">
        <f t="shared" si="41"/>
        <v>0</v>
      </c>
    </row>
    <row r="1327" spans="1:17" ht="25" x14ac:dyDescent="0.35">
      <c r="A1327" s="11" t="s">
        <v>760</v>
      </c>
      <c r="B1327" s="10" t="s">
        <v>277</v>
      </c>
      <c r="C1327" s="284"/>
      <c r="D1327" s="365"/>
      <c r="E1327" s="365"/>
      <c r="F1327" s="11"/>
      <c r="G1327" s="11"/>
      <c r="H1327" s="60" t="s">
        <v>281</v>
      </c>
      <c r="I1327" s="44"/>
      <c r="J1327" s="45"/>
      <c r="K1327" s="47"/>
      <c r="L1327" s="48"/>
      <c r="M1327" s="46"/>
      <c r="N1327" s="46"/>
      <c r="O1327" s="407"/>
      <c r="P1327" s="49">
        <f t="shared" si="40"/>
        <v>0</v>
      </c>
      <c r="Q1327" s="49">
        <f t="shared" si="41"/>
        <v>0</v>
      </c>
    </row>
    <row r="1328" spans="1:17" ht="37.5" x14ac:dyDescent="0.35">
      <c r="A1328" s="11" t="s">
        <v>760</v>
      </c>
      <c r="B1328" s="10" t="s">
        <v>277</v>
      </c>
      <c r="C1328" s="284"/>
      <c r="D1328" s="365"/>
      <c r="E1328" s="365"/>
      <c r="F1328" s="11"/>
      <c r="G1328" s="11"/>
      <c r="H1328" s="60" t="s">
        <v>282</v>
      </c>
      <c r="I1328" s="44"/>
      <c r="J1328" s="45"/>
      <c r="K1328" s="47"/>
      <c r="L1328" s="48"/>
      <c r="M1328" s="46"/>
      <c r="N1328" s="46"/>
      <c r="O1328" s="407"/>
      <c r="P1328" s="49">
        <f t="shared" si="40"/>
        <v>0</v>
      </c>
      <c r="Q1328" s="49">
        <f t="shared" si="41"/>
        <v>0</v>
      </c>
    </row>
    <row r="1329" spans="1:17" x14ac:dyDescent="0.35">
      <c r="A1329" s="11" t="s">
        <v>760</v>
      </c>
      <c r="B1329" s="10" t="s">
        <v>277</v>
      </c>
      <c r="C1329" s="284"/>
      <c r="D1329" s="365"/>
      <c r="E1329" s="365"/>
      <c r="F1329" s="11"/>
      <c r="G1329" s="11"/>
      <c r="H1329" s="62" t="s">
        <v>283</v>
      </c>
      <c r="I1329" s="44"/>
      <c r="J1329" s="45"/>
      <c r="K1329" s="47"/>
      <c r="L1329" s="48"/>
      <c r="M1329" s="46"/>
      <c r="N1329" s="46"/>
      <c r="O1329" s="407"/>
      <c r="P1329" s="49">
        <f t="shared" si="40"/>
        <v>0</v>
      </c>
      <c r="Q1329" s="49">
        <f t="shared" si="41"/>
        <v>0</v>
      </c>
    </row>
    <row r="1330" spans="1:17" x14ac:dyDescent="0.35">
      <c r="A1330" s="11" t="s">
        <v>760</v>
      </c>
      <c r="B1330" s="10" t="s">
        <v>277</v>
      </c>
      <c r="C1330" s="284"/>
      <c r="D1330" s="365"/>
      <c r="E1330" s="365"/>
      <c r="F1330" s="11"/>
      <c r="G1330" s="11"/>
      <c r="H1330" s="60" t="s">
        <v>284</v>
      </c>
      <c r="I1330" s="44"/>
      <c r="J1330" s="45"/>
      <c r="K1330" s="47"/>
      <c r="L1330" s="48"/>
      <c r="M1330" s="46"/>
      <c r="N1330" s="46"/>
      <c r="O1330" s="407"/>
      <c r="P1330" s="49">
        <f t="shared" si="40"/>
        <v>0</v>
      </c>
      <c r="Q1330" s="49">
        <f t="shared" si="41"/>
        <v>0</v>
      </c>
    </row>
    <row r="1331" spans="1:17" ht="62.5" x14ac:dyDescent="0.35">
      <c r="A1331" s="11" t="s">
        <v>760</v>
      </c>
      <c r="B1331" s="10" t="s">
        <v>277</v>
      </c>
      <c r="C1331" s="284"/>
      <c r="D1331" s="365"/>
      <c r="E1331" s="365"/>
      <c r="F1331" s="11"/>
      <c r="G1331" s="11"/>
      <c r="H1331" s="60" t="s">
        <v>285</v>
      </c>
      <c r="I1331" s="44"/>
      <c r="J1331" s="45"/>
      <c r="K1331" s="47"/>
      <c r="L1331" s="48"/>
      <c r="M1331" s="46"/>
      <c r="N1331" s="46"/>
      <c r="O1331" s="407"/>
      <c r="P1331" s="49">
        <f t="shared" si="40"/>
        <v>0</v>
      </c>
      <c r="Q1331" s="49">
        <f t="shared" si="41"/>
        <v>0</v>
      </c>
    </row>
    <row r="1332" spans="1:17" x14ac:dyDescent="0.35">
      <c r="A1332" s="11" t="s">
        <v>760</v>
      </c>
      <c r="B1332" s="10" t="s">
        <v>277</v>
      </c>
      <c r="C1332" s="284"/>
      <c r="D1332" s="365"/>
      <c r="E1332" s="365"/>
      <c r="F1332" s="11"/>
      <c r="G1332" s="11"/>
      <c r="H1332" s="62" t="s">
        <v>286</v>
      </c>
      <c r="I1332" s="44"/>
      <c r="J1332" s="45"/>
      <c r="K1332" s="47"/>
      <c r="L1332" s="48"/>
      <c r="M1332" s="46"/>
      <c r="N1332" s="46"/>
      <c r="O1332" s="407"/>
      <c r="P1332" s="49">
        <f t="shared" si="40"/>
        <v>0</v>
      </c>
      <c r="Q1332" s="49">
        <f t="shared" si="41"/>
        <v>0</v>
      </c>
    </row>
    <row r="1333" spans="1:17" ht="25" x14ac:dyDescent="0.35">
      <c r="A1333" s="11" t="s">
        <v>760</v>
      </c>
      <c r="B1333" s="10" t="s">
        <v>277</v>
      </c>
      <c r="C1333" s="284"/>
      <c r="D1333" s="365"/>
      <c r="E1333" s="365"/>
      <c r="F1333" s="11"/>
      <c r="G1333" s="11"/>
      <c r="H1333" s="60" t="s">
        <v>287</v>
      </c>
      <c r="I1333" s="44"/>
      <c r="J1333" s="45"/>
      <c r="K1333" s="47"/>
      <c r="L1333" s="48"/>
      <c r="M1333" s="46"/>
      <c r="N1333" s="46"/>
      <c r="O1333" s="407"/>
      <c r="P1333" s="49">
        <f t="shared" si="40"/>
        <v>0</v>
      </c>
      <c r="Q1333" s="49">
        <f t="shared" si="41"/>
        <v>0</v>
      </c>
    </row>
    <row r="1334" spans="1:17" ht="13" x14ac:dyDescent="0.35">
      <c r="A1334" s="11" t="s">
        <v>760</v>
      </c>
      <c r="B1334" s="10" t="s">
        <v>277</v>
      </c>
      <c r="C1334" s="284"/>
      <c r="D1334" s="365"/>
      <c r="E1334" s="365"/>
      <c r="F1334" s="11"/>
      <c r="G1334" s="11"/>
      <c r="H1334" s="57" t="s">
        <v>288</v>
      </c>
      <c r="I1334" s="44"/>
      <c r="J1334" s="45"/>
      <c r="K1334" s="47"/>
      <c r="L1334" s="48"/>
      <c r="M1334" s="46"/>
      <c r="N1334" s="46"/>
      <c r="O1334" s="407"/>
      <c r="P1334" s="49">
        <f t="shared" si="40"/>
        <v>0</v>
      </c>
      <c r="Q1334" s="49">
        <f t="shared" si="41"/>
        <v>0</v>
      </c>
    </row>
    <row r="1335" spans="1:17" ht="13" x14ac:dyDescent="0.35">
      <c r="A1335" s="11" t="s">
        <v>760</v>
      </c>
      <c r="B1335" s="10" t="s">
        <v>277</v>
      </c>
      <c r="C1335" s="284"/>
      <c r="D1335" s="366"/>
      <c r="E1335" s="366"/>
      <c r="F1335" s="50"/>
      <c r="G1335" s="50"/>
      <c r="H1335" s="43" t="s">
        <v>289</v>
      </c>
      <c r="I1335" s="51"/>
      <c r="J1335" s="278"/>
      <c r="K1335" s="54"/>
      <c r="L1335" s="55"/>
      <c r="M1335" s="279"/>
      <c r="N1335" s="279"/>
      <c r="O1335" s="408"/>
      <c r="P1335" s="56">
        <f t="shared" si="40"/>
        <v>0</v>
      </c>
      <c r="Q1335" s="56">
        <f t="shared" si="41"/>
        <v>0</v>
      </c>
    </row>
    <row r="1336" spans="1:17" ht="14.5" x14ac:dyDescent="0.35">
      <c r="A1336" s="11" t="s">
        <v>760</v>
      </c>
      <c r="B1336" s="10" t="s">
        <v>277</v>
      </c>
      <c r="C1336" s="284"/>
      <c r="D1336" s="365"/>
      <c r="E1336" s="365"/>
      <c r="F1336" s="11" t="s">
        <v>20</v>
      </c>
      <c r="G1336" s="11"/>
      <c r="H1336" s="60" t="s">
        <v>290</v>
      </c>
      <c r="I1336" s="44" t="s">
        <v>110</v>
      </c>
      <c r="J1336" s="45">
        <v>62</v>
      </c>
      <c r="K1336" s="47">
        <v>185</v>
      </c>
      <c r="L1336" s="48">
        <f>J1336*K1336</f>
        <v>11470</v>
      </c>
      <c r="M1336" s="46">
        <v>62</v>
      </c>
      <c r="N1336" s="46">
        <v>62</v>
      </c>
      <c r="O1336" s="407">
        <v>185</v>
      </c>
      <c r="P1336" s="49">
        <f t="shared" si="40"/>
        <v>11470</v>
      </c>
      <c r="Q1336" s="49">
        <f t="shared" si="41"/>
        <v>11470</v>
      </c>
    </row>
    <row r="1337" spans="1:17" x14ac:dyDescent="0.35">
      <c r="A1337" s="11" t="s">
        <v>760</v>
      </c>
      <c r="B1337" s="10" t="s">
        <v>277</v>
      </c>
      <c r="C1337" s="284"/>
      <c r="D1337" s="365"/>
      <c r="E1337" s="365"/>
      <c r="F1337" s="11" t="s">
        <v>26</v>
      </c>
      <c r="G1337" s="11"/>
      <c r="H1337" s="60" t="s">
        <v>291</v>
      </c>
      <c r="I1337" s="44" t="s">
        <v>175</v>
      </c>
      <c r="J1337" s="45">
        <v>3</v>
      </c>
      <c r="K1337" s="47">
        <v>500</v>
      </c>
      <c r="L1337" s="48">
        <f>J1337*K1337</f>
        <v>1500</v>
      </c>
      <c r="M1337" s="46">
        <v>3</v>
      </c>
      <c r="N1337" s="46">
        <v>3</v>
      </c>
      <c r="O1337" s="407">
        <v>500</v>
      </c>
      <c r="P1337" s="49">
        <f t="shared" si="40"/>
        <v>1500</v>
      </c>
      <c r="Q1337" s="49">
        <f t="shared" si="41"/>
        <v>1500</v>
      </c>
    </row>
    <row r="1338" spans="1:17" ht="13" x14ac:dyDescent="0.35">
      <c r="A1338" s="11" t="s">
        <v>760</v>
      </c>
      <c r="B1338" s="10" t="s">
        <v>277</v>
      </c>
      <c r="C1338" s="284"/>
      <c r="D1338" s="365"/>
      <c r="E1338" s="365"/>
      <c r="F1338" s="89"/>
      <c r="G1338" s="89"/>
      <c r="H1338" s="90" t="s">
        <v>292</v>
      </c>
      <c r="I1338" s="91"/>
      <c r="J1338" s="92"/>
      <c r="K1338" s="94"/>
      <c r="L1338" s="95"/>
      <c r="M1338" s="93"/>
      <c r="N1338" s="93"/>
      <c r="O1338" s="411"/>
      <c r="P1338" s="96">
        <f t="shared" si="40"/>
        <v>0</v>
      </c>
      <c r="Q1338" s="96">
        <f t="shared" si="41"/>
        <v>0</v>
      </c>
    </row>
    <row r="1339" spans="1:17" x14ac:dyDescent="0.35">
      <c r="A1339" s="11" t="s">
        <v>760</v>
      </c>
      <c r="B1339" s="10" t="s">
        <v>277</v>
      </c>
      <c r="C1339" s="284"/>
      <c r="D1339" s="365"/>
      <c r="E1339" s="365"/>
      <c r="F1339" s="89" t="s">
        <v>29</v>
      </c>
      <c r="G1339" s="89"/>
      <c r="H1339" s="108" t="s">
        <v>293</v>
      </c>
      <c r="I1339" s="91" t="s">
        <v>186</v>
      </c>
      <c r="J1339" s="92">
        <v>71</v>
      </c>
      <c r="K1339" s="94">
        <v>85</v>
      </c>
      <c r="L1339" s="95">
        <f>J1339*K1339</f>
        <v>6035</v>
      </c>
      <c r="M1339" s="93">
        <v>71</v>
      </c>
      <c r="N1339" s="93">
        <v>71</v>
      </c>
      <c r="O1339" s="411">
        <v>85</v>
      </c>
      <c r="P1339" s="96">
        <f t="shared" si="40"/>
        <v>6035</v>
      </c>
      <c r="Q1339" s="96">
        <f t="shared" si="41"/>
        <v>6035</v>
      </c>
    </row>
    <row r="1340" spans="1:17" ht="13" x14ac:dyDescent="0.35">
      <c r="A1340" s="11" t="s">
        <v>760</v>
      </c>
      <c r="B1340" s="10" t="s">
        <v>277</v>
      </c>
      <c r="C1340" s="284"/>
      <c r="D1340" s="365"/>
      <c r="E1340" s="365"/>
      <c r="F1340" s="11"/>
      <c r="G1340" s="11"/>
      <c r="H1340" s="57" t="s">
        <v>294</v>
      </c>
      <c r="I1340" s="44"/>
      <c r="J1340" s="45"/>
      <c r="K1340" s="47"/>
      <c r="L1340" s="48"/>
      <c r="M1340" s="46"/>
      <c r="N1340" s="46"/>
      <c r="O1340" s="407"/>
      <c r="P1340" s="49">
        <f t="shared" si="40"/>
        <v>0</v>
      </c>
      <c r="Q1340" s="49">
        <f t="shared" si="41"/>
        <v>0</v>
      </c>
    </row>
    <row r="1341" spans="1:17" ht="26" x14ac:dyDescent="0.35">
      <c r="A1341" s="11" t="s">
        <v>760</v>
      </c>
      <c r="B1341" s="10" t="s">
        <v>277</v>
      </c>
      <c r="C1341" s="284"/>
      <c r="D1341" s="365"/>
      <c r="E1341" s="365"/>
      <c r="F1341" s="11"/>
      <c r="G1341" s="11"/>
      <c r="H1341" s="57" t="s">
        <v>295</v>
      </c>
      <c r="I1341" s="44"/>
      <c r="J1341" s="45"/>
      <c r="K1341" s="47"/>
      <c r="L1341" s="48"/>
      <c r="M1341" s="46"/>
      <c r="N1341" s="46"/>
      <c r="O1341" s="407"/>
      <c r="P1341" s="49">
        <f t="shared" si="40"/>
        <v>0</v>
      </c>
      <c r="Q1341" s="49">
        <f t="shared" si="41"/>
        <v>0</v>
      </c>
    </row>
    <row r="1342" spans="1:17" ht="14.5" x14ac:dyDescent="0.35">
      <c r="A1342" s="11" t="s">
        <v>760</v>
      </c>
      <c r="B1342" s="10" t="s">
        <v>277</v>
      </c>
      <c r="C1342" s="284"/>
      <c r="D1342" s="365"/>
      <c r="E1342" s="365"/>
      <c r="F1342" s="11" t="s">
        <v>32</v>
      </c>
      <c r="G1342" s="11"/>
      <c r="H1342" s="60" t="s">
        <v>648</v>
      </c>
      <c r="I1342" s="44" t="s">
        <v>110</v>
      </c>
      <c r="J1342" s="45">
        <f>J1336</f>
        <v>62</v>
      </c>
      <c r="K1342" s="47">
        <v>185</v>
      </c>
      <c r="L1342" s="48">
        <f>J1342*K1342</f>
        <v>11470</v>
      </c>
      <c r="M1342" s="46">
        <f>M1336</f>
        <v>62</v>
      </c>
      <c r="N1342" s="46">
        <f>N1336</f>
        <v>62</v>
      </c>
      <c r="O1342" s="407">
        <v>185</v>
      </c>
      <c r="P1342" s="49">
        <f t="shared" si="40"/>
        <v>11470</v>
      </c>
      <c r="Q1342" s="49">
        <f t="shared" si="41"/>
        <v>11470</v>
      </c>
    </row>
    <row r="1343" spans="1:17" ht="13" x14ac:dyDescent="0.35">
      <c r="A1343" s="11" t="s">
        <v>760</v>
      </c>
      <c r="B1343" s="10" t="s">
        <v>297</v>
      </c>
      <c r="C1343" s="284"/>
      <c r="D1343" s="365"/>
      <c r="E1343" s="365"/>
      <c r="F1343" s="11"/>
      <c r="G1343" s="11"/>
      <c r="H1343" s="262" t="s">
        <v>762</v>
      </c>
      <c r="I1343" s="44"/>
      <c r="J1343" s="45"/>
      <c r="K1343" s="47"/>
      <c r="L1343" s="48"/>
      <c r="M1343" s="46"/>
      <c r="N1343" s="46"/>
      <c r="O1343" s="407"/>
      <c r="P1343" s="49">
        <f t="shared" si="40"/>
        <v>0</v>
      </c>
      <c r="Q1343" s="49">
        <f t="shared" si="41"/>
        <v>0</v>
      </c>
    </row>
    <row r="1344" spans="1:17" ht="13" x14ac:dyDescent="0.35">
      <c r="A1344" s="11" t="s">
        <v>760</v>
      </c>
      <c r="B1344" s="10" t="s">
        <v>297</v>
      </c>
      <c r="C1344" s="284"/>
      <c r="D1344" s="365"/>
      <c r="E1344" s="365"/>
      <c r="F1344" s="11"/>
      <c r="G1344" s="11"/>
      <c r="H1344" s="262" t="s">
        <v>763</v>
      </c>
      <c r="I1344" s="44"/>
      <c r="J1344" s="45"/>
      <c r="K1344" s="47"/>
      <c r="L1344" s="48"/>
      <c r="M1344" s="46"/>
      <c r="N1344" s="46"/>
      <c r="O1344" s="407"/>
      <c r="P1344" s="49">
        <f t="shared" si="40"/>
        <v>0</v>
      </c>
      <c r="Q1344" s="49">
        <f t="shared" si="41"/>
        <v>0</v>
      </c>
    </row>
    <row r="1345" spans="1:17" ht="13" x14ac:dyDescent="0.35">
      <c r="A1345" s="11" t="s">
        <v>760</v>
      </c>
      <c r="B1345" s="10" t="s">
        <v>297</v>
      </c>
      <c r="C1345" s="284"/>
      <c r="D1345" s="365"/>
      <c r="E1345" s="365"/>
      <c r="F1345" s="11"/>
      <c r="G1345" s="11"/>
      <c r="H1345" s="43" t="s">
        <v>298</v>
      </c>
      <c r="I1345" s="44"/>
      <c r="J1345" s="45"/>
      <c r="K1345" s="47"/>
      <c r="L1345" s="48"/>
      <c r="M1345" s="46"/>
      <c r="N1345" s="46"/>
      <c r="O1345" s="407"/>
      <c r="P1345" s="49">
        <f t="shared" si="40"/>
        <v>0</v>
      </c>
      <c r="Q1345" s="49">
        <f t="shared" si="41"/>
        <v>0</v>
      </c>
    </row>
    <row r="1346" spans="1:17" ht="13" x14ac:dyDescent="0.35">
      <c r="A1346" s="11" t="s">
        <v>760</v>
      </c>
      <c r="B1346" s="10" t="s">
        <v>297</v>
      </c>
      <c r="C1346" s="284"/>
      <c r="D1346" s="365"/>
      <c r="E1346" s="365"/>
      <c r="F1346" s="11"/>
      <c r="G1346" s="11"/>
      <c r="H1346" s="43" t="s">
        <v>299</v>
      </c>
      <c r="I1346" s="44"/>
      <c r="J1346" s="45"/>
      <c r="K1346" s="47"/>
      <c r="L1346" s="48"/>
      <c r="M1346" s="46"/>
      <c r="N1346" s="46"/>
      <c r="O1346" s="407"/>
      <c r="P1346" s="49">
        <f t="shared" si="40"/>
        <v>0</v>
      </c>
      <c r="Q1346" s="49">
        <f t="shared" si="41"/>
        <v>0</v>
      </c>
    </row>
    <row r="1347" spans="1:17" ht="13" x14ac:dyDescent="0.35">
      <c r="A1347" s="11" t="s">
        <v>760</v>
      </c>
      <c r="B1347" s="10" t="s">
        <v>297</v>
      </c>
      <c r="C1347" s="284"/>
      <c r="D1347" s="365"/>
      <c r="E1347" s="365"/>
      <c r="F1347" s="11"/>
      <c r="G1347" s="11"/>
      <c r="H1347" s="57" t="s">
        <v>100</v>
      </c>
      <c r="I1347" s="44"/>
      <c r="J1347" s="45"/>
      <c r="K1347" s="47"/>
      <c r="L1347" s="48"/>
      <c r="M1347" s="46"/>
      <c r="N1347" s="46"/>
      <c r="O1347" s="407"/>
      <c r="P1347" s="49">
        <f t="shared" si="40"/>
        <v>0</v>
      </c>
      <c r="Q1347" s="49">
        <f t="shared" si="41"/>
        <v>0</v>
      </c>
    </row>
    <row r="1348" spans="1:17" x14ac:dyDescent="0.35">
      <c r="A1348" s="11" t="s">
        <v>760</v>
      </c>
      <c r="B1348" s="10" t="s">
        <v>297</v>
      </c>
      <c r="C1348" s="284"/>
      <c r="D1348" s="365"/>
      <c r="E1348" s="365"/>
      <c r="F1348" s="11"/>
      <c r="G1348" s="11"/>
      <c r="H1348" s="60" t="s">
        <v>101</v>
      </c>
      <c r="I1348" s="44"/>
      <c r="J1348" s="45"/>
      <c r="K1348" s="47"/>
      <c r="L1348" s="48"/>
      <c r="M1348" s="46"/>
      <c r="N1348" s="46"/>
      <c r="O1348" s="407"/>
      <c r="P1348" s="49">
        <f t="shared" si="40"/>
        <v>0</v>
      </c>
      <c r="Q1348" s="49">
        <f t="shared" si="41"/>
        <v>0</v>
      </c>
    </row>
    <row r="1349" spans="1:17" ht="13" x14ac:dyDescent="0.35">
      <c r="A1349" s="11" t="s">
        <v>760</v>
      </c>
      <c r="B1349" s="10" t="s">
        <v>297</v>
      </c>
      <c r="C1349" s="284"/>
      <c r="D1349" s="365"/>
      <c r="E1349" s="365"/>
      <c r="F1349" s="11"/>
      <c r="G1349" s="11"/>
      <c r="H1349" s="57" t="s">
        <v>102</v>
      </c>
      <c r="I1349" s="44"/>
      <c r="J1349" s="45"/>
      <c r="K1349" s="47"/>
      <c r="L1349" s="48"/>
      <c r="M1349" s="46"/>
      <c r="N1349" s="46"/>
      <c r="O1349" s="407"/>
      <c r="P1349" s="49">
        <f t="shared" si="40"/>
        <v>0</v>
      </c>
      <c r="Q1349" s="49">
        <f t="shared" si="41"/>
        <v>0</v>
      </c>
    </row>
    <row r="1350" spans="1:17" ht="50" x14ac:dyDescent="0.35">
      <c r="A1350" s="11" t="s">
        <v>760</v>
      </c>
      <c r="B1350" s="10" t="s">
        <v>297</v>
      </c>
      <c r="C1350" s="284"/>
      <c r="D1350" s="365"/>
      <c r="E1350" s="365"/>
      <c r="F1350" s="11"/>
      <c r="G1350" s="11"/>
      <c r="H1350" s="60" t="s">
        <v>300</v>
      </c>
      <c r="I1350" s="44"/>
      <c r="J1350" s="45"/>
      <c r="K1350" s="47"/>
      <c r="L1350" s="48"/>
      <c r="M1350" s="46"/>
      <c r="N1350" s="46"/>
      <c r="O1350" s="407"/>
      <c r="P1350" s="49">
        <f t="shared" si="40"/>
        <v>0</v>
      </c>
      <c r="Q1350" s="49">
        <f t="shared" si="41"/>
        <v>0</v>
      </c>
    </row>
    <row r="1351" spans="1:17" ht="13" x14ac:dyDescent="0.35">
      <c r="A1351" s="11" t="s">
        <v>760</v>
      </c>
      <c r="B1351" s="10" t="s">
        <v>297</v>
      </c>
      <c r="C1351" s="284"/>
      <c r="D1351" s="365"/>
      <c r="E1351" s="365"/>
      <c r="F1351" s="11"/>
      <c r="G1351" s="11"/>
      <c r="H1351" s="57" t="s">
        <v>301</v>
      </c>
      <c r="I1351" s="44"/>
      <c r="J1351" s="45"/>
      <c r="K1351" s="47"/>
      <c r="L1351" s="48"/>
      <c r="M1351" s="46"/>
      <c r="N1351" s="46"/>
      <c r="O1351" s="407"/>
      <c r="P1351" s="49">
        <f t="shared" si="40"/>
        <v>0</v>
      </c>
      <c r="Q1351" s="49">
        <f t="shared" si="41"/>
        <v>0</v>
      </c>
    </row>
    <row r="1352" spans="1:17" ht="26" x14ac:dyDescent="0.35">
      <c r="A1352" s="11" t="s">
        <v>760</v>
      </c>
      <c r="B1352" s="10" t="s">
        <v>297</v>
      </c>
      <c r="C1352" s="284"/>
      <c r="D1352" s="365"/>
      <c r="E1352" s="365"/>
      <c r="F1352" s="11"/>
      <c r="G1352" s="11"/>
      <c r="H1352" s="109" t="s">
        <v>302</v>
      </c>
      <c r="I1352" s="44"/>
      <c r="J1352" s="45"/>
      <c r="K1352" s="47"/>
      <c r="L1352" s="48"/>
      <c r="M1352" s="46"/>
      <c r="N1352" s="46"/>
      <c r="O1352" s="407"/>
      <c r="P1352" s="49">
        <f t="shared" si="40"/>
        <v>0</v>
      </c>
      <c r="Q1352" s="49">
        <f t="shared" si="41"/>
        <v>0</v>
      </c>
    </row>
    <row r="1353" spans="1:17" ht="14.5" x14ac:dyDescent="0.35">
      <c r="A1353" s="11" t="s">
        <v>760</v>
      </c>
      <c r="B1353" s="10" t="s">
        <v>297</v>
      </c>
      <c r="C1353" s="284"/>
      <c r="D1353" s="365"/>
      <c r="E1353" s="365"/>
      <c r="F1353" s="11" t="s">
        <v>20</v>
      </c>
      <c r="G1353" s="11"/>
      <c r="H1353" s="67" t="s">
        <v>303</v>
      </c>
      <c r="I1353" s="110" t="s">
        <v>110</v>
      </c>
      <c r="J1353" s="45">
        <v>62</v>
      </c>
      <c r="K1353" s="47">
        <v>400</v>
      </c>
      <c r="L1353" s="48">
        <f>J1353*K1353</f>
        <v>24800</v>
      </c>
      <c r="M1353" s="46">
        <v>62</v>
      </c>
      <c r="N1353" s="46">
        <v>62</v>
      </c>
      <c r="O1353" s="407">
        <v>400</v>
      </c>
      <c r="P1353" s="49">
        <f t="shared" si="40"/>
        <v>24800</v>
      </c>
      <c r="Q1353" s="49">
        <f t="shared" si="41"/>
        <v>24800</v>
      </c>
    </row>
    <row r="1354" spans="1:17" ht="13" x14ac:dyDescent="0.35">
      <c r="A1354" s="11" t="s">
        <v>760</v>
      </c>
      <c r="B1354" s="10" t="s">
        <v>297</v>
      </c>
      <c r="C1354" s="284"/>
      <c r="D1354" s="365"/>
      <c r="E1354" s="365"/>
      <c r="F1354" s="11"/>
      <c r="G1354" s="11"/>
      <c r="H1354" s="57" t="s">
        <v>304</v>
      </c>
      <c r="I1354" s="110"/>
      <c r="J1354" s="45"/>
      <c r="K1354" s="47"/>
      <c r="L1354" s="48"/>
      <c r="M1354" s="46"/>
      <c r="N1354" s="46"/>
      <c r="O1354" s="407"/>
      <c r="P1354" s="49">
        <f t="shared" ref="P1354:P1417" si="42">O1354*M1354</f>
        <v>0</v>
      </c>
      <c r="Q1354" s="49">
        <f t="shared" ref="Q1354:Q1417" si="43">O1354*N1354</f>
        <v>0</v>
      </c>
    </row>
    <row r="1355" spans="1:17" ht="14.5" x14ac:dyDescent="0.25">
      <c r="A1355" s="11" t="s">
        <v>760</v>
      </c>
      <c r="B1355" s="10" t="s">
        <v>297</v>
      </c>
      <c r="C1355" s="284"/>
      <c r="D1355" s="365"/>
      <c r="E1355" s="365"/>
      <c r="F1355" s="11" t="s">
        <v>26</v>
      </c>
      <c r="G1355" s="11"/>
      <c r="H1355" s="111" t="s">
        <v>305</v>
      </c>
      <c r="I1355" s="110" t="s">
        <v>110</v>
      </c>
      <c r="J1355" s="45">
        <f>J1353</f>
        <v>62</v>
      </c>
      <c r="K1355" s="47">
        <v>30</v>
      </c>
      <c r="L1355" s="48">
        <f>J1355*K1355</f>
        <v>1860</v>
      </c>
      <c r="M1355" s="46">
        <f>M1353</f>
        <v>62</v>
      </c>
      <c r="N1355" s="46">
        <f>N1353</f>
        <v>62</v>
      </c>
      <c r="O1355" s="407">
        <v>30</v>
      </c>
      <c r="P1355" s="49">
        <f t="shared" si="42"/>
        <v>1860</v>
      </c>
      <c r="Q1355" s="49">
        <f t="shared" si="43"/>
        <v>1860</v>
      </c>
    </row>
    <row r="1356" spans="1:17" ht="13" x14ac:dyDescent="0.35">
      <c r="A1356" s="11" t="s">
        <v>760</v>
      </c>
      <c r="B1356" s="10" t="s">
        <v>798</v>
      </c>
      <c r="C1356" s="284"/>
      <c r="D1356" s="365"/>
      <c r="E1356" s="365"/>
      <c r="F1356" s="11"/>
      <c r="G1356" s="11"/>
      <c r="H1356" s="262" t="s">
        <v>762</v>
      </c>
      <c r="I1356" s="44"/>
      <c r="J1356" s="45"/>
      <c r="K1356" s="47"/>
      <c r="L1356" s="48"/>
      <c r="M1356" s="46"/>
      <c r="N1356" s="46"/>
      <c r="O1356" s="407"/>
      <c r="P1356" s="49">
        <f t="shared" si="42"/>
        <v>0</v>
      </c>
      <c r="Q1356" s="49">
        <f t="shared" si="43"/>
        <v>0</v>
      </c>
    </row>
    <row r="1357" spans="1:17" ht="13" x14ac:dyDescent="0.35">
      <c r="A1357" s="11" t="s">
        <v>760</v>
      </c>
      <c r="B1357" s="10" t="s">
        <v>798</v>
      </c>
      <c r="C1357" s="284"/>
      <c r="D1357" s="365"/>
      <c r="E1357" s="365"/>
      <c r="F1357" s="11"/>
      <c r="G1357" s="11"/>
      <c r="H1357" s="262" t="s">
        <v>763</v>
      </c>
      <c r="I1357" s="44"/>
      <c r="J1357" s="45"/>
      <c r="K1357" s="47"/>
      <c r="L1357" s="48"/>
      <c r="M1357" s="46"/>
      <c r="N1357" s="46"/>
      <c r="O1357" s="407"/>
      <c r="P1357" s="49">
        <f t="shared" si="42"/>
        <v>0</v>
      </c>
      <c r="Q1357" s="49">
        <f t="shared" si="43"/>
        <v>0</v>
      </c>
    </row>
    <row r="1358" spans="1:17" ht="13" x14ac:dyDescent="0.35">
      <c r="A1358" s="11" t="s">
        <v>760</v>
      </c>
      <c r="B1358" s="10" t="s">
        <v>798</v>
      </c>
      <c r="C1358" s="284"/>
      <c r="D1358" s="365"/>
      <c r="E1358" s="365"/>
      <c r="F1358" s="11"/>
      <c r="G1358" s="11"/>
      <c r="H1358" s="43" t="s">
        <v>331</v>
      </c>
      <c r="I1358" s="44"/>
      <c r="J1358" s="45"/>
      <c r="K1358" s="47"/>
      <c r="L1358" s="48"/>
      <c r="M1358" s="46"/>
      <c r="N1358" s="46"/>
      <c r="O1358" s="407"/>
      <c r="P1358" s="49">
        <f t="shared" si="42"/>
        <v>0</v>
      </c>
      <c r="Q1358" s="49">
        <f t="shared" si="43"/>
        <v>0</v>
      </c>
    </row>
    <row r="1359" spans="1:17" ht="13" x14ac:dyDescent="0.35">
      <c r="A1359" s="11" t="s">
        <v>760</v>
      </c>
      <c r="B1359" s="10" t="s">
        <v>798</v>
      </c>
      <c r="C1359" s="284"/>
      <c r="D1359" s="365"/>
      <c r="E1359" s="365"/>
      <c r="F1359" s="89"/>
      <c r="G1359" s="89"/>
      <c r="H1359" s="100" t="s">
        <v>308</v>
      </c>
      <c r="I1359" s="91"/>
      <c r="J1359" s="92"/>
      <c r="K1359" s="94"/>
      <c r="L1359" s="95"/>
      <c r="M1359" s="93"/>
      <c r="N1359" s="93"/>
      <c r="O1359" s="411"/>
      <c r="P1359" s="96">
        <f t="shared" si="42"/>
        <v>0</v>
      </c>
      <c r="Q1359" s="96">
        <f t="shared" si="43"/>
        <v>0</v>
      </c>
    </row>
    <row r="1360" spans="1:17" ht="13" x14ac:dyDescent="0.35">
      <c r="A1360" s="11" t="s">
        <v>760</v>
      </c>
      <c r="B1360" s="10" t="s">
        <v>798</v>
      </c>
      <c r="C1360" s="284"/>
      <c r="D1360" s="365"/>
      <c r="E1360" s="365"/>
      <c r="F1360" s="89"/>
      <c r="G1360" s="89"/>
      <c r="H1360" s="90" t="s">
        <v>100</v>
      </c>
      <c r="I1360" s="91"/>
      <c r="J1360" s="92"/>
      <c r="K1360" s="94"/>
      <c r="L1360" s="95"/>
      <c r="M1360" s="93"/>
      <c r="N1360" s="93"/>
      <c r="O1360" s="411"/>
      <c r="P1360" s="96">
        <f t="shared" si="42"/>
        <v>0</v>
      </c>
      <c r="Q1360" s="96">
        <f t="shared" si="43"/>
        <v>0</v>
      </c>
    </row>
    <row r="1361" spans="1:17" x14ac:dyDescent="0.35">
      <c r="A1361" s="11" t="s">
        <v>760</v>
      </c>
      <c r="B1361" s="10" t="s">
        <v>798</v>
      </c>
      <c r="C1361" s="284"/>
      <c r="D1361" s="365"/>
      <c r="E1361" s="365"/>
      <c r="F1361" s="89"/>
      <c r="G1361" s="89"/>
      <c r="H1361" s="108" t="s">
        <v>101</v>
      </c>
      <c r="I1361" s="91"/>
      <c r="J1361" s="92"/>
      <c r="K1361" s="94"/>
      <c r="L1361" s="95"/>
      <c r="M1361" s="93"/>
      <c r="N1361" s="93"/>
      <c r="O1361" s="411"/>
      <c r="P1361" s="96">
        <f t="shared" si="42"/>
        <v>0</v>
      </c>
      <c r="Q1361" s="96">
        <f t="shared" si="43"/>
        <v>0</v>
      </c>
    </row>
    <row r="1362" spans="1:17" ht="13" x14ac:dyDescent="0.35">
      <c r="A1362" s="11" t="s">
        <v>760</v>
      </c>
      <c r="B1362" s="10" t="s">
        <v>798</v>
      </c>
      <c r="C1362" s="284"/>
      <c r="D1362" s="365"/>
      <c r="E1362" s="365"/>
      <c r="F1362" s="89"/>
      <c r="G1362" s="89"/>
      <c r="H1362" s="100" t="s">
        <v>309</v>
      </c>
      <c r="I1362" s="91"/>
      <c r="J1362" s="92"/>
      <c r="K1362" s="94"/>
      <c r="L1362" s="95"/>
      <c r="M1362" s="93"/>
      <c r="N1362" s="93"/>
      <c r="O1362" s="411"/>
      <c r="P1362" s="96">
        <f t="shared" si="42"/>
        <v>0</v>
      </c>
      <c r="Q1362" s="96">
        <f t="shared" si="43"/>
        <v>0</v>
      </c>
    </row>
    <row r="1363" spans="1:17" x14ac:dyDescent="0.35">
      <c r="A1363" s="11" t="s">
        <v>760</v>
      </c>
      <c r="B1363" s="10" t="s">
        <v>798</v>
      </c>
      <c r="C1363" s="284"/>
      <c r="D1363" s="365"/>
      <c r="E1363" s="365"/>
      <c r="F1363" s="89" t="s">
        <v>20</v>
      </c>
      <c r="G1363" s="89"/>
      <c r="H1363" s="108" t="s">
        <v>310</v>
      </c>
      <c r="I1363" s="91" t="s">
        <v>175</v>
      </c>
      <c r="J1363" s="92">
        <v>12</v>
      </c>
      <c r="K1363" s="94">
        <v>200</v>
      </c>
      <c r="L1363" s="95">
        <f>J1363*K1363</f>
        <v>2400</v>
      </c>
      <c r="M1363" s="93">
        <v>12</v>
      </c>
      <c r="N1363" s="93">
        <v>12</v>
      </c>
      <c r="O1363" s="411">
        <v>200</v>
      </c>
      <c r="P1363" s="96">
        <f t="shared" si="42"/>
        <v>2400</v>
      </c>
      <c r="Q1363" s="96">
        <f t="shared" si="43"/>
        <v>2400</v>
      </c>
    </row>
    <row r="1364" spans="1:17" x14ac:dyDescent="0.35">
      <c r="A1364" s="11" t="s">
        <v>760</v>
      </c>
      <c r="B1364" s="10" t="s">
        <v>798</v>
      </c>
      <c r="C1364" s="284"/>
      <c r="D1364" s="365"/>
      <c r="E1364" s="365"/>
      <c r="F1364" s="89" t="s">
        <v>26</v>
      </c>
      <c r="G1364" s="89"/>
      <c r="H1364" s="108" t="s">
        <v>311</v>
      </c>
      <c r="I1364" s="91" t="s">
        <v>175</v>
      </c>
      <c r="J1364" s="92">
        <v>12</v>
      </c>
      <c r="K1364" s="94">
        <v>200</v>
      </c>
      <c r="L1364" s="95">
        <f>J1364*K1364</f>
        <v>2400</v>
      </c>
      <c r="M1364" s="93">
        <v>12</v>
      </c>
      <c r="N1364" s="93">
        <v>12</v>
      </c>
      <c r="O1364" s="411">
        <v>200</v>
      </c>
      <c r="P1364" s="96">
        <f t="shared" si="42"/>
        <v>2400</v>
      </c>
      <c r="Q1364" s="96">
        <f t="shared" si="43"/>
        <v>2400</v>
      </c>
    </row>
    <row r="1365" spans="1:17" ht="13" x14ac:dyDescent="0.35">
      <c r="A1365" s="11" t="s">
        <v>760</v>
      </c>
      <c r="B1365" s="10" t="s">
        <v>798</v>
      </c>
      <c r="C1365" s="284"/>
      <c r="D1365" s="365"/>
      <c r="E1365" s="365"/>
      <c r="F1365" s="89"/>
      <c r="G1365" s="89"/>
      <c r="H1365" s="90" t="s">
        <v>312</v>
      </c>
      <c r="I1365" s="91"/>
      <c r="J1365" s="92"/>
      <c r="K1365" s="94"/>
      <c r="L1365" s="95"/>
      <c r="M1365" s="93"/>
      <c r="N1365" s="93"/>
      <c r="O1365" s="411"/>
      <c r="P1365" s="96">
        <f t="shared" si="42"/>
        <v>0</v>
      </c>
      <c r="Q1365" s="96">
        <f t="shared" si="43"/>
        <v>0</v>
      </c>
    </row>
    <row r="1366" spans="1:17" x14ac:dyDescent="0.35">
      <c r="A1366" s="11" t="s">
        <v>760</v>
      </c>
      <c r="B1366" s="10" t="s">
        <v>798</v>
      </c>
      <c r="C1366" s="284"/>
      <c r="D1366" s="365"/>
      <c r="E1366" s="365"/>
      <c r="F1366" s="89" t="s">
        <v>29</v>
      </c>
      <c r="G1366" s="89"/>
      <c r="H1366" s="98" t="s">
        <v>313</v>
      </c>
      <c r="I1366" s="112" t="s">
        <v>175</v>
      </c>
      <c r="J1366" s="45">
        <v>6</v>
      </c>
      <c r="K1366" s="94">
        <v>450</v>
      </c>
      <c r="L1366" s="95">
        <f>J1366*K1366</f>
        <v>2700</v>
      </c>
      <c r="M1366" s="46">
        <v>6</v>
      </c>
      <c r="N1366" s="46">
        <v>6</v>
      </c>
      <c r="O1366" s="411">
        <v>450</v>
      </c>
      <c r="P1366" s="96">
        <f t="shared" si="42"/>
        <v>2700</v>
      </c>
      <c r="Q1366" s="96">
        <f t="shared" si="43"/>
        <v>2700</v>
      </c>
    </row>
    <row r="1367" spans="1:17" x14ac:dyDescent="0.35">
      <c r="A1367" s="11" t="s">
        <v>760</v>
      </c>
      <c r="B1367" s="10" t="s">
        <v>798</v>
      </c>
      <c r="C1367" s="284"/>
      <c r="D1367" s="365"/>
      <c r="E1367" s="365"/>
      <c r="F1367" s="89" t="s">
        <v>32</v>
      </c>
      <c r="G1367" s="89"/>
      <c r="H1367" s="108" t="s">
        <v>314</v>
      </c>
      <c r="I1367" s="112" t="s">
        <v>175</v>
      </c>
      <c r="J1367" s="45">
        <v>6</v>
      </c>
      <c r="K1367" s="94">
        <v>650</v>
      </c>
      <c r="L1367" s="95">
        <f>J1367*K1367</f>
        <v>3900</v>
      </c>
      <c r="M1367" s="46">
        <v>6</v>
      </c>
      <c r="N1367" s="46">
        <v>6</v>
      </c>
      <c r="O1367" s="411">
        <v>650</v>
      </c>
      <c r="P1367" s="96">
        <f t="shared" si="42"/>
        <v>3900</v>
      </c>
      <c r="Q1367" s="96">
        <f t="shared" si="43"/>
        <v>3900</v>
      </c>
    </row>
    <row r="1368" spans="1:17" x14ac:dyDescent="0.35">
      <c r="A1368" s="11" t="s">
        <v>760</v>
      </c>
      <c r="B1368" s="10" t="s">
        <v>798</v>
      </c>
      <c r="C1368" s="284"/>
      <c r="D1368" s="365"/>
      <c r="E1368" s="365"/>
      <c r="F1368" s="89" t="s">
        <v>36</v>
      </c>
      <c r="G1368" s="89"/>
      <c r="H1368" s="108" t="s">
        <v>315</v>
      </c>
      <c r="I1368" s="112" t="s">
        <v>175</v>
      </c>
      <c r="J1368" s="45">
        <v>6</v>
      </c>
      <c r="K1368" s="94">
        <v>650</v>
      </c>
      <c r="L1368" s="95">
        <f>J1368*K1368</f>
        <v>3900</v>
      </c>
      <c r="M1368" s="46">
        <v>6</v>
      </c>
      <c r="N1368" s="46">
        <v>6</v>
      </c>
      <c r="O1368" s="411">
        <v>650</v>
      </c>
      <c r="P1368" s="96">
        <f t="shared" si="42"/>
        <v>3900</v>
      </c>
      <c r="Q1368" s="96">
        <f t="shared" si="43"/>
        <v>3900</v>
      </c>
    </row>
    <row r="1369" spans="1:17" ht="13" x14ac:dyDescent="0.35">
      <c r="A1369" s="11" t="s">
        <v>760</v>
      </c>
      <c r="B1369" s="10" t="s">
        <v>798</v>
      </c>
      <c r="C1369" s="284"/>
      <c r="D1369" s="365"/>
      <c r="E1369" s="365"/>
      <c r="F1369" s="89"/>
      <c r="G1369" s="89"/>
      <c r="H1369" s="90" t="s">
        <v>316</v>
      </c>
      <c r="I1369" s="112"/>
      <c r="J1369" s="45"/>
      <c r="K1369" s="94"/>
      <c r="L1369" s="95"/>
      <c r="M1369" s="46"/>
      <c r="N1369" s="46"/>
      <c r="O1369" s="411"/>
      <c r="P1369" s="96">
        <f t="shared" si="42"/>
        <v>0</v>
      </c>
      <c r="Q1369" s="96">
        <f t="shared" si="43"/>
        <v>0</v>
      </c>
    </row>
    <row r="1370" spans="1:17" x14ac:dyDescent="0.35">
      <c r="A1370" s="11" t="s">
        <v>760</v>
      </c>
      <c r="B1370" s="10" t="s">
        <v>798</v>
      </c>
      <c r="C1370" s="284"/>
      <c r="D1370" s="365"/>
      <c r="E1370" s="365"/>
      <c r="F1370" s="89" t="s">
        <v>39</v>
      </c>
      <c r="G1370" s="89"/>
      <c r="H1370" s="108" t="s">
        <v>317</v>
      </c>
      <c r="I1370" s="112" t="s">
        <v>175</v>
      </c>
      <c r="J1370" s="45">
        <v>6</v>
      </c>
      <c r="K1370" s="94">
        <v>850</v>
      </c>
      <c r="L1370" s="95">
        <f>J1370*K1370</f>
        <v>5100</v>
      </c>
      <c r="M1370" s="46">
        <v>6</v>
      </c>
      <c r="N1370" s="46">
        <v>6</v>
      </c>
      <c r="O1370" s="411">
        <v>850</v>
      </c>
      <c r="P1370" s="96">
        <f t="shared" si="42"/>
        <v>5100</v>
      </c>
      <c r="Q1370" s="96">
        <f t="shared" si="43"/>
        <v>5100</v>
      </c>
    </row>
    <row r="1371" spans="1:17" x14ac:dyDescent="0.35">
      <c r="A1371" s="11" t="s">
        <v>760</v>
      </c>
      <c r="B1371" s="10" t="s">
        <v>798</v>
      </c>
      <c r="C1371" s="284"/>
      <c r="D1371" s="365"/>
      <c r="E1371" s="365"/>
      <c r="F1371" s="89" t="s">
        <v>42</v>
      </c>
      <c r="G1371" s="89"/>
      <c r="H1371" s="108" t="s">
        <v>318</v>
      </c>
      <c r="I1371" s="112" t="s">
        <v>175</v>
      </c>
      <c r="J1371" s="45">
        <v>6</v>
      </c>
      <c r="K1371" s="94">
        <v>850</v>
      </c>
      <c r="L1371" s="95">
        <f>J1371*K1371</f>
        <v>5100</v>
      </c>
      <c r="M1371" s="46">
        <v>6</v>
      </c>
      <c r="N1371" s="46">
        <v>6</v>
      </c>
      <c r="O1371" s="411">
        <v>850</v>
      </c>
      <c r="P1371" s="96">
        <f t="shared" si="42"/>
        <v>5100</v>
      </c>
      <c r="Q1371" s="96">
        <f t="shared" si="43"/>
        <v>5100</v>
      </c>
    </row>
    <row r="1372" spans="1:17" ht="13" x14ac:dyDescent="0.35">
      <c r="A1372" s="11" t="s">
        <v>760</v>
      </c>
      <c r="B1372" s="10" t="s">
        <v>798</v>
      </c>
      <c r="C1372" s="284"/>
      <c r="D1372" s="365"/>
      <c r="E1372" s="365"/>
      <c r="F1372" s="89"/>
      <c r="G1372" s="89"/>
      <c r="H1372" s="90" t="s">
        <v>319</v>
      </c>
      <c r="I1372" s="112"/>
      <c r="J1372" s="45"/>
      <c r="K1372" s="94"/>
      <c r="L1372" s="95"/>
      <c r="M1372" s="46"/>
      <c r="N1372" s="46"/>
      <c r="O1372" s="411"/>
      <c r="P1372" s="96">
        <f t="shared" si="42"/>
        <v>0</v>
      </c>
      <c r="Q1372" s="96">
        <f t="shared" si="43"/>
        <v>0</v>
      </c>
    </row>
    <row r="1373" spans="1:17" x14ac:dyDescent="0.35">
      <c r="A1373" s="11" t="s">
        <v>760</v>
      </c>
      <c r="B1373" s="10" t="s">
        <v>798</v>
      </c>
      <c r="C1373" s="284"/>
      <c r="D1373" s="365"/>
      <c r="E1373" s="365"/>
      <c r="F1373" s="89" t="s">
        <v>45</v>
      </c>
      <c r="G1373" s="89"/>
      <c r="H1373" s="108" t="s">
        <v>320</v>
      </c>
      <c r="I1373" s="112" t="s">
        <v>175</v>
      </c>
      <c r="J1373" s="45">
        <v>6</v>
      </c>
      <c r="K1373" s="94">
        <v>80</v>
      </c>
      <c r="L1373" s="95">
        <f>J1373*K1373</f>
        <v>480</v>
      </c>
      <c r="M1373" s="46">
        <v>6</v>
      </c>
      <c r="N1373" s="46">
        <v>6</v>
      </c>
      <c r="O1373" s="411">
        <v>80</v>
      </c>
      <c r="P1373" s="96">
        <f t="shared" si="42"/>
        <v>480</v>
      </c>
      <c r="Q1373" s="96">
        <f t="shared" si="43"/>
        <v>480</v>
      </c>
    </row>
    <row r="1374" spans="1:17" ht="13" x14ac:dyDescent="0.35">
      <c r="A1374" s="11" t="s">
        <v>760</v>
      </c>
      <c r="B1374" s="123" t="s">
        <v>339</v>
      </c>
      <c r="C1374" s="376"/>
      <c r="D1374" s="381"/>
      <c r="E1374" s="381"/>
      <c r="F1374" s="89"/>
      <c r="G1374" s="89"/>
      <c r="H1374" s="262" t="s">
        <v>762</v>
      </c>
      <c r="I1374" s="91"/>
      <c r="J1374" s="92"/>
      <c r="K1374" s="94"/>
      <c r="L1374" s="105"/>
      <c r="M1374" s="93"/>
      <c r="N1374" s="93"/>
      <c r="O1374" s="411"/>
      <c r="P1374" s="106">
        <f t="shared" si="42"/>
        <v>0</v>
      </c>
      <c r="Q1374" s="106">
        <f t="shared" si="43"/>
        <v>0</v>
      </c>
    </row>
    <row r="1375" spans="1:17" ht="13" x14ac:dyDescent="0.35">
      <c r="A1375" s="11" t="s">
        <v>760</v>
      </c>
      <c r="B1375" s="123" t="s">
        <v>339</v>
      </c>
      <c r="C1375" s="284"/>
      <c r="D1375" s="365"/>
      <c r="E1375" s="365"/>
      <c r="F1375" s="89"/>
      <c r="G1375" s="89"/>
      <c r="H1375" s="262" t="s">
        <v>763</v>
      </c>
      <c r="I1375" s="91"/>
      <c r="J1375" s="92"/>
      <c r="K1375" s="94"/>
      <c r="L1375" s="95"/>
      <c r="M1375" s="93"/>
      <c r="N1375" s="93"/>
      <c r="O1375" s="411"/>
      <c r="P1375" s="96">
        <f t="shared" si="42"/>
        <v>0</v>
      </c>
      <c r="Q1375" s="96">
        <f t="shared" si="43"/>
        <v>0</v>
      </c>
    </row>
    <row r="1376" spans="1:17" ht="13" x14ac:dyDescent="0.35">
      <c r="A1376" s="11" t="s">
        <v>760</v>
      </c>
      <c r="B1376" s="123" t="s">
        <v>339</v>
      </c>
      <c r="C1376" s="284"/>
      <c r="D1376" s="365"/>
      <c r="E1376" s="365"/>
      <c r="F1376" s="89"/>
      <c r="G1376" s="89"/>
      <c r="H1376" s="100" t="s">
        <v>340</v>
      </c>
      <c r="I1376" s="91"/>
      <c r="J1376" s="92"/>
      <c r="K1376" s="94"/>
      <c r="L1376" s="95"/>
      <c r="M1376" s="93"/>
      <c r="N1376" s="93"/>
      <c r="O1376" s="411"/>
      <c r="P1376" s="96">
        <f t="shared" si="42"/>
        <v>0</v>
      </c>
      <c r="Q1376" s="96">
        <f t="shared" si="43"/>
        <v>0</v>
      </c>
    </row>
    <row r="1377" spans="1:17" ht="13" x14ac:dyDescent="0.35">
      <c r="A1377" s="11" t="s">
        <v>760</v>
      </c>
      <c r="B1377" s="123" t="s">
        <v>339</v>
      </c>
      <c r="C1377" s="284"/>
      <c r="D1377" s="365"/>
      <c r="E1377" s="365"/>
      <c r="F1377" s="89"/>
      <c r="G1377" s="89"/>
      <c r="H1377" s="100" t="s">
        <v>341</v>
      </c>
      <c r="I1377" s="91"/>
      <c r="J1377" s="92"/>
      <c r="K1377" s="94"/>
      <c r="L1377" s="95"/>
      <c r="M1377" s="93"/>
      <c r="N1377" s="93"/>
      <c r="O1377" s="411"/>
      <c r="P1377" s="96">
        <f t="shared" si="42"/>
        <v>0</v>
      </c>
      <c r="Q1377" s="96">
        <f t="shared" si="43"/>
        <v>0</v>
      </c>
    </row>
    <row r="1378" spans="1:17" ht="13" x14ac:dyDescent="0.35">
      <c r="A1378" s="11" t="s">
        <v>760</v>
      </c>
      <c r="B1378" s="123" t="s">
        <v>339</v>
      </c>
      <c r="C1378" s="284"/>
      <c r="D1378" s="365"/>
      <c r="E1378" s="365"/>
      <c r="F1378" s="89"/>
      <c r="G1378" s="89"/>
      <c r="H1378" s="90" t="s">
        <v>100</v>
      </c>
      <c r="I1378" s="91"/>
      <c r="J1378" s="92"/>
      <c r="K1378" s="94"/>
      <c r="L1378" s="95"/>
      <c r="M1378" s="93"/>
      <c r="N1378" s="93"/>
      <c r="O1378" s="411"/>
      <c r="P1378" s="96">
        <f t="shared" si="42"/>
        <v>0</v>
      </c>
      <c r="Q1378" s="96">
        <f t="shared" si="43"/>
        <v>0</v>
      </c>
    </row>
    <row r="1379" spans="1:17" x14ac:dyDescent="0.35">
      <c r="A1379" s="11" t="s">
        <v>760</v>
      </c>
      <c r="B1379" s="123" t="s">
        <v>339</v>
      </c>
      <c r="C1379" s="284"/>
      <c r="D1379" s="365"/>
      <c r="E1379" s="365"/>
      <c r="F1379" s="89"/>
      <c r="G1379" s="89"/>
      <c r="H1379" s="108" t="s">
        <v>101</v>
      </c>
      <c r="I1379" s="91"/>
      <c r="J1379" s="92"/>
      <c r="K1379" s="94"/>
      <c r="L1379" s="95"/>
      <c r="M1379" s="93"/>
      <c r="N1379" s="93"/>
      <c r="O1379" s="411"/>
      <c r="P1379" s="96">
        <f t="shared" si="42"/>
        <v>0</v>
      </c>
      <c r="Q1379" s="96">
        <f t="shared" si="43"/>
        <v>0</v>
      </c>
    </row>
    <row r="1380" spans="1:17" ht="13" x14ac:dyDescent="0.35">
      <c r="A1380" s="11" t="s">
        <v>760</v>
      </c>
      <c r="B1380" s="123" t="s">
        <v>339</v>
      </c>
      <c r="C1380" s="284"/>
      <c r="D1380" s="365"/>
      <c r="E1380" s="365"/>
      <c r="F1380" s="89"/>
      <c r="G1380" s="89"/>
      <c r="H1380" s="90" t="s">
        <v>102</v>
      </c>
      <c r="I1380" s="91"/>
      <c r="J1380" s="92"/>
      <c r="K1380" s="94"/>
      <c r="L1380" s="95"/>
      <c r="M1380" s="93"/>
      <c r="N1380" s="93"/>
      <c r="O1380" s="411"/>
      <c r="P1380" s="96">
        <f t="shared" si="42"/>
        <v>0</v>
      </c>
      <c r="Q1380" s="96">
        <f t="shared" si="43"/>
        <v>0</v>
      </c>
    </row>
    <row r="1381" spans="1:17" x14ac:dyDescent="0.35">
      <c r="A1381" s="11" t="s">
        <v>760</v>
      </c>
      <c r="B1381" s="123" t="s">
        <v>339</v>
      </c>
      <c r="C1381" s="284"/>
      <c r="D1381" s="365"/>
      <c r="E1381" s="365"/>
      <c r="F1381" s="89"/>
      <c r="G1381" s="124"/>
      <c r="H1381" s="108" t="s">
        <v>342</v>
      </c>
      <c r="I1381" s="91"/>
      <c r="J1381" s="45"/>
      <c r="K1381" s="125"/>
      <c r="L1381" s="48"/>
      <c r="M1381" s="46"/>
      <c r="N1381" s="46"/>
      <c r="O1381" s="414"/>
      <c r="P1381" s="49">
        <f t="shared" si="42"/>
        <v>0</v>
      </c>
      <c r="Q1381" s="49">
        <f t="shared" si="43"/>
        <v>0</v>
      </c>
    </row>
    <row r="1382" spans="1:17" ht="37.5" x14ac:dyDescent="0.35">
      <c r="A1382" s="11" t="s">
        <v>760</v>
      </c>
      <c r="B1382" s="123" t="s">
        <v>339</v>
      </c>
      <c r="C1382" s="284"/>
      <c r="D1382" s="365"/>
      <c r="E1382" s="365"/>
      <c r="F1382" s="89"/>
      <c r="G1382" s="124"/>
      <c r="H1382" s="108" t="s">
        <v>343</v>
      </c>
      <c r="I1382" s="91"/>
      <c r="J1382" s="45"/>
      <c r="K1382" s="125"/>
      <c r="L1382" s="48"/>
      <c r="M1382" s="46"/>
      <c r="N1382" s="46"/>
      <c r="O1382" s="414"/>
      <c r="P1382" s="49">
        <f t="shared" si="42"/>
        <v>0</v>
      </c>
      <c r="Q1382" s="49">
        <f t="shared" si="43"/>
        <v>0</v>
      </c>
    </row>
    <row r="1383" spans="1:17" ht="25" x14ac:dyDescent="0.35">
      <c r="A1383" s="11" t="s">
        <v>760</v>
      </c>
      <c r="B1383" s="123" t="s">
        <v>339</v>
      </c>
      <c r="C1383" s="284"/>
      <c r="D1383" s="365"/>
      <c r="E1383" s="365"/>
      <c r="F1383" s="89"/>
      <c r="G1383" s="124"/>
      <c r="H1383" s="108" t="s">
        <v>344</v>
      </c>
      <c r="I1383" s="91"/>
      <c r="J1383" s="45"/>
      <c r="K1383" s="125"/>
      <c r="L1383" s="48"/>
      <c r="M1383" s="46"/>
      <c r="N1383" s="46"/>
      <c r="O1383" s="414"/>
      <c r="P1383" s="49">
        <f t="shared" si="42"/>
        <v>0</v>
      </c>
      <c r="Q1383" s="49">
        <f t="shared" si="43"/>
        <v>0</v>
      </c>
    </row>
    <row r="1384" spans="1:17" ht="13" x14ac:dyDescent="0.35">
      <c r="A1384" s="11" t="s">
        <v>760</v>
      </c>
      <c r="B1384" s="123" t="s">
        <v>339</v>
      </c>
      <c r="C1384" s="284"/>
      <c r="D1384" s="365"/>
      <c r="E1384" s="365"/>
      <c r="F1384" s="89"/>
      <c r="G1384" s="89"/>
      <c r="H1384" s="126" t="s">
        <v>345</v>
      </c>
      <c r="I1384" s="91"/>
      <c r="J1384" s="92"/>
      <c r="K1384" s="94"/>
      <c r="L1384" s="95"/>
      <c r="M1384" s="93"/>
      <c r="N1384" s="93"/>
      <c r="O1384" s="411"/>
      <c r="P1384" s="96">
        <f t="shared" si="42"/>
        <v>0</v>
      </c>
      <c r="Q1384" s="96">
        <f t="shared" si="43"/>
        <v>0</v>
      </c>
    </row>
    <row r="1385" spans="1:17" ht="13" x14ac:dyDescent="0.35">
      <c r="A1385" s="11" t="s">
        <v>760</v>
      </c>
      <c r="B1385" s="123" t="s">
        <v>339</v>
      </c>
      <c r="C1385" s="284"/>
      <c r="D1385" s="365"/>
      <c r="E1385" s="365"/>
      <c r="F1385" s="89"/>
      <c r="G1385" s="89"/>
      <c r="H1385" s="90" t="s">
        <v>346</v>
      </c>
      <c r="I1385" s="91"/>
      <c r="J1385" s="58"/>
      <c r="K1385" s="94"/>
      <c r="L1385" s="95"/>
      <c r="M1385" s="59"/>
      <c r="N1385" s="59"/>
      <c r="O1385" s="411"/>
      <c r="P1385" s="96">
        <f t="shared" si="42"/>
        <v>0</v>
      </c>
      <c r="Q1385" s="96">
        <f t="shared" si="43"/>
        <v>0</v>
      </c>
    </row>
    <row r="1386" spans="1:17" ht="13" x14ac:dyDescent="0.35">
      <c r="A1386" s="11" t="s">
        <v>760</v>
      </c>
      <c r="B1386" s="123" t="s">
        <v>339</v>
      </c>
      <c r="C1386" s="284"/>
      <c r="D1386" s="365"/>
      <c r="E1386" s="365"/>
      <c r="F1386" s="89"/>
      <c r="G1386" s="89"/>
      <c r="H1386" s="90" t="s">
        <v>347</v>
      </c>
      <c r="I1386" s="91"/>
      <c r="J1386" s="117"/>
      <c r="K1386" s="94"/>
      <c r="L1386" s="95"/>
      <c r="M1386" s="118"/>
      <c r="N1386" s="118"/>
      <c r="O1386" s="411"/>
      <c r="P1386" s="96">
        <f t="shared" si="42"/>
        <v>0</v>
      </c>
      <c r="Q1386" s="96">
        <f t="shared" si="43"/>
        <v>0</v>
      </c>
    </row>
    <row r="1387" spans="1:17" x14ac:dyDescent="0.35">
      <c r="A1387" s="11" t="s">
        <v>760</v>
      </c>
      <c r="B1387" s="123" t="s">
        <v>339</v>
      </c>
      <c r="C1387" s="284"/>
      <c r="D1387" s="365"/>
      <c r="E1387" s="365"/>
      <c r="F1387" s="89" t="s">
        <v>20</v>
      </c>
      <c r="G1387" s="89"/>
      <c r="H1387" s="108" t="s">
        <v>656</v>
      </c>
      <c r="I1387" s="91" t="s">
        <v>175</v>
      </c>
      <c r="J1387" s="117">
        <v>5</v>
      </c>
      <c r="K1387" s="127">
        <v>1450</v>
      </c>
      <c r="L1387" s="95">
        <f>K1387*J1387</f>
        <v>7250</v>
      </c>
      <c r="M1387" s="118">
        <v>5</v>
      </c>
      <c r="N1387" s="118">
        <v>5</v>
      </c>
      <c r="O1387" s="415">
        <v>1450</v>
      </c>
      <c r="P1387" s="96">
        <f t="shared" si="42"/>
        <v>7250</v>
      </c>
      <c r="Q1387" s="96">
        <f t="shared" si="43"/>
        <v>7250</v>
      </c>
    </row>
    <row r="1388" spans="1:17" x14ac:dyDescent="0.35">
      <c r="A1388" s="11" t="s">
        <v>760</v>
      </c>
      <c r="B1388" s="123" t="s">
        <v>339</v>
      </c>
      <c r="C1388" s="284"/>
      <c r="D1388" s="365"/>
      <c r="E1388" s="365"/>
      <c r="F1388" s="89" t="s">
        <v>26</v>
      </c>
      <c r="G1388" s="89"/>
      <c r="H1388" s="108" t="s">
        <v>799</v>
      </c>
      <c r="I1388" s="91" t="s">
        <v>175</v>
      </c>
      <c r="J1388" s="117">
        <v>1</v>
      </c>
      <c r="K1388" s="127">
        <v>1550</v>
      </c>
      <c r="L1388" s="95">
        <f>K1388*J1388</f>
        <v>1550</v>
      </c>
      <c r="M1388" s="118">
        <v>1</v>
      </c>
      <c r="N1388" s="118">
        <v>1</v>
      </c>
      <c r="O1388" s="415">
        <v>1550</v>
      </c>
      <c r="P1388" s="96">
        <f t="shared" si="42"/>
        <v>1550</v>
      </c>
      <c r="Q1388" s="96">
        <f t="shared" si="43"/>
        <v>1550</v>
      </c>
    </row>
    <row r="1389" spans="1:17" ht="13" x14ac:dyDescent="0.35">
      <c r="A1389" s="11" t="s">
        <v>760</v>
      </c>
      <c r="B1389" s="123" t="s">
        <v>339</v>
      </c>
      <c r="C1389" s="284"/>
      <c r="D1389" s="365"/>
      <c r="E1389" s="365"/>
      <c r="F1389" s="89"/>
      <c r="G1389" s="89"/>
      <c r="H1389" s="126" t="s">
        <v>349</v>
      </c>
      <c r="I1389" s="91"/>
      <c r="J1389" s="128"/>
      <c r="K1389" s="127"/>
      <c r="L1389" s="95"/>
      <c r="M1389" s="129"/>
      <c r="N1389" s="129"/>
      <c r="O1389" s="415"/>
      <c r="P1389" s="96">
        <f t="shared" si="42"/>
        <v>0</v>
      </c>
      <c r="Q1389" s="96">
        <f t="shared" si="43"/>
        <v>0</v>
      </c>
    </row>
    <row r="1390" spans="1:17" ht="13" x14ac:dyDescent="0.35">
      <c r="A1390" s="11" t="s">
        <v>760</v>
      </c>
      <c r="B1390" s="123" t="s">
        <v>339</v>
      </c>
      <c r="C1390" s="284"/>
      <c r="D1390" s="365"/>
      <c r="E1390" s="365"/>
      <c r="F1390" s="89"/>
      <c r="G1390" s="89"/>
      <c r="H1390" s="126" t="s">
        <v>350</v>
      </c>
      <c r="I1390" s="91"/>
      <c r="J1390" s="128"/>
      <c r="K1390" s="127"/>
      <c r="L1390" s="95"/>
      <c r="M1390" s="129"/>
      <c r="N1390" s="129"/>
      <c r="O1390" s="415"/>
      <c r="P1390" s="96">
        <f t="shared" si="42"/>
        <v>0</v>
      </c>
      <c r="Q1390" s="96">
        <f t="shared" si="43"/>
        <v>0</v>
      </c>
    </row>
    <row r="1391" spans="1:17" ht="25" x14ac:dyDescent="0.35">
      <c r="A1391" s="11" t="s">
        <v>760</v>
      </c>
      <c r="B1391" s="123" t="s">
        <v>339</v>
      </c>
      <c r="C1391" s="284"/>
      <c r="D1391" s="365"/>
      <c r="E1391" s="365"/>
      <c r="F1391" s="89" t="s">
        <v>29</v>
      </c>
      <c r="G1391" s="89"/>
      <c r="H1391" s="108" t="s">
        <v>800</v>
      </c>
      <c r="I1391" s="91" t="s">
        <v>175</v>
      </c>
      <c r="J1391" s="128">
        <v>4</v>
      </c>
      <c r="K1391" s="125">
        <v>1450</v>
      </c>
      <c r="L1391" s="48">
        <f>K1391*J1391</f>
        <v>5800</v>
      </c>
      <c r="M1391" s="129">
        <v>4</v>
      </c>
      <c r="N1391" s="129">
        <v>4</v>
      </c>
      <c r="O1391" s="414">
        <v>1450</v>
      </c>
      <c r="P1391" s="49">
        <f t="shared" si="42"/>
        <v>5800</v>
      </c>
      <c r="Q1391" s="49">
        <f t="shared" si="43"/>
        <v>5800</v>
      </c>
    </row>
    <row r="1392" spans="1:17" ht="37.5" x14ac:dyDescent="0.35">
      <c r="A1392" s="11" t="s">
        <v>760</v>
      </c>
      <c r="B1392" s="123" t="s">
        <v>339</v>
      </c>
      <c r="C1392" s="284"/>
      <c r="D1392" s="365"/>
      <c r="E1392" s="365"/>
      <c r="F1392" s="89" t="s">
        <v>32</v>
      </c>
      <c r="G1392" s="89"/>
      <c r="H1392" s="132" t="s">
        <v>801</v>
      </c>
      <c r="I1392" s="112" t="s">
        <v>175</v>
      </c>
      <c r="J1392" s="45">
        <v>1</v>
      </c>
      <c r="K1392" s="94">
        <v>18000</v>
      </c>
      <c r="L1392" s="95">
        <f>J1392*K1392</f>
        <v>18000</v>
      </c>
      <c r="M1392" s="46">
        <v>1</v>
      </c>
      <c r="N1392" s="46">
        <v>1</v>
      </c>
      <c r="O1392" s="411">
        <v>18000</v>
      </c>
      <c r="P1392" s="96">
        <f t="shared" si="42"/>
        <v>18000</v>
      </c>
      <c r="Q1392" s="96">
        <f t="shared" si="43"/>
        <v>18000</v>
      </c>
    </row>
    <row r="1393" spans="1:17" ht="13" x14ac:dyDescent="0.35">
      <c r="A1393" s="11" t="s">
        <v>760</v>
      </c>
      <c r="B1393" s="10" t="s">
        <v>358</v>
      </c>
      <c r="C1393" s="284"/>
      <c r="D1393" s="365"/>
      <c r="E1393" s="365"/>
      <c r="F1393" s="11"/>
      <c r="G1393" s="11"/>
      <c r="H1393" s="262" t="s">
        <v>762</v>
      </c>
      <c r="I1393" s="44"/>
      <c r="J1393" s="117"/>
      <c r="K1393" s="70"/>
      <c r="L1393" s="48"/>
      <c r="M1393" s="118"/>
      <c r="N1393" s="118"/>
      <c r="O1393" s="409"/>
      <c r="P1393" s="49">
        <f t="shared" si="42"/>
        <v>0</v>
      </c>
      <c r="Q1393" s="49">
        <f t="shared" si="43"/>
        <v>0</v>
      </c>
    </row>
    <row r="1394" spans="1:17" ht="13" x14ac:dyDescent="0.35">
      <c r="A1394" s="11" t="s">
        <v>760</v>
      </c>
      <c r="B1394" s="10" t="s">
        <v>358</v>
      </c>
      <c r="C1394" s="284"/>
      <c r="D1394" s="365"/>
      <c r="E1394" s="365"/>
      <c r="F1394" s="11"/>
      <c r="G1394" s="11"/>
      <c r="H1394" s="262" t="s">
        <v>763</v>
      </c>
      <c r="I1394" s="44"/>
      <c r="J1394" s="117"/>
      <c r="K1394" s="70"/>
      <c r="L1394" s="48"/>
      <c r="M1394" s="118"/>
      <c r="N1394" s="118"/>
      <c r="O1394" s="409"/>
      <c r="P1394" s="49">
        <f t="shared" si="42"/>
        <v>0</v>
      </c>
      <c r="Q1394" s="49">
        <f t="shared" si="43"/>
        <v>0</v>
      </c>
    </row>
    <row r="1395" spans="1:17" ht="13" x14ac:dyDescent="0.35">
      <c r="A1395" s="11" t="s">
        <v>760</v>
      </c>
      <c r="B1395" s="10" t="s">
        <v>358</v>
      </c>
      <c r="C1395" s="284"/>
      <c r="D1395" s="365"/>
      <c r="E1395" s="365"/>
      <c r="F1395" s="11"/>
      <c r="G1395" s="11"/>
      <c r="H1395" s="43" t="s">
        <v>359</v>
      </c>
      <c r="I1395" s="44"/>
      <c r="J1395" s="117"/>
      <c r="K1395" s="70"/>
      <c r="L1395" s="48"/>
      <c r="M1395" s="118"/>
      <c r="N1395" s="118"/>
      <c r="O1395" s="409"/>
      <c r="P1395" s="49">
        <f t="shared" si="42"/>
        <v>0</v>
      </c>
      <c r="Q1395" s="49">
        <f t="shared" si="43"/>
        <v>0</v>
      </c>
    </row>
    <row r="1396" spans="1:17" ht="13" x14ac:dyDescent="0.35">
      <c r="A1396" s="11" t="s">
        <v>760</v>
      </c>
      <c r="B1396" s="10" t="s">
        <v>358</v>
      </c>
      <c r="C1396" s="284"/>
      <c r="D1396" s="365"/>
      <c r="E1396" s="365"/>
      <c r="F1396" s="11"/>
      <c r="G1396" s="11"/>
      <c r="H1396" s="43" t="s">
        <v>360</v>
      </c>
      <c r="I1396" s="44"/>
      <c r="J1396" s="117"/>
      <c r="K1396" s="70"/>
      <c r="L1396" s="48"/>
      <c r="M1396" s="118"/>
      <c r="N1396" s="118"/>
      <c r="O1396" s="409"/>
      <c r="P1396" s="49">
        <f t="shared" si="42"/>
        <v>0</v>
      </c>
      <c r="Q1396" s="49">
        <f t="shared" si="43"/>
        <v>0</v>
      </c>
    </row>
    <row r="1397" spans="1:17" ht="13" x14ac:dyDescent="0.35">
      <c r="A1397" s="11" t="s">
        <v>760</v>
      </c>
      <c r="B1397" s="10" t="s">
        <v>358</v>
      </c>
      <c r="C1397" s="284"/>
      <c r="D1397" s="365"/>
      <c r="E1397" s="365"/>
      <c r="F1397" s="50"/>
      <c r="G1397" s="50"/>
      <c r="H1397" s="57" t="s">
        <v>100</v>
      </c>
      <c r="I1397" s="51"/>
      <c r="J1397" s="72"/>
      <c r="K1397" s="133"/>
      <c r="L1397" s="55"/>
      <c r="M1397" s="73"/>
      <c r="N1397" s="73"/>
      <c r="O1397" s="416"/>
      <c r="P1397" s="56">
        <f t="shared" si="42"/>
        <v>0</v>
      </c>
      <c r="Q1397" s="56">
        <f t="shared" si="43"/>
        <v>0</v>
      </c>
    </row>
    <row r="1398" spans="1:17" ht="13" x14ac:dyDescent="0.35">
      <c r="A1398" s="11" t="s">
        <v>760</v>
      </c>
      <c r="B1398" s="10" t="s">
        <v>358</v>
      </c>
      <c r="C1398" s="284"/>
      <c r="D1398" s="365"/>
      <c r="E1398" s="365"/>
      <c r="F1398" s="50"/>
      <c r="G1398" s="50"/>
      <c r="H1398" s="60" t="s">
        <v>101</v>
      </c>
      <c r="I1398" s="51"/>
      <c r="J1398" s="72"/>
      <c r="K1398" s="133"/>
      <c r="L1398" s="55"/>
      <c r="M1398" s="73"/>
      <c r="N1398" s="73"/>
      <c r="O1398" s="416"/>
      <c r="P1398" s="56">
        <f t="shared" si="42"/>
        <v>0</v>
      </c>
      <c r="Q1398" s="56">
        <f t="shared" si="43"/>
        <v>0</v>
      </c>
    </row>
    <row r="1399" spans="1:17" ht="13" x14ac:dyDescent="0.35">
      <c r="A1399" s="11" t="s">
        <v>760</v>
      </c>
      <c r="B1399" s="10" t="s">
        <v>358</v>
      </c>
      <c r="C1399" s="284"/>
      <c r="D1399" s="365"/>
      <c r="E1399" s="365"/>
      <c r="F1399" s="11"/>
      <c r="G1399" s="134"/>
      <c r="H1399" s="57" t="s">
        <v>361</v>
      </c>
      <c r="I1399" s="44"/>
      <c r="J1399" s="117"/>
      <c r="K1399" s="70"/>
      <c r="L1399" s="48"/>
      <c r="M1399" s="118"/>
      <c r="N1399" s="118"/>
      <c r="O1399" s="409"/>
      <c r="P1399" s="49">
        <f t="shared" si="42"/>
        <v>0</v>
      </c>
      <c r="Q1399" s="49">
        <f t="shared" si="43"/>
        <v>0</v>
      </c>
    </row>
    <row r="1400" spans="1:17" ht="13" x14ac:dyDescent="0.35">
      <c r="A1400" s="11" t="s">
        <v>760</v>
      </c>
      <c r="B1400" s="10" t="s">
        <v>358</v>
      </c>
      <c r="C1400" s="284"/>
      <c r="D1400" s="365"/>
      <c r="E1400" s="365"/>
      <c r="F1400" s="11"/>
      <c r="G1400" s="134"/>
      <c r="H1400" s="57" t="s">
        <v>362</v>
      </c>
      <c r="I1400" s="44"/>
      <c r="J1400" s="117"/>
      <c r="K1400" s="70"/>
      <c r="L1400" s="48"/>
      <c r="M1400" s="118"/>
      <c r="N1400" s="118"/>
      <c r="O1400" s="409"/>
      <c r="P1400" s="49">
        <f t="shared" si="42"/>
        <v>0</v>
      </c>
      <c r="Q1400" s="49">
        <f t="shared" si="43"/>
        <v>0</v>
      </c>
    </row>
    <row r="1401" spans="1:17" ht="14.5" x14ac:dyDescent="0.35">
      <c r="A1401" s="11" t="s">
        <v>760</v>
      </c>
      <c r="B1401" s="10" t="s">
        <v>358</v>
      </c>
      <c r="C1401" s="284"/>
      <c r="D1401" s="365"/>
      <c r="E1401" s="365"/>
      <c r="F1401" s="11" t="s">
        <v>20</v>
      </c>
      <c r="G1401" s="134"/>
      <c r="H1401" s="60" t="s">
        <v>363</v>
      </c>
      <c r="I1401" s="44" t="s">
        <v>110</v>
      </c>
      <c r="J1401" s="135">
        <v>21</v>
      </c>
      <c r="K1401" s="70">
        <v>165</v>
      </c>
      <c r="L1401" s="48">
        <f>J1401*K1401</f>
        <v>3465</v>
      </c>
      <c r="M1401" s="136">
        <v>21</v>
      </c>
      <c r="N1401" s="136">
        <v>21</v>
      </c>
      <c r="O1401" s="409">
        <v>165</v>
      </c>
      <c r="P1401" s="49">
        <f t="shared" si="42"/>
        <v>3465</v>
      </c>
      <c r="Q1401" s="49">
        <f t="shared" si="43"/>
        <v>3465</v>
      </c>
    </row>
    <row r="1402" spans="1:17" ht="13" x14ac:dyDescent="0.35">
      <c r="A1402" s="11" t="s">
        <v>760</v>
      </c>
      <c r="B1402" s="10" t="s">
        <v>358</v>
      </c>
      <c r="C1402" s="284"/>
      <c r="D1402" s="365"/>
      <c r="E1402" s="365"/>
      <c r="F1402" s="11"/>
      <c r="G1402" s="11"/>
      <c r="H1402" s="57" t="s">
        <v>364</v>
      </c>
      <c r="I1402" s="44"/>
      <c r="J1402" s="117"/>
      <c r="K1402" s="70"/>
      <c r="L1402" s="48"/>
      <c r="M1402" s="118"/>
      <c r="N1402" s="118"/>
      <c r="O1402" s="409"/>
      <c r="P1402" s="49">
        <f t="shared" si="42"/>
        <v>0</v>
      </c>
      <c r="Q1402" s="49">
        <f t="shared" si="43"/>
        <v>0</v>
      </c>
    </row>
    <row r="1403" spans="1:17" ht="26" x14ac:dyDescent="0.35">
      <c r="A1403" s="11" t="s">
        <v>760</v>
      </c>
      <c r="B1403" s="10" t="s">
        <v>358</v>
      </c>
      <c r="C1403" s="284"/>
      <c r="D1403" s="365"/>
      <c r="E1403" s="365"/>
      <c r="F1403" s="11"/>
      <c r="G1403" s="11"/>
      <c r="H1403" s="57" t="s">
        <v>365</v>
      </c>
      <c r="I1403" s="44"/>
      <c r="J1403" s="117"/>
      <c r="K1403" s="70"/>
      <c r="L1403" s="48"/>
      <c r="M1403" s="118"/>
      <c r="N1403" s="118"/>
      <c r="O1403" s="409"/>
      <c r="P1403" s="49">
        <f t="shared" si="42"/>
        <v>0</v>
      </c>
      <c r="Q1403" s="49">
        <f t="shared" si="43"/>
        <v>0</v>
      </c>
    </row>
    <row r="1404" spans="1:17" ht="14.5" x14ac:dyDescent="0.35">
      <c r="A1404" s="11" t="s">
        <v>760</v>
      </c>
      <c r="B1404" s="10" t="s">
        <v>358</v>
      </c>
      <c r="C1404" s="284"/>
      <c r="D1404" s="365"/>
      <c r="E1404" s="365"/>
      <c r="F1404" s="11" t="s">
        <v>26</v>
      </c>
      <c r="G1404" s="11"/>
      <c r="H1404" s="60" t="s">
        <v>366</v>
      </c>
      <c r="I1404" s="44" t="s">
        <v>110</v>
      </c>
      <c r="J1404" s="135">
        <v>148</v>
      </c>
      <c r="K1404" s="70">
        <v>95</v>
      </c>
      <c r="L1404" s="48">
        <f>J1404*K1404</f>
        <v>14060</v>
      </c>
      <c r="M1404" s="136">
        <v>148</v>
      </c>
      <c r="N1404" s="136">
        <v>148</v>
      </c>
      <c r="O1404" s="409">
        <v>95</v>
      </c>
      <c r="P1404" s="49">
        <f t="shared" si="42"/>
        <v>14060</v>
      </c>
      <c r="Q1404" s="49">
        <f t="shared" si="43"/>
        <v>14060</v>
      </c>
    </row>
    <row r="1405" spans="1:17" ht="13" x14ac:dyDescent="0.35">
      <c r="A1405" s="11" t="s">
        <v>760</v>
      </c>
      <c r="B1405" s="10" t="s">
        <v>802</v>
      </c>
      <c r="C1405" s="284"/>
      <c r="D1405" s="365"/>
      <c r="E1405" s="365"/>
      <c r="F1405" s="11"/>
      <c r="G1405" s="11"/>
      <c r="H1405" s="262" t="s">
        <v>762</v>
      </c>
      <c r="I1405" s="44"/>
      <c r="J1405" s="116"/>
      <c r="K1405" s="192"/>
      <c r="L1405" s="48"/>
      <c r="M1405" s="46"/>
      <c r="N1405" s="46"/>
      <c r="O1405" s="407"/>
      <c r="P1405" s="49">
        <f t="shared" si="42"/>
        <v>0</v>
      </c>
      <c r="Q1405" s="49">
        <f t="shared" si="43"/>
        <v>0</v>
      </c>
    </row>
    <row r="1406" spans="1:17" ht="13" x14ac:dyDescent="0.35">
      <c r="A1406" s="11" t="s">
        <v>760</v>
      </c>
      <c r="B1406" s="10" t="s">
        <v>802</v>
      </c>
      <c r="C1406" s="284"/>
      <c r="D1406" s="365"/>
      <c r="E1406" s="365"/>
      <c r="F1406" s="11"/>
      <c r="G1406" s="11"/>
      <c r="H1406" s="262" t="s">
        <v>763</v>
      </c>
      <c r="I1406" s="44"/>
      <c r="J1406" s="116"/>
      <c r="K1406" s="192"/>
      <c r="L1406" s="48"/>
      <c r="M1406" s="46"/>
      <c r="N1406" s="46"/>
      <c r="O1406" s="407"/>
      <c r="P1406" s="49">
        <f t="shared" si="42"/>
        <v>0</v>
      </c>
      <c r="Q1406" s="49">
        <f t="shared" si="43"/>
        <v>0</v>
      </c>
    </row>
    <row r="1407" spans="1:17" ht="13" x14ac:dyDescent="0.35">
      <c r="A1407" s="11" t="s">
        <v>760</v>
      </c>
      <c r="B1407" s="10" t="s">
        <v>802</v>
      </c>
      <c r="C1407" s="284"/>
      <c r="D1407" s="365"/>
      <c r="E1407" s="365"/>
      <c r="F1407" s="11"/>
      <c r="G1407" s="11"/>
      <c r="H1407" s="43" t="s">
        <v>370</v>
      </c>
      <c r="I1407" s="44"/>
      <c r="J1407" s="116"/>
      <c r="K1407" s="192"/>
      <c r="L1407" s="48"/>
      <c r="M1407" s="46"/>
      <c r="N1407" s="46"/>
      <c r="O1407" s="407"/>
      <c r="P1407" s="49">
        <f t="shared" si="42"/>
        <v>0</v>
      </c>
      <c r="Q1407" s="49">
        <f t="shared" si="43"/>
        <v>0</v>
      </c>
    </row>
    <row r="1408" spans="1:17" ht="13" x14ac:dyDescent="0.35">
      <c r="A1408" s="11" t="s">
        <v>760</v>
      </c>
      <c r="B1408" s="10" t="s">
        <v>802</v>
      </c>
      <c r="C1408" s="284"/>
      <c r="D1408" s="365"/>
      <c r="E1408" s="365"/>
      <c r="F1408" s="11"/>
      <c r="G1408" s="11"/>
      <c r="H1408" s="43" t="s">
        <v>371</v>
      </c>
      <c r="I1408" s="44"/>
      <c r="J1408" s="116"/>
      <c r="K1408" s="192"/>
      <c r="L1408" s="48"/>
      <c r="M1408" s="46"/>
      <c r="N1408" s="46"/>
      <c r="O1408" s="407"/>
      <c r="P1408" s="49">
        <f t="shared" si="42"/>
        <v>0</v>
      </c>
      <c r="Q1408" s="49">
        <f t="shared" si="43"/>
        <v>0</v>
      </c>
    </row>
    <row r="1409" spans="1:17" ht="13" x14ac:dyDescent="0.35">
      <c r="A1409" s="11" t="s">
        <v>760</v>
      </c>
      <c r="B1409" s="10" t="s">
        <v>802</v>
      </c>
      <c r="C1409" s="284"/>
      <c r="D1409" s="365"/>
      <c r="E1409" s="365"/>
      <c r="F1409" s="11"/>
      <c r="G1409" s="11"/>
      <c r="H1409" s="57" t="s">
        <v>100</v>
      </c>
      <c r="I1409" s="44"/>
      <c r="J1409" s="116"/>
      <c r="K1409" s="192"/>
      <c r="L1409" s="48"/>
      <c r="M1409" s="46"/>
      <c r="N1409" s="46"/>
      <c r="O1409" s="407"/>
      <c r="P1409" s="49">
        <f t="shared" si="42"/>
        <v>0</v>
      </c>
      <c r="Q1409" s="49">
        <f t="shared" si="43"/>
        <v>0</v>
      </c>
    </row>
    <row r="1410" spans="1:17" x14ac:dyDescent="0.35">
      <c r="A1410" s="11" t="s">
        <v>760</v>
      </c>
      <c r="B1410" s="10" t="s">
        <v>802</v>
      </c>
      <c r="C1410" s="284"/>
      <c r="D1410" s="365"/>
      <c r="E1410" s="365"/>
      <c r="F1410" s="11"/>
      <c r="G1410" s="11"/>
      <c r="H1410" s="60" t="s">
        <v>101</v>
      </c>
      <c r="I1410" s="44"/>
      <c r="J1410" s="116"/>
      <c r="K1410" s="192"/>
      <c r="L1410" s="48"/>
      <c r="M1410" s="46"/>
      <c r="N1410" s="46"/>
      <c r="O1410" s="407"/>
      <c r="P1410" s="49">
        <f t="shared" si="42"/>
        <v>0</v>
      </c>
      <c r="Q1410" s="49">
        <f t="shared" si="43"/>
        <v>0</v>
      </c>
    </row>
    <row r="1411" spans="1:17" ht="13" x14ac:dyDescent="0.35">
      <c r="A1411" s="11" t="s">
        <v>760</v>
      </c>
      <c r="B1411" s="10" t="s">
        <v>802</v>
      </c>
      <c r="C1411" s="284"/>
      <c r="D1411" s="365"/>
      <c r="E1411" s="365"/>
      <c r="F1411" s="11"/>
      <c r="G1411" s="11"/>
      <c r="H1411" s="57" t="s">
        <v>333</v>
      </c>
      <c r="I1411" s="44"/>
      <c r="J1411" s="116"/>
      <c r="K1411" s="192"/>
      <c r="L1411" s="48"/>
      <c r="M1411" s="46"/>
      <c r="N1411" s="46"/>
      <c r="O1411" s="407"/>
      <c r="P1411" s="49">
        <f t="shared" si="42"/>
        <v>0</v>
      </c>
      <c r="Q1411" s="49">
        <f t="shared" si="43"/>
        <v>0</v>
      </c>
    </row>
    <row r="1412" spans="1:17" x14ac:dyDescent="0.35">
      <c r="A1412" s="11" t="s">
        <v>760</v>
      </c>
      <c r="B1412" s="10" t="s">
        <v>802</v>
      </c>
      <c r="C1412" s="284"/>
      <c r="D1412" s="365"/>
      <c r="E1412" s="365"/>
      <c r="F1412" s="11"/>
      <c r="G1412" s="11"/>
      <c r="H1412" s="62" t="s">
        <v>372</v>
      </c>
      <c r="I1412" s="44"/>
      <c r="J1412" s="116"/>
      <c r="K1412" s="192"/>
      <c r="L1412" s="48"/>
      <c r="M1412" s="46"/>
      <c r="N1412" s="46"/>
      <c r="O1412" s="407"/>
      <c r="P1412" s="49">
        <f t="shared" si="42"/>
        <v>0</v>
      </c>
      <c r="Q1412" s="49">
        <f t="shared" si="43"/>
        <v>0</v>
      </c>
    </row>
    <row r="1413" spans="1:17" ht="25" x14ac:dyDescent="0.35">
      <c r="A1413" s="11" t="s">
        <v>760</v>
      </c>
      <c r="B1413" s="10" t="s">
        <v>802</v>
      </c>
      <c r="C1413" s="284"/>
      <c r="D1413" s="365"/>
      <c r="E1413" s="365"/>
      <c r="F1413" s="11"/>
      <c r="G1413" s="11"/>
      <c r="H1413" s="60" t="s">
        <v>373</v>
      </c>
      <c r="I1413" s="44"/>
      <c r="J1413" s="116"/>
      <c r="K1413" s="192"/>
      <c r="L1413" s="48"/>
      <c r="M1413" s="46"/>
      <c r="N1413" s="46"/>
      <c r="O1413" s="407"/>
      <c r="P1413" s="49">
        <f t="shared" si="42"/>
        <v>0</v>
      </c>
      <c r="Q1413" s="49">
        <f t="shared" si="43"/>
        <v>0</v>
      </c>
    </row>
    <row r="1414" spans="1:17" x14ac:dyDescent="0.35">
      <c r="A1414" s="11" t="s">
        <v>760</v>
      </c>
      <c r="B1414" s="10" t="s">
        <v>802</v>
      </c>
      <c r="C1414" s="284"/>
      <c r="D1414" s="365"/>
      <c r="E1414" s="365"/>
      <c r="F1414" s="11"/>
      <c r="G1414" s="11"/>
      <c r="H1414" s="62" t="s">
        <v>374</v>
      </c>
      <c r="I1414" s="44"/>
      <c r="J1414" s="116"/>
      <c r="K1414" s="192"/>
      <c r="L1414" s="48"/>
      <c r="M1414" s="46"/>
      <c r="N1414" s="46"/>
      <c r="O1414" s="407"/>
      <c r="P1414" s="49">
        <f t="shared" si="42"/>
        <v>0</v>
      </c>
      <c r="Q1414" s="49">
        <f t="shared" si="43"/>
        <v>0</v>
      </c>
    </row>
    <row r="1415" spans="1:17" ht="75" x14ac:dyDescent="0.35">
      <c r="A1415" s="11" t="s">
        <v>760</v>
      </c>
      <c r="B1415" s="10" t="s">
        <v>802</v>
      </c>
      <c r="C1415" s="284"/>
      <c r="D1415" s="365"/>
      <c r="E1415" s="365"/>
      <c r="F1415" s="11"/>
      <c r="G1415" s="11"/>
      <c r="H1415" s="60" t="s">
        <v>375</v>
      </c>
      <c r="I1415" s="44"/>
      <c r="J1415" s="116"/>
      <c r="K1415" s="192"/>
      <c r="L1415" s="48"/>
      <c r="M1415" s="46"/>
      <c r="N1415" s="46"/>
      <c r="O1415" s="407"/>
      <c r="P1415" s="49">
        <f t="shared" si="42"/>
        <v>0</v>
      </c>
      <c r="Q1415" s="49">
        <f t="shared" si="43"/>
        <v>0</v>
      </c>
    </row>
    <row r="1416" spans="1:17" x14ac:dyDescent="0.35">
      <c r="A1416" s="11" t="s">
        <v>760</v>
      </c>
      <c r="B1416" s="10" t="s">
        <v>802</v>
      </c>
      <c r="C1416" s="284"/>
      <c r="D1416" s="365"/>
      <c r="E1416" s="365"/>
      <c r="F1416" s="11"/>
      <c r="G1416" s="11"/>
      <c r="H1416" s="62" t="s">
        <v>376</v>
      </c>
      <c r="I1416" s="44"/>
      <c r="J1416" s="116"/>
      <c r="K1416" s="192"/>
      <c r="L1416" s="48"/>
      <c r="M1416" s="46"/>
      <c r="N1416" s="46"/>
      <c r="O1416" s="407"/>
      <c r="P1416" s="49">
        <f t="shared" si="42"/>
        <v>0</v>
      </c>
      <c r="Q1416" s="49">
        <f t="shared" si="43"/>
        <v>0</v>
      </c>
    </row>
    <row r="1417" spans="1:17" ht="25" x14ac:dyDescent="0.35">
      <c r="A1417" s="11" t="s">
        <v>760</v>
      </c>
      <c r="B1417" s="10" t="s">
        <v>802</v>
      </c>
      <c r="C1417" s="284"/>
      <c r="D1417" s="365"/>
      <c r="E1417" s="365"/>
      <c r="F1417" s="11"/>
      <c r="G1417" s="11"/>
      <c r="H1417" s="60" t="s">
        <v>377</v>
      </c>
      <c r="I1417" s="44"/>
      <c r="J1417" s="116"/>
      <c r="K1417" s="192"/>
      <c r="L1417" s="48"/>
      <c r="M1417" s="46"/>
      <c r="N1417" s="46"/>
      <c r="O1417" s="407"/>
      <c r="P1417" s="49">
        <f t="shared" si="42"/>
        <v>0</v>
      </c>
      <c r="Q1417" s="49">
        <f t="shared" si="43"/>
        <v>0</v>
      </c>
    </row>
    <row r="1418" spans="1:17" x14ac:dyDescent="0.35">
      <c r="A1418" s="11" t="s">
        <v>760</v>
      </c>
      <c r="B1418" s="10" t="s">
        <v>802</v>
      </c>
      <c r="C1418" s="284"/>
      <c r="D1418" s="365"/>
      <c r="E1418" s="365"/>
      <c r="F1418" s="11"/>
      <c r="G1418" s="11"/>
      <c r="H1418" s="62" t="s">
        <v>378</v>
      </c>
      <c r="I1418" s="44"/>
      <c r="J1418" s="116"/>
      <c r="K1418" s="192"/>
      <c r="L1418" s="48"/>
      <c r="M1418" s="46"/>
      <c r="N1418" s="46"/>
      <c r="O1418" s="407"/>
      <c r="P1418" s="49">
        <f t="shared" ref="P1418:P1481" si="44">O1418*M1418</f>
        <v>0</v>
      </c>
      <c r="Q1418" s="49">
        <f t="shared" ref="Q1418:Q1481" si="45">O1418*N1418</f>
        <v>0</v>
      </c>
    </row>
    <row r="1419" spans="1:17" ht="37.5" x14ac:dyDescent="0.35">
      <c r="A1419" s="11" t="s">
        <v>760</v>
      </c>
      <c r="B1419" s="10" t="s">
        <v>802</v>
      </c>
      <c r="C1419" s="284"/>
      <c r="D1419" s="365"/>
      <c r="E1419" s="365"/>
      <c r="F1419" s="11"/>
      <c r="G1419" s="11"/>
      <c r="H1419" s="60" t="s">
        <v>379</v>
      </c>
      <c r="I1419" s="44"/>
      <c r="J1419" s="116"/>
      <c r="K1419" s="192"/>
      <c r="L1419" s="48"/>
      <c r="M1419" s="46"/>
      <c r="N1419" s="46"/>
      <c r="O1419" s="407"/>
      <c r="P1419" s="49">
        <f t="shared" si="44"/>
        <v>0</v>
      </c>
      <c r="Q1419" s="49">
        <f t="shared" si="45"/>
        <v>0</v>
      </c>
    </row>
    <row r="1420" spans="1:17" x14ac:dyDescent="0.35">
      <c r="A1420" s="11" t="s">
        <v>760</v>
      </c>
      <c r="B1420" s="10" t="s">
        <v>802</v>
      </c>
      <c r="C1420" s="284"/>
      <c r="D1420" s="365"/>
      <c r="E1420" s="365"/>
      <c r="F1420" s="11"/>
      <c r="G1420" s="11"/>
      <c r="H1420" s="62" t="s">
        <v>380</v>
      </c>
      <c r="I1420" s="44"/>
      <c r="J1420" s="116"/>
      <c r="K1420" s="192"/>
      <c r="L1420" s="48"/>
      <c r="M1420" s="46"/>
      <c r="N1420" s="46"/>
      <c r="O1420" s="407"/>
      <c r="P1420" s="49">
        <f t="shared" si="44"/>
        <v>0</v>
      </c>
      <c r="Q1420" s="49">
        <f t="shared" si="45"/>
        <v>0</v>
      </c>
    </row>
    <row r="1421" spans="1:17" ht="62.5" x14ac:dyDescent="0.35">
      <c r="A1421" s="11" t="s">
        <v>760</v>
      </c>
      <c r="B1421" s="10" t="s">
        <v>802</v>
      </c>
      <c r="C1421" s="284"/>
      <c r="D1421" s="365"/>
      <c r="E1421" s="365"/>
      <c r="F1421" s="11"/>
      <c r="G1421" s="11"/>
      <c r="H1421" s="60" t="s">
        <v>381</v>
      </c>
      <c r="I1421" s="44"/>
      <c r="J1421" s="116"/>
      <c r="K1421" s="192"/>
      <c r="L1421" s="48"/>
      <c r="M1421" s="46"/>
      <c r="N1421" s="46"/>
      <c r="O1421" s="407"/>
      <c r="P1421" s="49">
        <f t="shared" si="44"/>
        <v>0</v>
      </c>
      <c r="Q1421" s="49">
        <f t="shared" si="45"/>
        <v>0</v>
      </c>
    </row>
    <row r="1422" spans="1:17" x14ac:dyDescent="0.35">
      <c r="A1422" s="11" t="s">
        <v>760</v>
      </c>
      <c r="B1422" s="10" t="s">
        <v>802</v>
      </c>
      <c r="C1422" s="284"/>
      <c r="D1422" s="365"/>
      <c r="E1422" s="365"/>
      <c r="F1422" s="11"/>
      <c r="G1422" s="11"/>
      <c r="H1422" s="62" t="s">
        <v>382</v>
      </c>
      <c r="I1422" s="44"/>
      <c r="J1422" s="116"/>
      <c r="K1422" s="192"/>
      <c r="L1422" s="48"/>
      <c r="M1422" s="46"/>
      <c r="N1422" s="46"/>
      <c r="O1422" s="407"/>
      <c r="P1422" s="49">
        <f t="shared" si="44"/>
        <v>0</v>
      </c>
      <c r="Q1422" s="49">
        <f t="shared" si="45"/>
        <v>0</v>
      </c>
    </row>
    <row r="1423" spans="1:17" ht="75" x14ac:dyDescent="0.35">
      <c r="A1423" s="11" t="s">
        <v>760</v>
      </c>
      <c r="B1423" s="10" t="s">
        <v>802</v>
      </c>
      <c r="C1423" s="284"/>
      <c r="D1423" s="365"/>
      <c r="E1423" s="365"/>
      <c r="F1423" s="11"/>
      <c r="G1423" s="11"/>
      <c r="H1423" s="60" t="s">
        <v>383</v>
      </c>
      <c r="I1423" s="44"/>
      <c r="J1423" s="116"/>
      <c r="K1423" s="192"/>
      <c r="L1423" s="48"/>
      <c r="M1423" s="46"/>
      <c r="N1423" s="46"/>
      <c r="O1423" s="407"/>
      <c r="P1423" s="49">
        <f t="shared" si="44"/>
        <v>0</v>
      </c>
      <c r="Q1423" s="49">
        <f t="shared" si="45"/>
        <v>0</v>
      </c>
    </row>
    <row r="1424" spans="1:17" x14ac:dyDescent="0.35">
      <c r="A1424" s="11" t="s">
        <v>760</v>
      </c>
      <c r="B1424" s="10" t="s">
        <v>802</v>
      </c>
      <c r="C1424" s="284"/>
      <c r="D1424" s="365"/>
      <c r="E1424" s="365"/>
      <c r="F1424" s="11"/>
      <c r="G1424" s="11"/>
      <c r="H1424" s="62" t="s">
        <v>384</v>
      </c>
      <c r="I1424" s="44"/>
      <c r="J1424" s="116"/>
      <c r="K1424" s="192"/>
      <c r="L1424" s="48"/>
      <c r="M1424" s="46"/>
      <c r="N1424" s="46"/>
      <c r="O1424" s="407"/>
      <c r="P1424" s="49">
        <f t="shared" si="44"/>
        <v>0</v>
      </c>
      <c r="Q1424" s="49">
        <f t="shared" si="45"/>
        <v>0</v>
      </c>
    </row>
    <row r="1425" spans="1:17" ht="50" x14ac:dyDescent="0.35">
      <c r="A1425" s="11" t="s">
        <v>760</v>
      </c>
      <c r="B1425" s="10" t="s">
        <v>802</v>
      </c>
      <c r="C1425" s="284"/>
      <c r="D1425" s="365"/>
      <c r="E1425" s="365"/>
      <c r="F1425" s="11"/>
      <c r="G1425" s="11"/>
      <c r="H1425" s="60" t="s">
        <v>385</v>
      </c>
      <c r="I1425" s="44"/>
      <c r="J1425" s="116"/>
      <c r="K1425" s="192"/>
      <c r="L1425" s="48"/>
      <c r="M1425" s="46"/>
      <c r="N1425" s="46"/>
      <c r="O1425" s="407"/>
      <c r="P1425" s="49">
        <f t="shared" si="44"/>
        <v>0</v>
      </c>
      <c r="Q1425" s="49">
        <f t="shared" si="45"/>
        <v>0</v>
      </c>
    </row>
    <row r="1426" spans="1:17" x14ac:dyDescent="0.35">
      <c r="A1426" s="11" t="s">
        <v>760</v>
      </c>
      <c r="B1426" s="10" t="s">
        <v>802</v>
      </c>
      <c r="C1426" s="284"/>
      <c r="D1426" s="365"/>
      <c r="E1426" s="365"/>
      <c r="F1426" s="11"/>
      <c r="G1426" s="11"/>
      <c r="H1426" s="62" t="s">
        <v>386</v>
      </c>
      <c r="I1426" s="44"/>
      <c r="J1426" s="116"/>
      <c r="K1426" s="192"/>
      <c r="L1426" s="48"/>
      <c r="M1426" s="46"/>
      <c r="N1426" s="46"/>
      <c r="O1426" s="407"/>
      <c r="P1426" s="49">
        <f t="shared" si="44"/>
        <v>0</v>
      </c>
      <c r="Q1426" s="49">
        <f t="shared" si="45"/>
        <v>0</v>
      </c>
    </row>
    <row r="1427" spans="1:17" ht="37.5" x14ac:dyDescent="0.35">
      <c r="A1427" s="11" t="s">
        <v>760</v>
      </c>
      <c r="B1427" s="10" t="s">
        <v>802</v>
      </c>
      <c r="C1427" s="284"/>
      <c r="D1427" s="365"/>
      <c r="E1427" s="365"/>
      <c r="F1427" s="11"/>
      <c r="G1427" s="11"/>
      <c r="H1427" s="60" t="s">
        <v>387</v>
      </c>
      <c r="I1427" s="44"/>
      <c r="J1427" s="116"/>
      <c r="K1427" s="192"/>
      <c r="L1427" s="48"/>
      <c r="M1427" s="46"/>
      <c r="N1427" s="46"/>
      <c r="O1427" s="407"/>
      <c r="P1427" s="49">
        <f t="shared" si="44"/>
        <v>0</v>
      </c>
      <c r="Q1427" s="49">
        <f t="shared" si="45"/>
        <v>0</v>
      </c>
    </row>
    <row r="1428" spans="1:17" x14ac:dyDescent="0.35">
      <c r="A1428" s="11" t="s">
        <v>760</v>
      </c>
      <c r="B1428" s="10" t="s">
        <v>802</v>
      </c>
      <c r="C1428" s="284"/>
      <c r="D1428" s="365"/>
      <c r="E1428" s="365"/>
      <c r="F1428" s="11"/>
      <c r="G1428" s="11"/>
      <c r="H1428" s="62" t="s">
        <v>388</v>
      </c>
      <c r="I1428" s="44"/>
      <c r="J1428" s="116"/>
      <c r="K1428" s="192"/>
      <c r="L1428" s="48"/>
      <c r="M1428" s="46"/>
      <c r="N1428" s="46"/>
      <c r="O1428" s="407"/>
      <c r="P1428" s="49">
        <f t="shared" si="44"/>
        <v>0</v>
      </c>
      <c r="Q1428" s="49">
        <f t="shared" si="45"/>
        <v>0</v>
      </c>
    </row>
    <row r="1429" spans="1:17" ht="37.5" x14ac:dyDescent="0.35">
      <c r="A1429" s="11" t="s">
        <v>760</v>
      </c>
      <c r="B1429" s="10" t="s">
        <v>802</v>
      </c>
      <c r="C1429" s="284"/>
      <c r="D1429" s="365"/>
      <c r="E1429" s="365"/>
      <c r="F1429" s="11"/>
      <c r="G1429" s="11"/>
      <c r="H1429" s="60" t="s">
        <v>389</v>
      </c>
      <c r="I1429" s="44"/>
      <c r="J1429" s="116"/>
      <c r="K1429" s="192"/>
      <c r="L1429" s="48"/>
      <c r="M1429" s="46"/>
      <c r="N1429" s="46"/>
      <c r="O1429" s="407"/>
      <c r="P1429" s="49">
        <f t="shared" si="44"/>
        <v>0</v>
      </c>
      <c r="Q1429" s="49">
        <f t="shared" si="45"/>
        <v>0</v>
      </c>
    </row>
    <row r="1430" spans="1:17" x14ac:dyDescent="0.35">
      <c r="A1430" s="11" t="s">
        <v>760</v>
      </c>
      <c r="B1430" s="10" t="s">
        <v>802</v>
      </c>
      <c r="C1430" s="284"/>
      <c r="D1430" s="365"/>
      <c r="E1430" s="365"/>
      <c r="F1430" s="11"/>
      <c r="G1430" s="11"/>
      <c r="H1430" s="62" t="s">
        <v>390</v>
      </c>
      <c r="I1430" s="44"/>
      <c r="J1430" s="116"/>
      <c r="K1430" s="192"/>
      <c r="L1430" s="48"/>
      <c r="M1430" s="46"/>
      <c r="N1430" s="46"/>
      <c r="O1430" s="407"/>
      <c r="P1430" s="49">
        <f t="shared" si="44"/>
        <v>0</v>
      </c>
      <c r="Q1430" s="49">
        <f t="shared" si="45"/>
        <v>0</v>
      </c>
    </row>
    <row r="1431" spans="1:17" x14ac:dyDescent="0.35">
      <c r="A1431" s="11" t="s">
        <v>760</v>
      </c>
      <c r="B1431" s="10" t="s">
        <v>802</v>
      </c>
      <c r="C1431" s="284"/>
      <c r="D1431" s="365"/>
      <c r="E1431" s="365"/>
      <c r="F1431" s="11"/>
      <c r="G1431" s="11"/>
      <c r="H1431" s="60" t="s">
        <v>391</v>
      </c>
      <c r="I1431" s="44"/>
      <c r="J1431" s="116"/>
      <c r="K1431" s="192"/>
      <c r="L1431" s="48"/>
      <c r="M1431" s="46"/>
      <c r="N1431" s="46"/>
      <c r="O1431" s="407"/>
      <c r="P1431" s="49">
        <f t="shared" si="44"/>
        <v>0</v>
      </c>
      <c r="Q1431" s="49">
        <f t="shared" si="45"/>
        <v>0</v>
      </c>
    </row>
    <row r="1432" spans="1:17" x14ac:dyDescent="0.35">
      <c r="A1432" s="11" t="s">
        <v>760</v>
      </c>
      <c r="B1432" s="10" t="s">
        <v>802</v>
      </c>
      <c r="C1432" s="284"/>
      <c r="D1432" s="365"/>
      <c r="E1432" s="365"/>
      <c r="F1432" s="11"/>
      <c r="G1432" s="11"/>
      <c r="H1432" s="62" t="s">
        <v>392</v>
      </c>
      <c r="I1432" s="44"/>
      <c r="J1432" s="116"/>
      <c r="K1432" s="192"/>
      <c r="L1432" s="48"/>
      <c r="M1432" s="46"/>
      <c r="N1432" s="46"/>
      <c r="O1432" s="407"/>
      <c r="P1432" s="49">
        <f t="shared" si="44"/>
        <v>0</v>
      </c>
      <c r="Q1432" s="49">
        <f t="shared" si="45"/>
        <v>0</v>
      </c>
    </row>
    <row r="1433" spans="1:17" ht="50" x14ac:dyDescent="0.35">
      <c r="A1433" s="11" t="s">
        <v>760</v>
      </c>
      <c r="B1433" s="10" t="s">
        <v>802</v>
      </c>
      <c r="C1433" s="284"/>
      <c r="D1433" s="365"/>
      <c r="E1433" s="365"/>
      <c r="F1433" s="11"/>
      <c r="G1433" s="11"/>
      <c r="H1433" s="60" t="s">
        <v>393</v>
      </c>
      <c r="I1433" s="44"/>
      <c r="J1433" s="116"/>
      <c r="K1433" s="192"/>
      <c r="L1433" s="48"/>
      <c r="M1433" s="46"/>
      <c r="N1433" s="46"/>
      <c r="O1433" s="407"/>
      <c r="P1433" s="49">
        <f t="shared" si="44"/>
        <v>0</v>
      </c>
      <c r="Q1433" s="49">
        <f t="shared" si="45"/>
        <v>0</v>
      </c>
    </row>
    <row r="1434" spans="1:17" ht="25" x14ac:dyDescent="0.35">
      <c r="A1434" s="11" t="s">
        <v>760</v>
      </c>
      <c r="B1434" s="10" t="s">
        <v>802</v>
      </c>
      <c r="C1434" s="284"/>
      <c r="D1434" s="365"/>
      <c r="E1434" s="365"/>
      <c r="F1434" s="11"/>
      <c r="G1434" s="11"/>
      <c r="H1434" s="60" t="s">
        <v>394</v>
      </c>
      <c r="I1434" s="44"/>
      <c r="J1434" s="116"/>
      <c r="K1434" s="192"/>
      <c r="L1434" s="48"/>
      <c r="M1434" s="46"/>
      <c r="N1434" s="46"/>
      <c r="O1434" s="407"/>
      <c r="P1434" s="49">
        <f t="shared" si="44"/>
        <v>0</v>
      </c>
      <c r="Q1434" s="49">
        <f t="shared" si="45"/>
        <v>0</v>
      </c>
    </row>
    <row r="1435" spans="1:17" x14ac:dyDescent="0.35">
      <c r="A1435" s="11" t="s">
        <v>760</v>
      </c>
      <c r="B1435" s="10" t="s">
        <v>802</v>
      </c>
      <c r="C1435" s="284"/>
      <c r="D1435" s="365"/>
      <c r="E1435" s="365"/>
      <c r="F1435" s="11"/>
      <c r="G1435" s="11"/>
      <c r="H1435" s="62" t="s">
        <v>395</v>
      </c>
      <c r="I1435" s="44"/>
      <c r="J1435" s="116"/>
      <c r="K1435" s="192"/>
      <c r="L1435" s="48"/>
      <c r="M1435" s="46"/>
      <c r="N1435" s="46"/>
      <c r="O1435" s="407"/>
      <c r="P1435" s="49">
        <f t="shared" si="44"/>
        <v>0</v>
      </c>
      <c r="Q1435" s="49">
        <f t="shared" si="45"/>
        <v>0</v>
      </c>
    </row>
    <row r="1436" spans="1:17" ht="25" x14ac:dyDescent="0.35">
      <c r="A1436" s="11" t="s">
        <v>760</v>
      </c>
      <c r="B1436" s="10" t="s">
        <v>802</v>
      </c>
      <c r="C1436" s="284"/>
      <c r="D1436" s="365"/>
      <c r="E1436" s="365"/>
      <c r="F1436" s="11"/>
      <c r="G1436" s="11"/>
      <c r="H1436" s="60" t="s">
        <v>396</v>
      </c>
      <c r="I1436" s="44"/>
      <c r="J1436" s="116"/>
      <c r="K1436" s="192"/>
      <c r="L1436" s="48"/>
      <c r="M1436" s="46"/>
      <c r="N1436" s="46"/>
      <c r="O1436" s="407"/>
      <c r="P1436" s="49">
        <f t="shared" si="44"/>
        <v>0</v>
      </c>
      <c r="Q1436" s="49">
        <f t="shared" si="45"/>
        <v>0</v>
      </c>
    </row>
    <row r="1437" spans="1:17" ht="25" x14ac:dyDescent="0.35">
      <c r="A1437" s="11" t="s">
        <v>760</v>
      </c>
      <c r="B1437" s="10" t="s">
        <v>802</v>
      </c>
      <c r="C1437" s="284"/>
      <c r="D1437" s="365"/>
      <c r="E1437" s="365"/>
      <c r="F1437" s="11"/>
      <c r="G1437" s="11"/>
      <c r="H1437" s="60" t="s">
        <v>397</v>
      </c>
      <c r="I1437" s="44"/>
      <c r="J1437" s="116"/>
      <c r="K1437" s="192"/>
      <c r="L1437" s="48"/>
      <c r="M1437" s="46"/>
      <c r="N1437" s="46"/>
      <c r="O1437" s="407"/>
      <c r="P1437" s="49">
        <f t="shared" si="44"/>
        <v>0</v>
      </c>
      <c r="Q1437" s="49">
        <f t="shared" si="45"/>
        <v>0</v>
      </c>
    </row>
    <row r="1438" spans="1:17" x14ac:dyDescent="0.35">
      <c r="A1438" s="11" t="s">
        <v>760</v>
      </c>
      <c r="B1438" s="10" t="s">
        <v>802</v>
      </c>
      <c r="C1438" s="284"/>
      <c r="D1438" s="365"/>
      <c r="E1438" s="365"/>
      <c r="F1438" s="11"/>
      <c r="G1438" s="11"/>
      <c r="H1438" s="62" t="s">
        <v>398</v>
      </c>
      <c r="I1438" s="44"/>
      <c r="J1438" s="116"/>
      <c r="K1438" s="192"/>
      <c r="L1438" s="48"/>
      <c r="M1438" s="46"/>
      <c r="N1438" s="46"/>
      <c r="O1438" s="407"/>
      <c r="P1438" s="49">
        <f t="shared" si="44"/>
        <v>0</v>
      </c>
      <c r="Q1438" s="49">
        <f t="shared" si="45"/>
        <v>0</v>
      </c>
    </row>
    <row r="1439" spans="1:17" ht="50" x14ac:dyDescent="0.35">
      <c r="A1439" s="11" t="s">
        <v>760</v>
      </c>
      <c r="B1439" s="10" t="s">
        <v>802</v>
      </c>
      <c r="C1439" s="284"/>
      <c r="D1439" s="365"/>
      <c r="E1439" s="365"/>
      <c r="F1439" s="11"/>
      <c r="G1439" s="11"/>
      <c r="H1439" s="60" t="s">
        <v>399</v>
      </c>
      <c r="I1439" s="44"/>
      <c r="J1439" s="116"/>
      <c r="K1439" s="192"/>
      <c r="L1439" s="48"/>
      <c r="M1439" s="46"/>
      <c r="N1439" s="46"/>
      <c r="O1439" s="407"/>
      <c r="P1439" s="49">
        <f t="shared" si="44"/>
        <v>0</v>
      </c>
      <c r="Q1439" s="49">
        <f t="shared" si="45"/>
        <v>0</v>
      </c>
    </row>
    <row r="1440" spans="1:17" ht="50" x14ac:dyDescent="0.35">
      <c r="A1440" s="11" t="s">
        <v>760</v>
      </c>
      <c r="B1440" s="10" t="s">
        <v>802</v>
      </c>
      <c r="C1440" s="284"/>
      <c r="D1440" s="365"/>
      <c r="E1440" s="365"/>
      <c r="F1440" s="11"/>
      <c r="G1440" s="11"/>
      <c r="H1440" s="60" t="s">
        <v>400</v>
      </c>
      <c r="I1440" s="44"/>
      <c r="J1440" s="116"/>
      <c r="K1440" s="192"/>
      <c r="L1440" s="48"/>
      <c r="M1440" s="46"/>
      <c r="N1440" s="46"/>
      <c r="O1440" s="407"/>
      <c r="P1440" s="49">
        <f t="shared" si="44"/>
        <v>0</v>
      </c>
      <c r="Q1440" s="49">
        <f t="shared" si="45"/>
        <v>0</v>
      </c>
    </row>
    <row r="1441" spans="1:17" ht="37.5" x14ac:dyDescent="0.35">
      <c r="A1441" s="11" t="s">
        <v>760</v>
      </c>
      <c r="B1441" s="10" t="s">
        <v>802</v>
      </c>
      <c r="C1441" s="284"/>
      <c r="D1441" s="365"/>
      <c r="E1441" s="365"/>
      <c r="F1441" s="11"/>
      <c r="G1441" s="11"/>
      <c r="H1441" s="60" t="s">
        <v>401</v>
      </c>
      <c r="I1441" s="44"/>
      <c r="J1441" s="116"/>
      <c r="K1441" s="192"/>
      <c r="L1441" s="48"/>
      <c r="M1441" s="46"/>
      <c r="N1441" s="46"/>
      <c r="O1441" s="407"/>
      <c r="P1441" s="49">
        <f t="shared" si="44"/>
        <v>0</v>
      </c>
      <c r="Q1441" s="49">
        <f t="shared" si="45"/>
        <v>0</v>
      </c>
    </row>
    <row r="1442" spans="1:17" ht="25" x14ac:dyDescent="0.35">
      <c r="A1442" s="11" t="s">
        <v>760</v>
      </c>
      <c r="B1442" s="10" t="s">
        <v>802</v>
      </c>
      <c r="C1442" s="284"/>
      <c r="D1442" s="365"/>
      <c r="E1442" s="365"/>
      <c r="F1442" s="11"/>
      <c r="G1442" s="11"/>
      <c r="H1442" s="60" t="s">
        <v>402</v>
      </c>
      <c r="I1442" s="44"/>
      <c r="J1442" s="116"/>
      <c r="K1442" s="192"/>
      <c r="L1442" s="48"/>
      <c r="M1442" s="46"/>
      <c r="N1442" s="46"/>
      <c r="O1442" s="407"/>
      <c r="P1442" s="49">
        <f t="shared" si="44"/>
        <v>0</v>
      </c>
      <c r="Q1442" s="49">
        <f t="shared" si="45"/>
        <v>0</v>
      </c>
    </row>
    <row r="1443" spans="1:17" x14ac:dyDescent="0.35">
      <c r="A1443" s="11" t="s">
        <v>760</v>
      </c>
      <c r="B1443" s="10" t="s">
        <v>802</v>
      </c>
      <c r="C1443" s="284"/>
      <c r="D1443" s="365"/>
      <c r="E1443" s="365"/>
      <c r="F1443" s="11"/>
      <c r="G1443" s="11"/>
      <c r="H1443" s="62" t="s">
        <v>403</v>
      </c>
      <c r="I1443" s="44"/>
      <c r="J1443" s="116"/>
      <c r="K1443" s="192"/>
      <c r="L1443" s="48"/>
      <c r="M1443" s="46"/>
      <c r="N1443" s="46"/>
      <c r="O1443" s="407"/>
      <c r="P1443" s="49">
        <f t="shared" si="44"/>
        <v>0</v>
      </c>
      <c r="Q1443" s="49">
        <f t="shared" si="45"/>
        <v>0</v>
      </c>
    </row>
    <row r="1444" spans="1:17" ht="62.5" x14ac:dyDescent="0.35">
      <c r="A1444" s="11" t="s">
        <v>760</v>
      </c>
      <c r="B1444" s="10" t="s">
        <v>802</v>
      </c>
      <c r="C1444" s="284"/>
      <c r="D1444" s="365"/>
      <c r="E1444" s="365"/>
      <c r="F1444" s="11"/>
      <c r="G1444" s="11"/>
      <c r="H1444" s="60" t="s">
        <v>404</v>
      </c>
      <c r="I1444" s="44"/>
      <c r="J1444" s="116"/>
      <c r="K1444" s="192"/>
      <c r="L1444" s="48"/>
      <c r="M1444" s="46"/>
      <c r="N1444" s="46"/>
      <c r="O1444" s="407"/>
      <c r="P1444" s="49">
        <f t="shared" si="44"/>
        <v>0</v>
      </c>
      <c r="Q1444" s="49">
        <f t="shared" si="45"/>
        <v>0</v>
      </c>
    </row>
    <row r="1445" spans="1:17" ht="13" x14ac:dyDescent="0.35">
      <c r="A1445" s="11" t="s">
        <v>760</v>
      </c>
      <c r="B1445" s="10" t="s">
        <v>802</v>
      </c>
      <c r="C1445" s="284"/>
      <c r="D1445" s="365"/>
      <c r="E1445" s="365"/>
      <c r="F1445" s="11"/>
      <c r="G1445" s="61"/>
      <c r="H1445" s="193" t="s">
        <v>672</v>
      </c>
      <c r="I1445" s="44"/>
      <c r="J1445" s="194"/>
      <c r="K1445" s="192"/>
      <c r="L1445" s="195"/>
      <c r="M1445" s="64"/>
      <c r="N1445" s="64"/>
      <c r="O1445" s="407"/>
      <c r="P1445" s="196">
        <f t="shared" si="44"/>
        <v>0</v>
      </c>
      <c r="Q1445" s="196">
        <f t="shared" si="45"/>
        <v>0</v>
      </c>
    </row>
    <row r="1446" spans="1:17" ht="13" x14ac:dyDescent="0.35">
      <c r="A1446" s="11" t="s">
        <v>760</v>
      </c>
      <c r="B1446" s="10" t="s">
        <v>802</v>
      </c>
      <c r="C1446" s="284"/>
      <c r="D1446" s="365"/>
      <c r="E1446" s="365"/>
      <c r="F1446" s="11"/>
      <c r="G1446" s="61"/>
      <c r="H1446" s="193" t="s">
        <v>673</v>
      </c>
      <c r="I1446" s="44"/>
      <c r="J1446" s="197"/>
      <c r="K1446" s="192"/>
      <c r="L1446" s="195"/>
      <c r="M1446" s="59"/>
      <c r="N1446" s="59"/>
      <c r="O1446" s="407"/>
      <c r="P1446" s="196">
        <f t="shared" si="44"/>
        <v>0</v>
      </c>
      <c r="Q1446" s="196">
        <f t="shared" si="45"/>
        <v>0</v>
      </c>
    </row>
    <row r="1447" spans="1:17" ht="13" x14ac:dyDescent="0.35">
      <c r="A1447" s="11" t="s">
        <v>760</v>
      </c>
      <c r="B1447" s="10" t="s">
        <v>802</v>
      </c>
      <c r="C1447" s="284"/>
      <c r="D1447" s="365"/>
      <c r="E1447" s="365"/>
      <c r="F1447" s="11"/>
      <c r="G1447" s="61"/>
      <c r="H1447" s="193" t="s">
        <v>674</v>
      </c>
      <c r="I1447" s="44"/>
      <c r="J1447" s="194"/>
      <c r="K1447" s="192"/>
      <c r="L1447" s="195"/>
      <c r="M1447" s="64"/>
      <c r="N1447" s="64"/>
      <c r="O1447" s="407"/>
      <c r="P1447" s="196">
        <f t="shared" si="44"/>
        <v>0</v>
      </c>
      <c r="Q1447" s="196">
        <f t="shared" si="45"/>
        <v>0</v>
      </c>
    </row>
    <row r="1448" spans="1:17" ht="50" x14ac:dyDescent="0.35">
      <c r="A1448" s="11" t="s">
        <v>760</v>
      </c>
      <c r="B1448" s="10" t="s">
        <v>802</v>
      </c>
      <c r="C1448" s="284"/>
      <c r="D1448" s="365"/>
      <c r="E1448" s="365"/>
      <c r="F1448" s="11" t="s">
        <v>20</v>
      </c>
      <c r="G1448" s="61"/>
      <c r="H1448" s="60" t="s">
        <v>675</v>
      </c>
      <c r="I1448" s="44" t="s">
        <v>175</v>
      </c>
      <c r="J1448" s="194">
        <v>2</v>
      </c>
      <c r="K1448" s="47">
        <v>3700</v>
      </c>
      <c r="L1448" s="48">
        <f>J1448*K1448</f>
        <v>7400</v>
      </c>
      <c r="M1448" s="64">
        <v>2</v>
      </c>
      <c r="N1448" s="64">
        <v>2</v>
      </c>
      <c r="O1448" s="407">
        <v>3700</v>
      </c>
      <c r="P1448" s="49">
        <f t="shared" si="44"/>
        <v>7400</v>
      </c>
      <c r="Q1448" s="49">
        <f t="shared" si="45"/>
        <v>7400</v>
      </c>
    </row>
    <row r="1449" spans="1:17" ht="13" x14ac:dyDescent="0.35">
      <c r="A1449" s="11" t="s">
        <v>760</v>
      </c>
      <c r="B1449" s="10" t="s">
        <v>802</v>
      </c>
      <c r="C1449" s="284"/>
      <c r="D1449" s="365"/>
      <c r="E1449" s="365"/>
      <c r="F1449" s="11"/>
      <c r="G1449" s="61"/>
      <c r="H1449" s="193" t="s">
        <v>676</v>
      </c>
      <c r="I1449" s="44"/>
      <c r="J1449" s="197"/>
      <c r="K1449" s="192"/>
      <c r="L1449" s="48"/>
      <c r="M1449" s="59"/>
      <c r="N1449" s="59"/>
      <c r="O1449" s="407"/>
      <c r="P1449" s="49">
        <f t="shared" si="44"/>
        <v>0</v>
      </c>
      <c r="Q1449" s="49">
        <f t="shared" si="45"/>
        <v>0</v>
      </c>
    </row>
    <row r="1450" spans="1:17" ht="37.5" x14ac:dyDescent="0.35">
      <c r="A1450" s="11" t="s">
        <v>760</v>
      </c>
      <c r="B1450" s="10" t="s">
        <v>802</v>
      </c>
      <c r="C1450" s="284"/>
      <c r="D1450" s="365"/>
      <c r="E1450" s="365"/>
      <c r="F1450" s="11" t="s">
        <v>29</v>
      </c>
      <c r="G1450" s="61"/>
      <c r="H1450" s="198" t="s">
        <v>677</v>
      </c>
      <c r="I1450" s="44" t="s">
        <v>175</v>
      </c>
      <c r="J1450" s="197">
        <v>3</v>
      </c>
      <c r="K1450" s="192">
        <v>1950</v>
      </c>
      <c r="L1450" s="48">
        <f>K1450*J1450</f>
        <v>5850</v>
      </c>
      <c r="M1450" s="59">
        <v>3</v>
      </c>
      <c r="N1450" s="59">
        <v>3</v>
      </c>
      <c r="O1450" s="407">
        <v>1950</v>
      </c>
      <c r="P1450" s="49">
        <f t="shared" si="44"/>
        <v>5850</v>
      </c>
      <c r="Q1450" s="49">
        <f t="shared" si="45"/>
        <v>5850</v>
      </c>
    </row>
    <row r="1451" spans="1:17" ht="25" x14ac:dyDescent="0.35">
      <c r="A1451" s="11" t="s">
        <v>760</v>
      </c>
      <c r="B1451" s="10" t="s">
        <v>802</v>
      </c>
      <c r="C1451" s="371"/>
      <c r="D1451" s="367"/>
      <c r="E1451" s="367"/>
      <c r="F1451" s="11" t="s">
        <v>32</v>
      </c>
      <c r="G1451" s="199"/>
      <c r="H1451" s="198" t="s">
        <v>678</v>
      </c>
      <c r="I1451" s="200" t="s">
        <v>175</v>
      </c>
      <c r="J1451" s="201">
        <v>3</v>
      </c>
      <c r="K1451" s="192">
        <v>500</v>
      </c>
      <c r="L1451" s="203">
        <f>J1451*K1451</f>
        <v>1500</v>
      </c>
      <c r="M1451" s="202">
        <v>3</v>
      </c>
      <c r="N1451" s="202">
        <v>3</v>
      </c>
      <c r="O1451" s="407">
        <v>500</v>
      </c>
      <c r="P1451" s="204">
        <f t="shared" si="44"/>
        <v>1500</v>
      </c>
      <c r="Q1451" s="204">
        <f t="shared" si="45"/>
        <v>1500</v>
      </c>
    </row>
    <row r="1452" spans="1:17" ht="25" x14ac:dyDescent="0.35">
      <c r="A1452" s="11" t="s">
        <v>760</v>
      </c>
      <c r="B1452" s="10" t="s">
        <v>802</v>
      </c>
      <c r="C1452" s="371"/>
      <c r="D1452" s="367"/>
      <c r="E1452" s="367"/>
      <c r="F1452" s="11" t="s">
        <v>36</v>
      </c>
      <c r="G1452" s="199"/>
      <c r="H1452" s="198" t="s">
        <v>679</v>
      </c>
      <c r="I1452" s="200" t="s">
        <v>175</v>
      </c>
      <c r="J1452" s="201">
        <v>3</v>
      </c>
      <c r="K1452" s="192">
        <v>650</v>
      </c>
      <c r="L1452" s="203">
        <f>J1452*K1452</f>
        <v>1950</v>
      </c>
      <c r="M1452" s="202">
        <v>3</v>
      </c>
      <c r="N1452" s="202">
        <v>3</v>
      </c>
      <c r="O1452" s="407">
        <v>650</v>
      </c>
      <c r="P1452" s="204">
        <f t="shared" si="44"/>
        <v>1950</v>
      </c>
      <c r="Q1452" s="204">
        <f t="shared" si="45"/>
        <v>1950</v>
      </c>
    </row>
    <row r="1453" spans="1:17" ht="13" x14ac:dyDescent="0.35">
      <c r="A1453" s="11" t="s">
        <v>760</v>
      </c>
      <c r="B1453" s="10" t="s">
        <v>412</v>
      </c>
      <c r="C1453" s="284"/>
      <c r="D1453" s="365"/>
      <c r="E1453" s="365"/>
      <c r="F1453" s="11"/>
      <c r="G1453" s="11"/>
      <c r="H1453" s="262" t="s">
        <v>762</v>
      </c>
      <c r="I1453" s="44"/>
      <c r="J1453" s="45"/>
      <c r="K1453" s="47"/>
      <c r="L1453" s="48"/>
      <c r="M1453" s="46"/>
      <c r="N1453" s="46"/>
      <c r="O1453" s="407"/>
      <c r="P1453" s="49">
        <f t="shared" si="44"/>
        <v>0</v>
      </c>
      <c r="Q1453" s="49">
        <f t="shared" si="45"/>
        <v>0</v>
      </c>
    </row>
    <row r="1454" spans="1:17" ht="13" x14ac:dyDescent="0.35">
      <c r="A1454" s="11" t="s">
        <v>760</v>
      </c>
      <c r="B1454" s="10" t="s">
        <v>412</v>
      </c>
      <c r="C1454" s="284"/>
      <c r="D1454" s="365"/>
      <c r="E1454" s="365"/>
      <c r="F1454" s="11"/>
      <c r="G1454" s="11"/>
      <c r="H1454" s="262" t="s">
        <v>763</v>
      </c>
      <c r="I1454" s="44"/>
      <c r="J1454" s="45"/>
      <c r="K1454" s="47"/>
      <c r="L1454" s="48"/>
      <c r="M1454" s="46"/>
      <c r="N1454" s="46"/>
      <c r="O1454" s="407"/>
      <c r="P1454" s="49">
        <f t="shared" si="44"/>
        <v>0</v>
      </c>
      <c r="Q1454" s="49">
        <f t="shared" si="45"/>
        <v>0</v>
      </c>
    </row>
    <row r="1455" spans="1:17" ht="13" x14ac:dyDescent="0.35">
      <c r="A1455" s="11" t="s">
        <v>760</v>
      </c>
      <c r="B1455" s="10" t="s">
        <v>412</v>
      </c>
      <c r="C1455" s="284"/>
      <c r="D1455" s="365"/>
      <c r="E1455" s="365"/>
      <c r="F1455" s="11"/>
      <c r="G1455" s="11"/>
      <c r="H1455" s="43" t="s">
        <v>413</v>
      </c>
      <c r="I1455" s="44"/>
      <c r="J1455" s="45"/>
      <c r="K1455" s="47"/>
      <c r="L1455" s="48"/>
      <c r="M1455" s="46"/>
      <c r="N1455" s="46"/>
      <c r="O1455" s="407"/>
      <c r="P1455" s="49">
        <f t="shared" si="44"/>
        <v>0</v>
      </c>
      <c r="Q1455" s="49">
        <f t="shared" si="45"/>
        <v>0</v>
      </c>
    </row>
    <row r="1456" spans="1:17" ht="13" x14ac:dyDescent="0.35">
      <c r="A1456" s="11" t="s">
        <v>760</v>
      </c>
      <c r="B1456" s="10" t="s">
        <v>412</v>
      </c>
      <c r="C1456" s="284"/>
      <c r="D1456" s="365"/>
      <c r="E1456" s="365"/>
      <c r="F1456" s="11"/>
      <c r="G1456" s="11"/>
      <c r="H1456" s="43" t="s">
        <v>414</v>
      </c>
      <c r="I1456" s="44"/>
      <c r="J1456" s="45"/>
      <c r="K1456" s="47"/>
      <c r="L1456" s="48"/>
      <c r="M1456" s="46"/>
      <c r="N1456" s="46"/>
      <c r="O1456" s="407"/>
      <c r="P1456" s="49">
        <f t="shared" si="44"/>
        <v>0</v>
      </c>
      <c r="Q1456" s="49">
        <f t="shared" si="45"/>
        <v>0</v>
      </c>
    </row>
    <row r="1457" spans="1:17" ht="13" x14ac:dyDescent="0.35">
      <c r="A1457" s="11" t="s">
        <v>760</v>
      </c>
      <c r="B1457" s="10" t="s">
        <v>412</v>
      </c>
      <c r="C1457" s="284"/>
      <c r="D1457" s="365"/>
      <c r="E1457" s="365"/>
      <c r="F1457" s="11"/>
      <c r="G1457" s="11"/>
      <c r="H1457" s="57" t="s">
        <v>100</v>
      </c>
      <c r="I1457" s="44"/>
      <c r="J1457" s="45"/>
      <c r="K1457" s="47"/>
      <c r="L1457" s="48"/>
      <c r="M1457" s="46"/>
      <c r="N1457" s="46"/>
      <c r="O1457" s="407"/>
      <c r="P1457" s="49">
        <f t="shared" si="44"/>
        <v>0</v>
      </c>
      <c r="Q1457" s="49">
        <f t="shared" si="45"/>
        <v>0</v>
      </c>
    </row>
    <row r="1458" spans="1:17" x14ac:dyDescent="0.35">
      <c r="A1458" s="11" t="s">
        <v>760</v>
      </c>
      <c r="B1458" s="10" t="s">
        <v>412</v>
      </c>
      <c r="C1458" s="284"/>
      <c r="D1458" s="365"/>
      <c r="E1458" s="365"/>
      <c r="F1458" s="11"/>
      <c r="G1458" s="11"/>
      <c r="H1458" s="60" t="s">
        <v>101</v>
      </c>
      <c r="I1458" s="44"/>
      <c r="J1458" s="45"/>
      <c r="K1458" s="47"/>
      <c r="L1458" s="48"/>
      <c r="M1458" s="46"/>
      <c r="N1458" s="46"/>
      <c r="O1458" s="407"/>
      <c r="P1458" s="49">
        <f t="shared" si="44"/>
        <v>0</v>
      </c>
      <c r="Q1458" s="49">
        <f t="shared" si="45"/>
        <v>0</v>
      </c>
    </row>
    <row r="1459" spans="1:17" ht="13" x14ac:dyDescent="0.35">
      <c r="A1459" s="11" t="s">
        <v>760</v>
      </c>
      <c r="B1459" s="10" t="s">
        <v>412</v>
      </c>
      <c r="C1459" s="284"/>
      <c r="D1459" s="365"/>
      <c r="E1459" s="365"/>
      <c r="F1459" s="11"/>
      <c r="G1459" s="11"/>
      <c r="H1459" s="141" t="s">
        <v>684</v>
      </c>
      <c r="I1459" s="44"/>
      <c r="J1459" s="45"/>
      <c r="K1459" s="47"/>
      <c r="L1459" s="48"/>
      <c r="M1459" s="46"/>
      <c r="N1459" s="46"/>
      <c r="O1459" s="407"/>
      <c r="P1459" s="49">
        <f t="shared" si="44"/>
        <v>0</v>
      </c>
      <c r="Q1459" s="49">
        <f t="shared" si="45"/>
        <v>0</v>
      </c>
    </row>
    <row r="1460" spans="1:17" ht="25" x14ac:dyDescent="0.35">
      <c r="A1460" s="11" t="s">
        <v>760</v>
      </c>
      <c r="B1460" s="10" t="s">
        <v>412</v>
      </c>
      <c r="C1460" s="284"/>
      <c r="D1460" s="365"/>
      <c r="E1460" s="365"/>
      <c r="F1460" s="11" t="s">
        <v>20</v>
      </c>
      <c r="G1460" s="11"/>
      <c r="H1460" s="142" t="s">
        <v>803</v>
      </c>
      <c r="I1460" s="44" t="s">
        <v>110</v>
      </c>
      <c r="J1460" s="45">
        <v>4</v>
      </c>
      <c r="K1460" s="47">
        <v>650</v>
      </c>
      <c r="L1460" s="48">
        <f>J1460*K1460</f>
        <v>2600</v>
      </c>
      <c r="M1460" s="46">
        <v>4</v>
      </c>
      <c r="N1460" s="46">
        <v>4</v>
      </c>
      <c r="O1460" s="407">
        <v>650</v>
      </c>
      <c r="P1460" s="49">
        <f t="shared" si="44"/>
        <v>2600</v>
      </c>
      <c r="Q1460" s="49">
        <f t="shared" si="45"/>
        <v>2600</v>
      </c>
    </row>
    <row r="1461" spans="1:17" ht="13" x14ac:dyDescent="0.35">
      <c r="A1461" s="11" t="s">
        <v>760</v>
      </c>
      <c r="B1461" s="10" t="s">
        <v>418</v>
      </c>
      <c r="C1461" s="284"/>
      <c r="D1461" s="365"/>
      <c r="E1461" s="365"/>
      <c r="F1461" s="11"/>
      <c r="G1461" s="11"/>
      <c r="H1461" s="262" t="s">
        <v>762</v>
      </c>
      <c r="I1461" s="44"/>
      <c r="J1461" s="45"/>
      <c r="K1461" s="47"/>
      <c r="L1461" s="48"/>
      <c r="M1461" s="46"/>
      <c r="N1461" s="46"/>
      <c r="O1461" s="407"/>
      <c r="P1461" s="49">
        <f t="shared" si="44"/>
        <v>0</v>
      </c>
      <c r="Q1461" s="49">
        <f t="shared" si="45"/>
        <v>0</v>
      </c>
    </row>
    <row r="1462" spans="1:17" ht="13" x14ac:dyDescent="0.35">
      <c r="A1462" s="11" t="s">
        <v>760</v>
      </c>
      <c r="B1462" s="10" t="s">
        <v>418</v>
      </c>
      <c r="C1462" s="284"/>
      <c r="D1462" s="365"/>
      <c r="E1462" s="365"/>
      <c r="F1462" s="11"/>
      <c r="G1462" s="11"/>
      <c r="H1462" s="262" t="s">
        <v>763</v>
      </c>
      <c r="I1462" s="44"/>
      <c r="J1462" s="45"/>
      <c r="K1462" s="47"/>
      <c r="L1462" s="48"/>
      <c r="M1462" s="46"/>
      <c r="N1462" s="46"/>
      <c r="O1462" s="407"/>
      <c r="P1462" s="49">
        <f t="shared" si="44"/>
        <v>0</v>
      </c>
      <c r="Q1462" s="49">
        <f t="shared" si="45"/>
        <v>0</v>
      </c>
    </row>
    <row r="1463" spans="1:17" ht="13" x14ac:dyDescent="0.35">
      <c r="A1463" s="11" t="s">
        <v>760</v>
      </c>
      <c r="B1463" s="10" t="s">
        <v>418</v>
      </c>
      <c r="C1463" s="284"/>
      <c r="D1463" s="365"/>
      <c r="E1463" s="365"/>
      <c r="F1463" s="11"/>
      <c r="G1463" s="11"/>
      <c r="H1463" s="43" t="s">
        <v>419</v>
      </c>
      <c r="I1463" s="44"/>
      <c r="J1463" s="45"/>
      <c r="K1463" s="47"/>
      <c r="L1463" s="48"/>
      <c r="M1463" s="46"/>
      <c r="N1463" s="46"/>
      <c r="O1463" s="407"/>
      <c r="P1463" s="49">
        <f t="shared" si="44"/>
        <v>0</v>
      </c>
      <c r="Q1463" s="49">
        <f t="shared" si="45"/>
        <v>0</v>
      </c>
    </row>
    <row r="1464" spans="1:17" ht="13" x14ac:dyDescent="0.35">
      <c r="A1464" s="11" t="s">
        <v>760</v>
      </c>
      <c r="B1464" s="10" t="s">
        <v>418</v>
      </c>
      <c r="C1464" s="284"/>
      <c r="D1464" s="365"/>
      <c r="E1464" s="365"/>
      <c r="F1464" s="11"/>
      <c r="G1464" s="11"/>
      <c r="H1464" s="43" t="s">
        <v>420</v>
      </c>
      <c r="I1464" s="44"/>
      <c r="J1464" s="45"/>
      <c r="K1464" s="47"/>
      <c r="L1464" s="48"/>
      <c r="M1464" s="46"/>
      <c r="N1464" s="46"/>
      <c r="O1464" s="407"/>
      <c r="P1464" s="49">
        <f t="shared" si="44"/>
        <v>0</v>
      </c>
      <c r="Q1464" s="49">
        <f t="shared" si="45"/>
        <v>0</v>
      </c>
    </row>
    <row r="1465" spans="1:17" ht="13" x14ac:dyDescent="0.35">
      <c r="A1465" s="11" t="s">
        <v>760</v>
      </c>
      <c r="B1465" s="10" t="s">
        <v>418</v>
      </c>
      <c r="C1465" s="284"/>
      <c r="D1465" s="365"/>
      <c r="E1465" s="365"/>
      <c r="F1465" s="11"/>
      <c r="G1465" s="11"/>
      <c r="H1465" s="57" t="s">
        <v>100</v>
      </c>
      <c r="I1465" s="44"/>
      <c r="J1465" s="45"/>
      <c r="K1465" s="47"/>
      <c r="L1465" s="48"/>
      <c r="M1465" s="46"/>
      <c r="N1465" s="46"/>
      <c r="O1465" s="407"/>
      <c r="P1465" s="49">
        <f t="shared" si="44"/>
        <v>0</v>
      </c>
      <c r="Q1465" s="49">
        <f t="shared" si="45"/>
        <v>0</v>
      </c>
    </row>
    <row r="1466" spans="1:17" x14ac:dyDescent="0.35">
      <c r="A1466" s="11" t="s">
        <v>760</v>
      </c>
      <c r="B1466" s="10" t="s">
        <v>418</v>
      </c>
      <c r="C1466" s="284"/>
      <c r="D1466" s="365"/>
      <c r="E1466" s="365"/>
      <c r="F1466" s="11"/>
      <c r="G1466" s="11"/>
      <c r="H1466" s="60" t="s">
        <v>101</v>
      </c>
      <c r="I1466" s="44"/>
      <c r="J1466" s="45"/>
      <c r="K1466" s="47"/>
      <c r="L1466" s="48"/>
      <c r="M1466" s="46"/>
      <c r="N1466" s="46"/>
      <c r="O1466" s="407"/>
      <c r="P1466" s="49">
        <f t="shared" si="44"/>
        <v>0</v>
      </c>
      <c r="Q1466" s="49">
        <f t="shared" si="45"/>
        <v>0</v>
      </c>
    </row>
    <row r="1467" spans="1:17" ht="13" x14ac:dyDescent="0.35">
      <c r="A1467" s="11" t="s">
        <v>760</v>
      </c>
      <c r="B1467" s="10" t="s">
        <v>418</v>
      </c>
      <c r="C1467" s="284"/>
      <c r="D1467" s="365"/>
      <c r="E1467" s="365"/>
      <c r="F1467" s="11"/>
      <c r="G1467" s="11"/>
      <c r="H1467" s="57" t="s">
        <v>333</v>
      </c>
      <c r="I1467" s="44"/>
      <c r="J1467" s="45"/>
      <c r="K1467" s="47"/>
      <c r="L1467" s="48"/>
      <c r="M1467" s="46"/>
      <c r="N1467" s="46"/>
      <c r="O1467" s="407"/>
      <c r="P1467" s="49">
        <f t="shared" si="44"/>
        <v>0</v>
      </c>
      <c r="Q1467" s="49">
        <f t="shared" si="45"/>
        <v>0</v>
      </c>
    </row>
    <row r="1468" spans="1:17" ht="112.5" x14ac:dyDescent="0.35">
      <c r="A1468" s="11" t="s">
        <v>760</v>
      </c>
      <c r="B1468" s="10" t="s">
        <v>418</v>
      </c>
      <c r="C1468" s="284"/>
      <c r="D1468" s="365"/>
      <c r="E1468" s="365"/>
      <c r="F1468" s="11"/>
      <c r="G1468" s="11"/>
      <c r="H1468" s="60" t="s">
        <v>421</v>
      </c>
      <c r="I1468" s="44"/>
      <c r="J1468" s="117"/>
      <c r="K1468" s="47"/>
      <c r="L1468" s="48"/>
      <c r="M1468" s="118"/>
      <c r="N1468" s="118"/>
      <c r="O1468" s="407"/>
      <c r="P1468" s="49">
        <f t="shared" si="44"/>
        <v>0</v>
      </c>
      <c r="Q1468" s="49">
        <f t="shared" si="45"/>
        <v>0</v>
      </c>
    </row>
    <row r="1469" spans="1:17" x14ac:dyDescent="0.35">
      <c r="A1469" s="11" t="s">
        <v>760</v>
      </c>
      <c r="B1469" s="10" t="s">
        <v>418</v>
      </c>
      <c r="C1469" s="284"/>
      <c r="D1469" s="365"/>
      <c r="E1469" s="365"/>
      <c r="F1469" s="11"/>
      <c r="G1469" s="11"/>
      <c r="H1469" s="62" t="s">
        <v>422</v>
      </c>
      <c r="I1469" s="44"/>
      <c r="J1469" s="45"/>
      <c r="K1469" s="47"/>
      <c r="L1469" s="48"/>
      <c r="M1469" s="46"/>
      <c r="N1469" s="46"/>
      <c r="O1469" s="407"/>
      <c r="P1469" s="49">
        <f t="shared" si="44"/>
        <v>0</v>
      </c>
      <c r="Q1469" s="49">
        <f t="shared" si="45"/>
        <v>0</v>
      </c>
    </row>
    <row r="1470" spans="1:17" x14ac:dyDescent="0.35">
      <c r="A1470" s="11" t="s">
        <v>760</v>
      </c>
      <c r="B1470" s="10" t="s">
        <v>418</v>
      </c>
      <c r="C1470" s="284"/>
      <c r="D1470" s="365"/>
      <c r="E1470" s="365"/>
      <c r="F1470" s="11"/>
      <c r="G1470" s="11"/>
      <c r="H1470" s="62" t="s">
        <v>423</v>
      </c>
      <c r="I1470" s="44"/>
      <c r="J1470" s="45"/>
      <c r="K1470" s="47"/>
      <c r="L1470" s="48"/>
      <c r="M1470" s="46"/>
      <c r="N1470" s="46"/>
      <c r="O1470" s="407"/>
      <c r="P1470" s="49">
        <f t="shared" si="44"/>
        <v>0</v>
      </c>
      <c r="Q1470" s="49">
        <f t="shared" si="45"/>
        <v>0</v>
      </c>
    </row>
    <row r="1471" spans="1:17" ht="50" x14ac:dyDescent="0.35">
      <c r="A1471" s="11" t="s">
        <v>760</v>
      </c>
      <c r="B1471" s="10" t="s">
        <v>418</v>
      </c>
      <c r="C1471" s="284"/>
      <c r="D1471" s="365"/>
      <c r="E1471" s="365"/>
      <c r="F1471" s="11"/>
      <c r="G1471" s="11"/>
      <c r="H1471" s="60" t="s">
        <v>424</v>
      </c>
      <c r="I1471" s="44"/>
      <c r="J1471" s="45"/>
      <c r="K1471" s="47"/>
      <c r="L1471" s="48"/>
      <c r="M1471" s="46"/>
      <c r="N1471" s="46"/>
      <c r="O1471" s="407"/>
      <c r="P1471" s="49">
        <f t="shared" si="44"/>
        <v>0</v>
      </c>
      <c r="Q1471" s="49">
        <f t="shared" si="45"/>
        <v>0</v>
      </c>
    </row>
    <row r="1472" spans="1:17" x14ac:dyDescent="0.35">
      <c r="A1472" s="11" t="s">
        <v>760</v>
      </c>
      <c r="B1472" s="10" t="s">
        <v>418</v>
      </c>
      <c r="C1472" s="284"/>
      <c r="D1472" s="365"/>
      <c r="E1472" s="365"/>
      <c r="F1472" s="11"/>
      <c r="G1472" s="11"/>
      <c r="H1472" s="62" t="s">
        <v>425</v>
      </c>
      <c r="I1472" s="44"/>
      <c r="J1472" s="45"/>
      <c r="K1472" s="47"/>
      <c r="L1472" s="48"/>
      <c r="M1472" s="46"/>
      <c r="N1472" s="46"/>
      <c r="O1472" s="407"/>
      <c r="P1472" s="49">
        <f t="shared" si="44"/>
        <v>0</v>
      </c>
      <c r="Q1472" s="49">
        <f t="shared" si="45"/>
        <v>0</v>
      </c>
    </row>
    <row r="1473" spans="1:17" ht="25" x14ac:dyDescent="0.35">
      <c r="A1473" s="11" t="s">
        <v>760</v>
      </c>
      <c r="B1473" s="10" t="s">
        <v>418</v>
      </c>
      <c r="C1473" s="284"/>
      <c r="D1473" s="365"/>
      <c r="E1473" s="365"/>
      <c r="F1473" s="11"/>
      <c r="G1473" s="11"/>
      <c r="H1473" s="143" t="s">
        <v>426</v>
      </c>
      <c r="I1473" s="44"/>
      <c r="J1473" s="45"/>
      <c r="K1473" s="47"/>
      <c r="L1473" s="48"/>
      <c r="M1473" s="46"/>
      <c r="N1473" s="46"/>
      <c r="O1473" s="407"/>
      <c r="P1473" s="49">
        <f t="shared" si="44"/>
        <v>0</v>
      </c>
      <c r="Q1473" s="49">
        <f t="shared" si="45"/>
        <v>0</v>
      </c>
    </row>
    <row r="1474" spans="1:17" ht="25" x14ac:dyDescent="0.35">
      <c r="A1474" s="11" t="s">
        <v>760</v>
      </c>
      <c r="B1474" s="10" t="s">
        <v>418</v>
      </c>
      <c r="C1474" s="284"/>
      <c r="D1474" s="365"/>
      <c r="E1474" s="365"/>
      <c r="F1474" s="11"/>
      <c r="G1474" s="11"/>
      <c r="H1474" s="143" t="s">
        <v>427</v>
      </c>
      <c r="I1474" s="44"/>
      <c r="J1474" s="45"/>
      <c r="K1474" s="47"/>
      <c r="L1474" s="48"/>
      <c r="M1474" s="46"/>
      <c r="N1474" s="46"/>
      <c r="O1474" s="407"/>
      <c r="P1474" s="49">
        <f t="shared" si="44"/>
        <v>0</v>
      </c>
      <c r="Q1474" s="49">
        <f t="shared" si="45"/>
        <v>0</v>
      </c>
    </row>
    <row r="1475" spans="1:17" x14ac:dyDescent="0.35">
      <c r="A1475" s="11" t="s">
        <v>760</v>
      </c>
      <c r="B1475" s="10" t="s">
        <v>418</v>
      </c>
      <c r="C1475" s="284"/>
      <c r="D1475" s="365"/>
      <c r="E1475" s="365"/>
      <c r="F1475" s="11"/>
      <c r="G1475" s="11"/>
      <c r="H1475" s="62" t="s">
        <v>428</v>
      </c>
      <c r="I1475" s="44"/>
      <c r="J1475" s="45"/>
      <c r="K1475" s="47"/>
      <c r="L1475" s="48"/>
      <c r="M1475" s="46"/>
      <c r="N1475" s="46"/>
      <c r="O1475" s="407"/>
      <c r="P1475" s="49">
        <f t="shared" si="44"/>
        <v>0</v>
      </c>
      <c r="Q1475" s="49">
        <f t="shared" si="45"/>
        <v>0</v>
      </c>
    </row>
    <row r="1476" spans="1:17" ht="37.5" x14ac:dyDescent="0.35">
      <c r="A1476" s="11" t="s">
        <v>760</v>
      </c>
      <c r="B1476" s="10" t="s">
        <v>418</v>
      </c>
      <c r="C1476" s="284"/>
      <c r="D1476" s="365"/>
      <c r="E1476" s="365"/>
      <c r="F1476" s="11"/>
      <c r="G1476" s="11"/>
      <c r="H1476" s="143" t="s">
        <v>429</v>
      </c>
      <c r="I1476" s="44"/>
      <c r="J1476" s="45"/>
      <c r="K1476" s="47"/>
      <c r="L1476" s="48"/>
      <c r="M1476" s="46"/>
      <c r="N1476" s="46"/>
      <c r="O1476" s="407"/>
      <c r="P1476" s="49">
        <f t="shared" si="44"/>
        <v>0</v>
      </c>
      <c r="Q1476" s="49">
        <f t="shared" si="45"/>
        <v>0</v>
      </c>
    </row>
    <row r="1477" spans="1:17" ht="13" x14ac:dyDescent="0.35">
      <c r="A1477" s="11" t="s">
        <v>760</v>
      </c>
      <c r="B1477" s="10" t="s">
        <v>418</v>
      </c>
      <c r="C1477" s="284"/>
      <c r="D1477" s="365"/>
      <c r="E1477" s="365"/>
      <c r="F1477" s="11"/>
      <c r="G1477" s="11"/>
      <c r="H1477" s="57" t="s">
        <v>430</v>
      </c>
      <c r="I1477" s="44"/>
      <c r="J1477" s="45"/>
      <c r="K1477" s="47"/>
      <c r="L1477" s="48"/>
      <c r="M1477" s="46"/>
      <c r="N1477" s="46"/>
      <c r="O1477" s="407"/>
      <c r="P1477" s="49">
        <f t="shared" si="44"/>
        <v>0</v>
      </c>
      <c r="Q1477" s="49">
        <f t="shared" si="45"/>
        <v>0</v>
      </c>
    </row>
    <row r="1478" spans="1:17" ht="13" x14ac:dyDescent="0.35">
      <c r="A1478" s="11" t="s">
        <v>760</v>
      </c>
      <c r="B1478" s="10" t="s">
        <v>418</v>
      </c>
      <c r="C1478" s="284"/>
      <c r="D1478" s="365"/>
      <c r="E1478" s="365"/>
      <c r="F1478" s="11"/>
      <c r="G1478" s="11"/>
      <c r="H1478" s="57" t="s">
        <v>431</v>
      </c>
      <c r="I1478" s="44"/>
      <c r="J1478" s="45"/>
      <c r="K1478" s="47"/>
      <c r="L1478" s="48"/>
      <c r="M1478" s="46"/>
      <c r="N1478" s="46"/>
      <c r="O1478" s="407"/>
      <c r="P1478" s="49">
        <f t="shared" si="44"/>
        <v>0</v>
      </c>
      <c r="Q1478" s="49">
        <f t="shared" si="45"/>
        <v>0</v>
      </c>
    </row>
    <row r="1479" spans="1:17" ht="26" x14ac:dyDescent="0.35">
      <c r="A1479" s="11" t="s">
        <v>760</v>
      </c>
      <c r="B1479" s="10" t="s">
        <v>418</v>
      </c>
      <c r="C1479" s="284"/>
      <c r="D1479" s="365"/>
      <c r="E1479" s="365"/>
      <c r="F1479" s="11"/>
      <c r="G1479" s="11"/>
      <c r="H1479" s="57" t="s">
        <v>432</v>
      </c>
      <c r="I1479" s="44"/>
      <c r="J1479" s="45"/>
      <c r="K1479" s="47"/>
      <c r="L1479" s="48"/>
      <c r="M1479" s="46"/>
      <c r="N1479" s="46"/>
      <c r="O1479" s="407"/>
      <c r="P1479" s="49">
        <f t="shared" si="44"/>
        <v>0</v>
      </c>
      <c r="Q1479" s="49">
        <f t="shared" si="45"/>
        <v>0</v>
      </c>
    </row>
    <row r="1480" spans="1:17" ht="14.5" x14ac:dyDescent="0.35">
      <c r="A1480" s="11" t="s">
        <v>760</v>
      </c>
      <c r="B1480" s="10" t="s">
        <v>418</v>
      </c>
      <c r="C1480" s="284"/>
      <c r="D1480" s="365"/>
      <c r="E1480" s="365"/>
      <c r="F1480" s="11" t="s">
        <v>20</v>
      </c>
      <c r="G1480" s="11"/>
      <c r="H1480" s="60" t="s">
        <v>433</v>
      </c>
      <c r="I1480" s="44" t="s">
        <v>110</v>
      </c>
      <c r="J1480" s="45">
        <f>J1404</f>
        <v>148</v>
      </c>
      <c r="K1480" s="47">
        <v>85</v>
      </c>
      <c r="L1480" s="48">
        <f>J1480*K1480</f>
        <v>12580</v>
      </c>
      <c r="M1480" s="46">
        <f>M1404</f>
        <v>148</v>
      </c>
      <c r="N1480" s="46">
        <f>N1404</f>
        <v>148</v>
      </c>
      <c r="O1480" s="407">
        <v>85</v>
      </c>
      <c r="P1480" s="49">
        <f t="shared" si="44"/>
        <v>12580</v>
      </c>
      <c r="Q1480" s="49">
        <f t="shared" si="45"/>
        <v>12580</v>
      </c>
    </row>
    <row r="1481" spans="1:17" ht="14.5" x14ac:dyDescent="0.35">
      <c r="A1481" s="11" t="s">
        <v>760</v>
      </c>
      <c r="B1481" s="10" t="s">
        <v>418</v>
      </c>
      <c r="C1481" s="284"/>
      <c r="D1481" s="365"/>
      <c r="E1481" s="365"/>
      <c r="F1481" s="11" t="s">
        <v>26</v>
      </c>
      <c r="G1481" s="11"/>
      <c r="H1481" s="60" t="s">
        <v>434</v>
      </c>
      <c r="I1481" s="44" t="s">
        <v>110</v>
      </c>
      <c r="J1481" s="45">
        <f>J1480*0.15</f>
        <v>22.2</v>
      </c>
      <c r="K1481" s="47">
        <v>85</v>
      </c>
      <c r="L1481" s="48">
        <f>J1481*K1481</f>
        <v>1887</v>
      </c>
      <c r="M1481" s="46">
        <f>M1480*0.15</f>
        <v>22.2</v>
      </c>
      <c r="N1481" s="46">
        <f>N1480*0.15</f>
        <v>22.2</v>
      </c>
      <c r="O1481" s="407">
        <v>85</v>
      </c>
      <c r="P1481" s="49">
        <f t="shared" si="44"/>
        <v>1887</v>
      </c>
      <c r="Q1481" s="49">
        <f t="shared" si="45"/>
        <v>1887</v>
      </c>
    </row>
    <row r="1482" spans="1:17" ht="13" x14ac:dyDescent="0.35">
      <c r="A1482" s="11" t="s">
        <v>760</v>
      </c>
      <c r="B1482" s="10" t="s">
        <v>418</v>
      </c>
      <c r="C1482" s="284"/>
      <c r="D1482" s="365"/>
      <c r="E1482" s="365"/>
      <c r="F1482" s="11"/>
      <c r="G1482" s="11"/>
      <c r="H1482" s="57" t="s">
        <v>435</v>
      </c>
      <c r="I1482" s="44"/>
      <c r="J1482" s="45"/>
      <c r="K1482" s="47"/>
      <c r="L1482" s="48"/>
      <c r="M1482" s="46"/>
      <c r="N1482" s="46"/>
      <c r="O1482" s="407"/>
      <c r="P1482" s="49">
        <f t="shared" ref="P1482:P1545" si="46">O1482*M1482</f>
        <v>0</v>
      </c>
      <c r="Q1482" s="49">
        <f t="shared" ref="Q1482:Q1545" si="47">O1482*N1482</f>
        <v>0</v>
      </c>
    </row>
    <row r="1483" spans="1:17" ht="26" x14ac:dyDescent="0.35">
      <c r="A1483" s="11" t="s">
        <v>760</v>
      </c>
      <c r="B1483" s="10" t="s">
        <v>418</v>
      </c>
      <c r="C1483" s="284"/>
      <c r="D1483" s="365"/>
      <c r="E1483" s="365"/>
      <c r="F1483" s="11"/>
      <c r="G1483" s="11"/>
      <c r="H1483" s="57" t="s">
        <v>436</v>
      </c>
      <c r="I1483" s="44"/>
      <c r="J1483" s="45"/>
      <c r="K1483" s="47"/>
      <c r="L1483" s="48"/>
      <c r="M1483" s="46"/>
      <c r="N1483" s="46"/>
      <c r="O1483" s="407"/>
      <c r="P1483" s="49">
        <f t="shared" si="46"/>
        <v>0</v>
      </c>
      <c r="Q1483" s="49">
        <f t="shared" si="47"/>
        <v>0</v>
      </c>
    </row>
    <row r="1484" spans="1:17" ht="14.5" x14ac:dyDescent="0.35">
      <c r="A1484" s="11" t="s">
        <v>760</v>
      </c>
      <c r="B1484" s="10" t="s">
        <v>418</v>
      </c>
      <c r="C1484" s="284"/>
      <c r="D1484" s="365"/>
      <c r="E1484" s="365"/>
      <c r="F1484" s="11" t="s">
        <v>29</v>
      </c>
      <c r="G1484" s="11"/>
      <c r="H1484" s="60" t="s">
        <v>437</v>
      </c>
      <c r="I1484" s="44" t="s">
        <v>110</v>
      </c>
      <c r="J1484" s="45">
        <f>J1336</f>
        <v>62</v>
      </c>
      <c r="K1484" s="47">
        <v>85</v>
      </c>
      <c r="L1484" s="48">
        <f>J1484*K1484</f>
        <v>5270</v>
      </c>
      <c r="M1484" s="46">
        <f>M1336</f>
        <v>62</v>
      </c>
      <c r="N1484" s="46">
        <f>N1336</f>
        <v>62</v>
      </c>
      <c r="O1484" s="407">
        <v>85</v>
      </c>
      <c r="P1484" s="49">
        <f t="shared" si="46"/>
        <v>5270</v>
      </c>
      <c r="Q1484" s="49">
        <f t="shared" si="47"/>
        <v>5270</v>
      </c>
    </row>
    <row r="1485" spans="1:17" ht="14.5" x14ac:dyDescent="0.35">
      <c r="A1485" s="11" t="s">
        <v>760</v>
      </c>
      <c r="B1485" s="10" t="s">
        <v>418</v>
      </c>
      <c r="C1485" s="284"/>
      <c r="D1485" s="365"/>
      <c r="E1485" s="365"/>
      <c r="F1485" s="11" t="s">
        <v>32</v>
      </c>
      <c r="G1485" s="11"/>
      <c r="H1485" s="60" t="s">
        <v>438</v>
      </c>
      <c r="I1485" s="44" t="s">
        <v>110</v>
      </c>
      <c r="J1485" s="45">
        <f>J1339*0.3</f>
        <v>21.3</v>
      </c>
      <c r="K1485" s="47">
        <v>85</v>
      </c>
      <c r="L1485" s="48">
        <f>J1485*K1485</f>
        <v>1810.5</v>
      </c>
      <c r="M1485" s="46">
        <f>M1339*0.3</f>
        <v>21.3</v>
      </c>
      <c r="N1485" s="46">
        <f>N1339*0.3</f>
        <v>21.3</v>
      </c>
      <c r="O1485" s="407">
        <v>85</v>
      </c>
      <c r="P1485" s="49">
        <f t="shared" si="46"/>
        <v>1810.5</v>
      </c>
      <c r="Q1485" s="49">
        <f t="shared" si="47"/>
        <v>1810.5</v>
      </c>
    </row>
    <row r="1486" spans="1:17" ht="13" x14ac:dyDescent="0.35">
      <c r="A1486" s="11" t="s">
        <v>760</v>
      </c>
      <c r="B1486" s="10" t="s">
        <v>418</v>
      </c>
      <c r="C1486" s="284"/>
      <c r="D1486" s="365"/>
      <c r="E1486" s="365"/>
      <c r="F1486" s="11"/>
      <c r="G1486" s="134"/>
      <c r="H1486" s="57" t="s">
        <v>440</v>
      </c>
      <c r="I1486" s="44"/>
      <c r="J1486" s="122"/>
      <c r="K1486" s="121"/>
      <c r="L1486" s="48"/>
      <c r="M1486" s="120"/>
      <c r="N1486" s="120"/>
      <c r="O1486" s="413"/>
      <c r="P1486" s="49">
        <f t="shared" si="46"/>
        <v>0</v>
      </c>
      <c r="Q1486" s="49">
        <f t="shared" si="47"/>
        <v>0</v>
      </c>
    </row>
    <row r="1487" spans="1:17" ht="26" x14ac:dyDescent="0.35">
      <c r="A1487" s="11" t="s">
        <v>760</v>
      </c>
      <c r="B1487" s="10" t="s">
        <v>418</v>
      </c>
      <c r="C1487" s="284"/>
      <c r="D1487" s="365"/>
      <c r="E1487" s="365"/>
      <c r="F1487" s="11"/>
      <c r="G1487" s="134"/>
      <c r="H1487" s="57" t="s">
        <v>441</v>
      </c>
      <c r="I1487" s="44"/>
      <c r="J1487" s="122"/>
      <c r="K1487" s="121"/>
      <c r="L1487" s="48"/>
      <c r="M1487" s="120"/>
      <c r="N1487" s="120"/>
      <c r="O1487" s="413"/>
      <c r="P1487" s="49">
        <f t="shared" si="46"/>
        <v>0</v>
      </c>
      <c r="Q1487" s="49">
        <f t="shared" si="47"/>
        <v>0</v>
      </c>
    </row>
    <row r="1488" spans="1:17" ht="14.5" x14ac:dyDescent="0.35">
      <c r="A1488" s="11" t="s">
        <v>760</v>
      </c>
      <c r="B1488" s="10" t="s">
        <v>418</v>
      </c>
      <c r="C1488" s="284"/>
      <c r="D1488" s="365"/>
      <c r="E1488" s="365"/>
      <c r="F1488" s="11" t="s">
        <v>36</v>
      </c>
      <c r="G1488" s="134"/>
      <c r="H1488" s="60" t="s">
        <v>442</v>
      </c>
      <c r="I1488" s="44" t="s">
        <v>110</v>
      </c>
      <c r="J1488" s="122">
        <v>40</v>
      </c>
      <c r="K1488" s="121">
        <v>85</v>
      </c>
      <c r="L1488" s="48">
        <f>J1488*K1488</f>
        <v>3400</v>
      </c>
      <c r="M1488" s="120">
        <v>40</v>
      </c>
      <c r="N1488" s="120">
        <v>40</v>
      </c>
      <c r="O1488" s="413">
        <v>85</v>
      </c>
      <c r="P1488" s="49">
        <f t="shared" si="46"/>
        <v>3400</v>
      </c>
      <c r="Q1488" s="49">
        <f t="shared" si="47"/>
        <v>3400</v>
      </c>
    </row>
    <row r="1489" spans="1:17" ht="14.5" x14ac:dyDescent="0.35">
      <c r="A1489" s="11" t="s">
        <v>760</v>
      </c>
      <c r="B1489" s="10" t="s">
        <v>418</v>
      </c>
      <c r="C1489" s="284"/>
      <c r="D1489" s="365"/>
      <c r="E1489" s="365"/>
      <c r="F1489" s="144" t="s">
        <v>39</v>
      </c>
      <c r="G1489" s="145"/>
      <c r="H1489" s="146" t="s">
        <v>443</v>
      </c>
      <c r="I1489" s="147" t="s">
        <v>110</v>
      </c>
      <c r="J1489" s="148">
        <v>32</v>
      </c>
      <c r="K1489" s="150">
        <v>85</v>
      </c>
      <c r="L1489" s="151">
        <f>J1489*K1489</f>
        <v>2720</v>
      </c>
      <c r="M1489" s="149">
        <v>32</v>
      </c>
      <c r="N1489" s="149">
        <v>32</v>
      </c>
      <c r="O1489" s="418">
        <v>85</v>
      </c>
      <c r="P1489" s="152">
        <f t="shared" si="46"/>
        <v>2720</v>
      </c>
      <c r="Q1489" s="152">
        <f t="shared" si="47"/>
        <v>2720</v>
      </c>
    </row>
    <row r="1490" spans="1:17" ht="13" x14ac:dyDescent="0.35">
      <c r="A1490" s="11" t="s">
        <v>760</v>
      </c>
      <c r="B1490" s="10" t="s">
        <v>418</v>
      </c>
      <c r="C1490" s="284"/>
      <c r="D1490" s="365"/>
      <c r="E1490" s="365"/>
      <c r="F1490" s="11"/>
      <c r="G1490" s="134"/>
      <c r="H1490" s="57" t="s">
        <v>444</v>
      </c>
      <c r="I1490" s="44"/>
      <c r="J1490" s="122"/>
      <c r="K1490" s="121"/>
      <c r="L1490" s="48"/>
      <c r="M1490" s="120"/>
      <c r="N1490" s="120"/>
      <c r="O1490" s="413"/>
      <c r="P1490" s="49">
        <f t="shared" si="46"/>
        <v>0</v>
      </c>
      <c r="Q1490" s="49">
        <f t="shared" si="47"/>
        <v>0</v>
      </c>
    </row>
    <row r="1491" spans="1:17" ht="25" x14ac:dyDescent="0.35">
      <c r="A1491" s="11" t="s">
        <v>760</v>
      </c>
      <c r="B1491" s="10" t="s">
        <v>418</v>
      </c>
      <c r="C1491" s="284"/>
      <c r="D1491" s="365"/>
      <c r="E1491" s="365"/>
      <c r="F1491" s="11"/>
      <c r="G1491" s="134"/>
      <c r="H1491" s="62" t="s">
        <v>445</v>
      </c>
      <c r="I1491" s="44"/>
      <c r="J1491" s="122"/>
      <c r="K1491" s="121"/>
      <c r="L1491" s="48"/>
      <c r="M1491" s="120"/>
      <c r="N1491" s="120"/>
      <c r="O1491" s="413"/>
      <c r="P1491" s="49">
        <f t="shared" si="46"/>
        <v>0</v>
      </c>
      <c r="Q1491" s="49">
        <f t="shared" si="47"/>
        <v>0</v>
      </c>
    </row>
    <row r="1492" spans="1:17" ht="14.5" x14ac:dyDescent="0.35">
      <c r="A1492" s="11" t="s">
        <v>760</v>
      </c>
      <c r="B1492" s="10" t="s">
        <v>418</v>
      </c>
      <c r="C1492" s="284"/>
      <c r="D1492" s="365"/>
      <c r="E1492" s="365"/>
      <c r="F1492" s="11" t="s">
        <v>42</v>
      </c>
      <c r="G1492" s="134"/>
      <c r="H1492" s="60" t="s">
        <v>446</v>
      </c>
      <c r="I1492" s="44" t="s">
        <v>110</v>
      </c>
      <c r="J1492" s="122">
        <v>24</v>
      </c>
      <c r="K1492" s="121">
        <v>85</v>
      </c>
      <c r="L1492" s="48">
        <f>J1492*K1492</f>
        <v>2040</v>
      </c>
      <c r="M1492" s="120">
        <v>24</v>
      </c>
      <c r="N1492" s="120">
        <v>24</v>
      </c>
      <c r="O1492" s="413">
        <v>85</v>
      </c>
      <c r="P1492" s="49">
        <f t="shared" si="46"/>
        <v>2040</v>
      </c>
      <c r="Q1492" s="49">
        <f t="shared" si="47"/>
        <v>2040</v>
      </c>
    </row>
    <row r="1493" spans="1:17" x14ac:dyDescent="0.35">
      <c r="A1493" s="11" t="s">
        <v>760</v>
      </c>
      <c r="B1493" s="10" t="s">
        <v>418</v>
      </c>
      <c r="C1493" s="284"/>
      <c r="D1493" s="365"/>
      <c r="E1493" s="365"/>
      <c r="F1493" s="11" t="s">
        <v>45</v>
      </c>
      <c r="G1493" s="134"/>
      <c r="H1493" s="60" t="s">
        <v>447</v>
      </c>
      <c r="I1493" s="44" t="s">
        <v>186</v>
      </c>
      <c r="J1493" s="122">
        <v>73</v>
      </c>
      <c r="K1493" s="121">
        <v>95</v>
      </c>
      <c r="L1493" s="48">
        <f>J1493*K1493</f>
        <v>6935</v>
      </c>
      <c r="M1493" s="120">
        <v>73</v>
      </c>
      <c r="N1493" s="120">
        <v>73</v>
      </c>
      <c r="O1493" s="413">
        <v>95</v>
      </c>
      <c r="P1493" s="49">
        <f t="shared" si="46"/>
        <v>6935</v>
      </c>
      <c r="Q1493" s="49">
        <f t="shared" si="47"/>
        <v>6935</v>
      </c>
    </row>
    <row r="1494" spans="1:17" ht="13" x14ac:dyDescent="0.35">
      <c r="A1494" s="11" t="s">
        <v>760</v>
      </c>
      <c r="B1494" s="10" t="s">
        <v>418</v>
      </c>
      <c r="C1494" s="284"/>
      <c r="D1494" s="365"/>
      <c r="E1494" s="365"/>
      <c r="F1494" s="217"/>
      <c r="G1494" s="50"/>
      <c r="H1494" s="262" t="s">
        <v>762</v>
      </c>
      <c r="I1494" s="44"/>
      <c r="J1494" s="45"/>
      <c r="K1494" s="47"/>
      <c r="L1494" s="55"/>
      <c r="M1494" s="46"/>
      <c r="N1494" s="46"/>
      <c r="O1494" s="407"/>
      <c r="P1494" s="56">
        <f t="shared" si="46"/>
        <v>0</v>
      </c>
      <c r="Q1494" s="56">
        <f t="shared" si="47"/>
        <v>0</v>
      </c>
    </row>
    <row r="1495" spans="1:17" ht="13" x14ac:dyDescent="0.35">
      <c r="A1495" s="11" t="s">
        <v>760</v>
      </c>
      <c r="B1495" s="10" t="s">
        <v>418</v>
      </c>
      <c r="C1495" s="284"/>
      <c r="D1495" s="365"/>
      <c r="E1495" s="365"/>
      <c r="F1495" s="217"/>
      <c r="G1495" s="50"/>
      <c r="H1495" s="262" t="s">
        <v>763</v>
      </c>
      <c r="I1495" s="44"/>
      <c r="J1495" s="45"/>
      <c r="K1495" s="47"/>
      <c r="L1495" s="55"/>
      <c r="M1495" s="46"/>
      <c r="N1495" s="46"/>
      <c r="O1495" s="407"/>
      <c r="P1495" s="56">
        <f t="shared" si="46"/>
        <v>0</v>
      </c>
      <c r="Q1495" s="56">
        <f t="shared" si="47"/>
        <v>0</v>
      </c>
    </row>
    <row r="1496" spans="1:17" ht="13" x14ac:dyDescent="0.35">
      <c r="A1496" s="11" t="s">
        <v>760</v>
      </c>
      <c r="B1496" s="10" t="s">
        <v>448</v>
      </c>
      <c r="C1496" s="284"/>
      <c r="D1496" s="284"/>
      <c r="E1496" s="284"/>
      <c r="F1496" s="217"/>
      <c r="G1496" s="50"/>
      <c r="H1496" s="43" t="s">
        <v>449</v>
      </c>
      <c r="I1496" s="44"/>
      <c r="J1496" s="45"/>
      <c r="K1496" s="47"/>
      <c r="L1496" s="55"/>
      <c r="M1496" s="46"/>
      <c r="N1496" s="46"/>
      <c r="O1496" s="407"/>
      <c r="P1496" s="56">
        <f t="shared" si="46"/>
        <v>0</v>
      </c>
      <c r="Q1496" s="56">
        <f t="shared" si="47"/>
        <v>0</v>
      </c>
    </row>
    <row r="1497" spans="1:17" ht="13" x14ac:dyDescent="0.35">
      <c r="A1497" s="11" t="s">
        <v>760</v>
      </c>
      <c r="B1497" s="10" t="s">
        <v>448</v>
      </c>
      <c r="C1497" s="284"/>
      <c r="D1497" s="284"/>
      <c r="E1497" s="284"/>
      <c r="F1497" s="217"/>
      <c r="G1497" s="50"/>
      <c r="H1497" s="43" t="s">
        <v>450</v>
      </c>
      <c r="I1497" s="44"/>
      <c r="J1497" s="45"/>
      <c r="K1497" s="47"/>
      <c r="L1497" s="55"/>
      <c r="M1497" s="46"/>
      <c r="N1497" s="46"/>
      <c r="O1497" s="407"/>
      <c r="P1497" s="56">
        <f t="shared" si="46"/>
        <v>0</v>
      </c>
      <c r="Q1497" s="56">
        <f t="shared" si="47"/>
        <v>0</v>
      </c>
    </row>
    <row r="1498" spans="1:17" ht="13" x14ac:dyDescent="0.35">
      <c r="A1498" s="11" t="s">
        <v>760</v>
      </c>
      <c r="B1498" s="10" t="s">
        <v>448</v>
      </c>
      <c r="C1498" s="284"/>
      <c r="D1498" s="284"/>
      <c r="E1498" s="284"/>
      <c r="F1498" s="217"/>
      <c r="G1498" s="50"/>
      <c r="H1498" s="57" t="s">
        <v>100</v>
      </c>
      <c r="I1498" s="44"/>
      <c r="J1498" s="45"/>
      <c r="K1498" s="47"/>
      <c r="L1498" s="55"/>
      <c r="M1498" s="46"/>
      <c r="N1498" s="46"/>
      <c r="O1498" s="407"/>
      <c r="P1498" s="56">
        <f t="shared" si="46"/>
        <v>0</v>
      </c>
      <c r="Q1498" s="56">
        <f t="shared" si="47"/>
        <v>0</v>
      </c>
    </row>
    <row r="1499" spans="1:17" ht="13" x14ac:dyDescent="0.35">
      <c r="A1499" s="11" t="s">
        <v>760</v>
      </c>
      <c r="B1499" s="10" t="s">
        <v>448</v>
      </c>
      <c r="C1499" s="284"/>
      <c r="D1499" s="284"/>
      <c r="E1499" s="284"/>
      <c r="F1499" s="217"/>
      <c r="G1499" s="50"/>
      <c r="H1499" s="60" t="s">
        <v>101</v>
      </c>
      <c r="I1499" s="44"/>
      <c r="J1499" s="45"/>
      <c r="K1499" s="47"/>
      <c r="L1499" s="55"/>
      <c r="M1499" s="46"/>
      <c r="N1499" s="46"/>
      <c r="O1499" s="407"/>
      <c r="P1499" s="56">
        <f t="shared" si="46"/>
        <v>0</v>
      </c>
      <c r="Q1499" s="56">
        <f t="shared" si="47"/>
        <v>0</v>
      </c>
    </row>
    <row r="1500" spans="1:17" ht="13" x14ac:dyDescent="0.3">
      <c r="A1500" s="11" t="s">
        <v>760</v>
      </c>
      <c r="B1500" s="10" t="s">
        <v>448</v>
      </c>
      <c r="C1500" s="284"/>
      <c r="D1500" s="284"/>
      <c r="E1500" s="284"/>
      <c r="F1500" s="217"/>
      <c r="G1500" s="50"/>
      <c r="H1500" s="218" t="s">
        <v>698</v>
      </c>
      <c r="I1500" s="44"/>
      <c r="J1500" s="45"/>
      <c r="K1500" s="47"/>
      <c r="L1500" s="55"/>
      <c r="M1500" s="46"/>
      <c r="N1500" s="46"/>
      <c r="O1500" s="407"/>
      <c r="P1500" s="56">
        <f t="shared" si="46"/>
        <v>0</v>
      </c>
      <c r="Q1500" s="56">
        <f t="shared" si="47"/>
        <v>0</v>
      </c>
    </row>
    <row r="1501" spans="1:17" ht="13" x14ac:dyDescent="0.3">
      <c r="A1501" s="11" t="s">
        <v>760</v>
      </c>
      <c r="B1501" s="10" t="s">
        <v>448</v>
      </c>
      <c r="C1501" s="284"/>
      <c r="D1501" s="284"/>
      <c r="E1501" s="284"/>
      <c r="F1501" s="217"/>
      <c r="G1501" s="50"/>
      <c r="H1501" s="219" t="s">
        <v>699</v>
      </c>
      <c r="I1501" s="44"/>
      <c r="J1501" s="45"/>
      <c r="K1501" s="47"/>
      <c r="L1501" s="55"/>
      <c r="M1501" s="46"/>
      <c r="N1501" s="46"/>
      <c r="O1501" s="407"/>
      <c r="P1501" s="56">
        <f t="shared" si="46"/>
        <v>0</v>
      </c>
      <c r="Q1501" s="56">
        <f t="shared" si="47"/>
        <v>0</v>
      </c>
    </row>
    <row r="1502" spans="1:17" ht="26" x14ac:dyDescent="0.3">
      <c r="A1502" s="11" t="s">
        <v>760</v>
      </c>
      <c r="B1502" s="10" t="s">
        <v>448</v>
      </c>
      <c r="C1502" s="284"/>
      <c r="D1502" s="284"/>
      <c r="E1502" s="284"/>
      <c r="F1502" s="217"/>
      <c r="G1502" s="50"/>
      <c r="H1502" s="219" t="s">
        <v>452</v>
      </c>
      <c r="I1502" s="44"/>
      <c r="J1502" s="45"/>
      <c r="K1502" s="47"/>
      <c r="L1502" s="55"/>
      <c r="M1502" s="46"/>
      <c r="N1502" s="46"/>
      <c r="O1502" s="407"/>
      <c r="P1502" s="56">
        <f t="shared" si="46"/>
        <v>0</v>
      </c>
      <c r="Q1502" s="56">
        <f t="shared" si="47"/>
        <v>0</v>
      </c>
    </row>
    <row r="1503" spans="1:17" ht="50" x14ac:dyDescent="0.25">
      <c r="A1503" s="11" t="s">
        <v>760</v>
      </c>
      <c r="B1503" s="10" t="s">
        <v>448</v>
      </c>
      <c r="C1503" s="284"/>
      <c r="D1503" s="284"/>
      <c r="E1503" s="284"/>
      <c r="F1503" s="217"/>
      <c r="G1503" s="50"/>
      <c r="H1503" s="220" t="s">
        <v>453</v>
      </c>
      <c r="I1503" s="44"/>
      <c r="J1503" s="45"/>
      <c r="K1503" s="47"/>
      <c r="L1503" s="55"/>
      <c r="M1503" s="46"/>
      <c r="N1503" s="46"/>
      <c r="O1503" s="407"/>
      <c r="P1503" s="56">
        <f t="shared" si="46"/>
        <v>0</v>
      </c>
      <c r="Q1503" s="56">
        <f t="shared" si="47"/>
        <v>0</v>
      </c>
    </row>
    <row r="1504" spans="1:17" ht="13" x14ac:dyDescent="0.3">
      <c r="A1504" s="11" t="s">
        <v>760</v>
      </c>
      <c r="B1504" s="10" t="s">
        <v>448</v>
      </c>
      <c r="C1504" s="284"/>
      <c r="D1504" s="284"/>
      <c r="E1504" s="284"/>
      <c r="F1504" s="217"/>
      <c r="G1504" s="50"/>
      <c r="H1504" s="218" t="s">
        <v>700</v>
      </c>
      <c r="I1504" s="44"/>
      <c r="J1504" s="45"/>
      <c r="K1504" s="47"/>
      <c r="L1504" s="55"/>
      <c r="M1504" s="46"/>
      <c r="N1504" s="46"/>
      <c r="O1504" s="407"/>
      <c r="P1504" s="56">
        <f t="shared" si="46"/>
        <v>0</v>
      </c>
      <c r="Q1504" s="56">
        <f t="shared" si="47"/>
        <v>0</v>
      </c>
    </row>
    <row r="1505" spans="1:17" ht="62.5" x14ac:dyDescent="0.35">
      <c r="A1505" s="11" t="s">
        <v>760</v>
      </c>
      <c r="B1505" s="10" t="s">
        <v>448</v>
      </c>
      <c r="C1505" s="284"/>
      <c r="D1505" s="284"/>
      <c r="E1505" s="284"/>
      <c r="F1505" s="163" t="s">
        <v>20</v>
      </c>
      <c r="G1505" s="50"/>
      <c r="H1505" s="159" t="s">
        <v>455</v>
      </c>
      <c r="I1505" s="44" t="s">
        <v>175</v>
      </c>
      <c r="J1505" s="45">
        <v>1</v>
      </c>
      <c r="K1505" s="47">
        <v>4000</v>
      </c>
      <c r="L1505" s="48">
        <f>J1505*K1505</f>
        <v>4000</v>
      </c>
      <c r="M1505" s="46">
        <v>1</v>
      </c>
      <c r="N1505" s="46">
        <v>1</v>
      </c>
      <c r="O1505" s="407">
        <v>4000</v>
      </c>
      <c r="P1505" s="49">
        <f t="shared" si="46"/>
        <v>4000</v>
      </c>
      <c r="Q1505" s="49">
        <f t="shared" si="47"/>
        <v>4000</v>
      </c>
    </row>
    <row r="1506" spans="1:17" ht="13" x14ac:dyDescent="0.35">
      <c r="A1506" s="11" t="s">
        <v>760</v>
      </c>
      <c r="B1506" s="10" t="s">
        <v>448</v>
      </c>
      <c r="C1506" s="284"/>
      <c r="D1506" s="284"/>
      <c r="E1506" s="284"/>
      <c r="F1506" s="217"/>
      <c r="G1506" s="50"/>
      <c r="H1506" s="221" t="s">
        <v>701</v>
      </c>
      <c r="I1506" s="44"/>
      <c r="J1506" s="45"/>
      <c r="K1506" s="47"/>
      <c r="L1506" s="48"/>
      <c r="M1506" s="46"/>
      <c r="N1506" s="46"/>
      <c r="O1506" s="407"/>
      <c r="P1506" s="49">
        <f t="shared" si="46"/>
        <v>0</v>
      </c>
      <c r="Q1506" s="49">
        <f t="shared" si="47"/>
        <v>0</v>
      </c>
    </row>
    <row r="1507" spans="1:17" ht="13" x14ac:dyDescent="0.35">
      <c r="A1507" s="11" t="s">
        <v>760</v>
      </c>
      <c r="B1507" s="10" t="s">
        <v>448</v>
      </c>
      <c r="C1507" s="284"/>
      <c r="D1507" s="284"/>
      <c r="E1507" s="284"/>
      <c r="F1507" s="217"/>
      <c r="G1507" s="50"/>
      <c r="H1507" s="221" t="s">
        <v>457</v>
      </c>
      <c r="I1507" s="44"/>
      <c r="J1507" s="45"/>
      <c r="K1507" s="47"/>
      <c r="L1507" s="48"/>
      <c r="M1507" s="46"/>
      <c r="N1507" s="46"/>
      <c r="O1507" s="407"/>
      <c r="P1507" s="49">
        <f t="shared" si="46"/>
        <v>0</v>
      </c>
      <c r="Q1507" s="49">
        <f t="shared" si="47"/>
        <v>0</v>
      </c>
    </row>
    <row r="1508" spans="1:17" ht="13" x14ac:dyDescent="0.35">
      <c r="A1508" s="11" t="s">
        <v>760</v>
      </c>
      <c r="B1508" s="10" t="s">
        <v>448</v>
      </c>
      <c r="C1508" s="284"/>
      <c r="D1508" s="284"/>
      <c r="E1508" s="284"/>
      <c r="F1508" s="163" t="s">
        <v>26</v>
      </c>
      <c r="G1508" s="50"/>
      <c r="H1508" s="222" t="s">
        <v>458</v>
      </c>
      <c r="I1508" s="44" t="s">
        <v>175</v>
      </c>
      <c r="J1508" s="45">
        <v>3</v>
      </c>
      <c r="K1508" s="47">
        <v>300</v>
      </c>
      <c r="L1508" s="48">
        <f>J1508*K1508</f>
        <v>900</v>
      </c>
      <c r="M1508" s="46">
        <v>3</v>
      </c>
      <c r="N1508" s="46">
        <v>3</v>
      </c>
      <c r="O1508" s="407">
        <v>300</v>
      </c>
      <c r="P1508" s="49">
        <f t="shared" si="46"/>
        <v>900</v>
      </c>
      <c r="Q1508" s="49">
        <f t="shared" si="47"/>
        <v>900</v>
      </c>
    </row>
    <row r="1509" spans="1:17" ht="13" x14ac:dyDescent="0.35">
      <c r="A1509" s="11" t="s">
        <v>760</v>
      </c>
      <c r="B1509" s="10" t="s">
        <v>448</v>
      </c>
      <c r="C1509" s="284"/>
      <c r="D1509" s="284"/>
      <c r="E1509" s="284"/>
      <c r="F1509" s="217" t="s">
        <v>29</v>
      </c>
      <c r="G1509" s="50"/>
      <c r="H1509" s="222" t="s">
        <v>459</v>
      </c>
      <c r="I1509" s="44" t="s">
        <v>175</v>
      </c>
      <c r="J1509" s="45">
        <v>2</v>
      </c>
      <c r="K1509" s="47">
        <v>400</v>
      </c>
      <c r="L1509" s="48">
        <f>J1509*K1509</f>
        <v>800</v>
      </c>
      <c r="M1509" s="46">
        <v>2</v>
      </c>
      <c r="N1509" s="46">
        <v>2</v>
      </c>
      <c r="O1509" s="407">
        <v>400</v>
      </c>
      <c r="P1509" s="49">
        <f t="shared" si="46"/>
        <v>800</v>
      </c>
      <c r="Q1509" s="49">
        <f t="shared" si="47"/>
        <v>800</v>
      </c>
    </row>
    <row r="1510" spans="1:17" ht="13" x14ac:dyDescent="0.35">
      <c r="A1510" s="11" t="s">
        <v>760</v>
      </c>
      <c r="B1510" s="10" t="s">
        <v>448</v>
      </c>
      <c r="C1510" s="284"/>
      <c r="D1510" s="284"/>
      <c r="E1510" s="284"/>
      <c r="F1510" s="163" t="s">
        <v>32</v>
      </c>
      <c r="G1510" s="50"/>
      <c r="H1510" s="222" t="s">
        <v>461</v>
      </c>
      <c r="I1510" s="44" t="s">
        <v>175</v>
      </c>
      <c r="J1510" s="45">
        <v>1</v>
      </c>
      <c r="K1510" s="47">
        <v>4500</v>
      </c>
      <c r="L1510" s="48">
        <f>J1510*K1510</f>
        <v>4500</v>
      </c>
      <c r="M1510" s="46">
        <v>1</v>
      </c>
      <c r="N1510" s="46">
        <v>1</v>
      </c>
      <c r="O1510" s="407">
        <v>4500</v>
      </c>
      <c r="P1510" s="49">
        <f t="shared" si="46"/>
        <v>4500</v>
      </c>
      <c r="Q1510" s="49">
        <f t="shared" si="47"/>
        <v>4500</v>
      </c>
    </row>
    <row r="1511" spans="1:17" ht="13" x14ac:dyDescent="0.35">
      <c r="A1511" s="11" t="s">
        <v>760</v>
      </c>
      <c r="B1511" s="10" t="s">
        <v>448</v>
      </c>
      <c r="C1511" s="284"/>
      <c r="D1511" s="284"/>
      <c r="E1511" s="284"/>
      <c r="F1511" s="163"/>
      <c r="G1511" s="50"/>
      <c r="H1511" s="221" t="s">
        <v>462</v>
      </c>
      <c r="I1511" s="44"/>
      <c r="J1511" s="45"/>
      <c r="K1511" s="47"/>
      <c r="L1511" s="48"/>
      <c r="M1511" s="46"/>
      <c r="N1511" s="46"/>
      <c r="O1511" s="407"/>
      <c r="P1511" s="49">
        <f t="shared" si="46"/>
        <v>0</v>
      </c>
      <c r="Q1511" s="49">
        <f t="shared" si="47"/>
        <v>0</v>
      </c>
    </row>
    <row r="1512" spans="1:17" ht="13" x14ac:dyDescent="0.35">
      <c r="A1512" s="11" t="s">
        <v>760</v>
      </c>
      <c r="B1512" s="10" t="s">
        <v>448</v>
      </c>
      <c r="C1512" s="284"/>
      <c r="D1512" s="284"/>
      <c r="E1512" s="284"/>
      <c r="F1512" s="163" t="s">
        <v>36</v>
      </c>
      <c r="G1512" s="50"/>
      <c r="H1512" s="222" t="s">
        <v>463</v>
      </c>
      <c r="I1512" s="44" t="s">
        <v>175</v>
      </c>
      <c r="J1512" s="45">
        <v>1</v>
      </c>
      <c r="K1512" s="47">
        <v>1500</v>
      </c>
      <c r="L1512" s="48">
        <f>J1512*K1512</f>
        <v>1500</v>
      </c>
      <c r="M1512" s="46">
        <v>1</v>
      </c>
      <c r="N1512" s="46">
        <v>1</v>
      </c>
      <c r="O1512" s="407">
        <v>1500</v>
      </c>
      <c r="P1512" s="49">
        <f t="shared" si="46"/>
        <v>1500</v>
      </c>
      <c r="Q1512" s="49">
        <f t="shared" si="47"/>
        <v>1500</v>
      </c>
    </row>
    <row r="1513" spans="1:17" ht="13" x14ac:dyDescent="0.35">
      <c r="A1513" s="11" t="s">
        <v>760</v>
      </c>
      <c r="B1513" s="10" t="s">
        <v>448</v>
      </c>
      <c r="C1513" s="284"/>
      <c r="D1513" s="284"/>
      <c r="E1513" s="284"/>
      <c r="F1513" s="163"/>
      <c r="G1513" s="50"/>
      <c r="H1513" s="221" t="s">
        <v>702</v>
      </c>
      <c r="I1513" s="44"/>
      <c r="J1513" s="45"/>
      <c r="K1513" s="47"/>
      <c r="L1513" s="48"/>
      <c r="M1513" s="46"/>
      <c r="N1513" s="46"/>
      <c r="O1513" s="407"/>
      <c r="P1513" s="49">
        <f t="shared" si="46"/>
        <v>0</v>
      </c>
      <c r="Q1513" s="49">
        <f t="shared" si="47"/>
        <v>0</v>
      </c>
    </row>
    <row r="1514" spans="1:17" ht="13" x14ac:dyDescent="0.35">
      <c r="A1514" s="11" t="s">
        <v>760</v>
      </c>
      <c r="B1514" s="10" t="s">
        <v>448</v>
      </c>
      <c r="C1514" s="284"/>
      <c r="D1514" s="284"/>
      <c r="E1514" s="284"/>
      <c r="F1514" s="163"/>
      <c r="G1514" s="50"/>
      <c r="H1514" s="221" t="s">
        <v>466</v>
      </c>
      <c r="I1514" s="44"/>
      <c r="J1514" s="45"/>
      <c r="K1514" s="47"/>
      <c r="L1514" s="55"/>
      <c r="M1514" s="46"/>
      <c r="N1514" s="46"/>
      <c r="O1514" s="407"/>
      <c r="P1514" s="56">
        <f t="shared" si="46"/>
        <v>0</v>
      </c>
      <c r="Q1514" s="56">
        <f t="shared" si="47"/>
        <v>0</v>
      </c>
    </row>
    <row r="1515" spans="1:17" ht="13" x14ac:dyDescent="0.35">
      <c r="A1515" s="11" t="s">
        <v>760</v>
      </c>
      <c r="B1515" s="10" t="s">
        <v>448</v>
      </c>
      <c r="C1515" s="284"/>
      <c r="D1515" s="284"/>
      <c r="E1515" s="284"/>
      <c r="F1515" s="163" t="s">
        <v>39</v>
      </c>
      <c r="G1515" s="50"/>
      <c r="H1515" s="222" t="s">
        <v>467</v>
      </c>
      <c r="I1515" s="44" t="s">
        <v>703</v>
      </c>
      <c r="J1515" s="45">
        <v>8</v>
      </c>
      <c r="K1515" s="47">
        <v>100</v>
      </c>
      <c r="L1515" s="48">
        <f>J1515*K1515</f>
        <v>800</v>
      </c>
      <c r="M1515" s="46">
        <v>8</v>
      </c>
      <c r="N1515" s="46">
        <v>8</v>
      </c>
      <c r="O1515" s="407">
        <v>100</v>
      </c>
      <c r="P1515" s="49">
        <f t="shared" si="46"/>
        <v>800</v>
      </c>
      <c r="Q1515" s="49">
        <f t="shared" si="47"/>
        <v>800</v>
      </c>
    </row>
    <row r="1516" spans="1:17" ht="13" x14ac:dyDescent="0.3">
      <c r="A1516" s="11" t="s">
        <v>760</v>
      </c>
      <c r="B1516" s="10" t="s">
        <v>448</v>
      </c>
      <c r="C1516" s="284"/>
      <c r="D1516" s="284"/>
      <c r="E1516" s="284"/>
      <c r="F1516" s="163"/>
      <c r="G1516" s="50"/>
      <c r="H1516" s="223" t="s">
        <v>704</v>
      </c>
      <c r="I1516" s="44"/>
      <c r="J1516" s="45"/>
      <c r="K1516" s="47"/>
      <c r="L1516" s="55"/>
      <c r="M1516" s="46"/>
      <c r="N1516" s="46"/>
      <c r="O1516" s="407"/>
      <c r="P1516" s="56">
        <f t="shared" si="46"/>
        <v>0</v>
      </c>
      <c r="Q1516" s="56">
        <f t="shared" si="47"/>
        <v>0</v>
      </c>
    </row>
    <row r="1517" spans="1:17" ht="13" x14ac:dyDescent="0.3">
      <c r="A1517" s="11" t="s">
        <v>760</v>
      </c>
      <c r="B1517" s="10" t="s">
        <v>448</v>
      </c>
      <c r="C1517" s="284"/>
      <c r="D1517" s="284"/>
      <c r="E1517" s="284"/>
      <c r="F1517" s="163"/>
      <c r="G1517" s="50"/>
      <c r="H1517" s="218" t="s">
        <v>705</v>
      </c>
      <c r="I1517" s="44"/>
      <c r="J1517" s="45"/>
      <c r="K1517" s="47"/>
      <c r="L1517" s="55"/>
      <c r="M1517" s="46"/>
      <c r="N1517" s="46"/>
      <c r="O1517" s="407"/>
      <c r="P1517" s="56">
        <f t="shared" si="46"/>
        <v>0</v>
      </c>
      <c r="Q1517" s="56">
        <f t="shared" si="47"/>
        <v>0</v>
      </c>
    </row>
    <row r="1518" spans="1:17" ht="13" x14ac:dyDescent="0.25">
      <c r="A1518" s="11" t="s">
        <v>760</v>
      </c>
      <c r="B1518" s="10" t="s">
        <v>448</v>
      </c>
      <c r="C1518" s="284"/>
      <c r="D1518" s="284"/>
      <c r="E1518" s="284"/>
      <c r="F1518" s="163"/>
      <c r="G1518" s="50"/>
      <c r="H1518" s="224" t="s">
        <v>497</v>
      </c>
      <c r="I1518" s="44"/>
      <c r="J1518" s="45"/>
      <c r="K1518" s="47"/>
      <c r="L1518" s="55"/>
      <c r="M1518" s="46"/>
      <c r="N1518" s="46"/>
      <c r="O1518" s="407"/>
      <c r="P1518" s="56">
        <f t="shared" si="46"/>
        <v>0</v>
      </c>
      <c r="Q1518" s="56">
        <f t="shared" si="47"/>
        <v>0</v>
      </c>
    </row>
    <row r="1519" spans="1:17" ht="13" x14ac:dyDescent="0.25">
      <c r="A1519" s="11" t="s">
        <v>760</v>
      </c>
      <c r="B1519" s="10" t="s">
        <v>448</v>
      </c>
      <c r="C1519" s="284"/>
      <c r="D1519" s="284"/>
      <c r="E1519" s="284"/>
      <c r="F1519" s="163"/>
      <c r="G1519" s="50"/>
      <c r="H1519" s="220" t="s">
        <v>498</v>
      </c>
      <c r="I1519" s="44"/>
      <c r="J1519" s="45"/>
      <c r="K1519" s="47"/>
      <c r="L1519" s="55"/>
      <c r="M1519" s="46"/>
      <c r="N1519" s="46"/>
      <c r="O1519" s="407"/>
      <c r="P1519" s="56">
        <f t="shared" si="46"/>
        <v>0</v>
      </c>
      <c r="Q1519" s="56">
        <f t="shared" si="47"/>
        <v>0</v>
      </c>
    </row>
    <row r="1520" spans="1:17" ht="13" x14ac:dyDescent="0.3">
      <c r="A1520" s="11" t="s">
        <v>760</v>
      </c>
      <c r="B1520" s="10" t="s">
        <v>448</v>
      </c>
      <c r="C1520" s="284"/>
      <c r="D1520" s="284"/>
      <c r="E1520" s="284"/>
      <c r="F1520" s="163"/>
      <c r="G1520" s="50"/>
      <c r="H1520" s="218" t="s">
        <v>499</v>
      </c>
      <c r="I1520" s="44"/>
      <c r="J1520" s="45"/>
      <c r="K1520" s="47"/>
      <c r="L1520" s="55"/>
      <c r="M1520" s="46"/>
      <c r="N1520" s="46"/>
      <c r="O1520" s="407"/>
      <c r="P1520" s="56">
        <f t="shared" si="46"/>
        <v>0</v>
      </c>
      <c r="Q1520" s="56">
        <f t="shared" si="47"/>
        <v>0</v>
      </c>
    </row>
    <row r="1521" spans="1:17" ht="13" x14ac:dyDescent="0.3">
      <c r="A1521" s="11" t="s">
        <v>760</v>
      </c>
      <c r="B1521" s="10" t="s">
        <v>448</v>
      </c>
      <c r="C1521" s="284"/>
      <c r="D1521" s="284"/>
      <c r="E1521" s="284"/>
      <c r="F1521" s="163"/>
      <c r="G1521" s="50"/>
      <c r="H1521" s="225" t="s">
        <v>706</v>
      </c>
      <c r="I1521" s="44"/>
      <c r="J1521" s="45"/>
      <c r="K1521" s="47"/>
      <c r="L1521" s="55"/>
      <c r="M1521" s="46"/>
      <c r="N1521" s="46"/>
      <c r="O1521" s="407"/>
      <c r="P1521" s="56">
        <f t="shared" si="46"/>
        <v>0</v>
      </c>
      <c r="Q1521" s="56">
        <f t="shared" si="47"/>
        <v>0</v>
      </c>
    </row>
    <row r="1522" spans="1:17" ht="62.5" x14ac:dyDescent="0.35">
      <c r="A1522" s="11" t="s">
        <v>760</v>
      </c>
      <c r="B1522" s="10" t="s">
        <v>448</v>
      </c>
      <c r="C1522" s="284"/>
      <c r="D1522" s="284"/>
      <c r="E1522" s="284"/>
      <c r="F1522" s="163"/>
      <c r="G1522" s="50"/>
      <c r="H1522" s="159" t="s">
        <v>500</v>
      </c>
      <c r="I1522" s="44"/>
      <c r="J1522" s="45"/>
      <c r="K1522" s="47"/>
      <c r="L1522" s="55"/>
      <c r="M1522" s="46"/>
      <c r="N1522" s="46"/>
      <c r="O1522" s="407"/>
      <c r="P1522" s="56">
        <f t="shared" si="46"/>
        <v>0</v>
      </c>
      <c r="Q1522" s="56">
        <f t="shared" si="47"/>
        <v>0</v>
      </c>
    </row>
    <row r="1523" spans="1:17" ht="13" x14ac:dyDescent="0.35">
      <c r="A1523" s="11" t="s">
        <v>760</v>
      </c>
      <c r="B1523" s="10" t="s">
        <v>448</v>
      </c>
      <c r="C1523" s="284"/>
      <c r="D1523" s="284"/>
      <c r="E1523" s="284"/>
      <c r="F1523" s="163" t="s">
        <v>42</v>
      </c>
      <c r="G1523" s="50"/>
      <c r="H1523" s="222" t="s">
        <v>502</v>
      </c>
      <c r="I1523" s="44" t="s">
        <v>186</v>
      </c>
      <c r="J1523" s="45">
        <v>300</v>
      </c>
      <c r="K1523" s="47">
        <v>20</v>
      </c>
      <c r="L1523" s="48">
        <f>J1523*K1523</f>
        <v>6000</v>
      </c>
      <c r="M1523" s="46">
        <v>300</v>
      </c>
      <c r="N1523" s="46">
        <v>300</v>
      </c>
      <c r="O1523" s="407">
        <v>20</v>
      </c>
      <c r="P1523" s="49">
        <f t="shared" si="46"/>
        <v>6000</v>
      </c>
      <c r="Q1523" s="49">
        <f t="shared" si="47"/>
        <v>6000</v>
      </c>
    </row>
    <row r="1524" spans="1:17" ht="13" x14ac:dyDescent="0.35">
      <c r="A1524" s="11" t="s">
        <v>760</v>
      </c>
      <c r="B1524" s="10" t="s">
        <v>448</v>
      </c>
      <c r="C1524" s="284"/>
      <c r="D1524" s="284"/>
      <c r="E1524" s="284"/>
      <c r="F1524" s="238" t="s">
        <v>45</v>
      </c>
      <c r="G1524" s="239"/>
      <c r="H1524" s="280" t="s">
        <v>504</v>
      </c>
      <c r="I1524" s="147" t="s">
        <v>186</v>
      </c>
      <c r="J1524" s="206">
        <v>100</v>
      </c>
      <c r="K1524" s="208">
        <v>22</v>
      </c>
      <c r="L1524" s="151">
        <f>J1524*K1524</f>
        <v>2200</v>
      </c>
      <c r="M1524" s="207">
        <v>100</v>
      </c>
      <c r="N1524" s="207">
        <v>100</v>
      </c>
      <c r="O1524" s="423">
        <v>22</v>
      </c>
      <c r="P1524" s="152">
        <f t="shared" si="46"/>
        <v>2200</v>
      </c>
      <c r="Q1524" s="152">
        <f t="shared" si="47"/>
        <v>2200</v>
      </c>
    </row>
    <row r="1525" spans="1:17" ht="37.5" x14ac:dyDescent="0.35">
      <c r="A1525" s="11" t="s">
        <v>760</v>
      </c>
      <c r="B1525" s="10" t="s">
        <v>448</v>
      </c>
      <c r="C1525" s="284"/>
      <c r="D1525" s="284"/>
      <c r="E1525" s="284"/>
      <c r="F1525" s="163"/>
      <c r="G1525" s="50"/>
      <c r="H1525" s="159" t="s">
        <v>505</v>
      </c>
      <c r="I1525" s="44"/>
      <c r="J1525" s="45"/>
      <c r="K1525" s="47"/>
      <c r="L1525" s="55"/>
      <c r="M1525" s="46"/>
      <c r="N1525" s="46"/>
      <c r="O1525" s="407"/>
      <c r="P1525" s="56">
        <f t="shared" si="46"/>
        <v>0</v>
      </c>
      <c r="Q1525" s="56">
        <f t="shared" si="47"/>
        <v>0</v>
      </c>
    </row>
    <row r="1526" spans="1:17" ht="13" x14ac:dyDescent="0.35">
      <c r="A1526" s="11" t="s">
        <v>760</v>
      </c>
      <c r="B1526" s="10" t="s">
        <v>448</v>
      </c>
      <c r="C1526" s="284"/>
      <c r="D1526" s="284"/>
      <c r="E1526" s="284"/>
      <c r="F1526" s="163" t="s">
        <v>48</v>
      </c>
      <c r="G1526" s="50"/>
      <c r="H1526" s="222" t="s">
        <v>707</v>
      </c>
      <c r="I1526" s="44" t="s">
        <v>175</v>
      </c>
      <c r="J1526" s="45">
        <v>5</v>
      </c>
      <c r="K1526" s="47">
        <v>24</v>
      </c>
      <c r="L1526" s="48">
        <f>J1526*K1526</f>
        <v>120</v>
      </c>
      <c r="M1526" s="46">
        <v>5</v>
      </c>
      <c r="N1526" s="46">
        <v>5</v>
      </c>
      <c r="O1526" s="407">
        <v>24</v>
      </c>
      <c r="P1526" s="49">
        <f t="shared" si="46"/>
        <v>120</v>
      </c>
      <c r="Q1526" s="49">
        <f t="shared" si="47"/>
        <v>120</v>
      </c>
    </row>
    <row r="1527" spans="1:17" ht="25" x14ac:dyDescent="0.25">
      <c r="A1527" s="11" t="s">
        <v>760</v>
      </c>
      <c r="B1527" s="10" t="s">
        <v>448</v>
      </c>
      <c r="C1527" s="284"/>
      <c r="D1527" s="284"/>
      <c r="E1527" s="284"/>
      <c r="F1527" s="163"/>
      <c r="G1527" s="50"/>
      <c r="H1527" s="161" t="s">
        <v>508</v>
      </c>
      <c r="I1527" s="44"/>
      <c r="J1527" s="45"/>
      <c r="K1527" s="47"/>
      <c r="L1527" s="55"/>
      <c r="M1527" s="46"/>
      <c r="N1527" s="46"/>
      <c r="O1527" s="407"/>
      <c r="P1527" s="56">
        <f t="shared" si="46"/>
        <v>0</v>
      </c>
      <c r="Q1527" s="56">
        <f t="shared" si="47"/>
        <v>0</v>
      </c>
    </row>
    <row r="1528" spans="1:17" ht="25" x14ac:dyDescent="0.25">
      <c r="A1528" s="11" t="s">
        <v>760</v>
      </c>
      <c r="B1528" s="10" t="s">
        <v>448</v>
      </c>
      <c r="C1528" s="284"/>
      <c r="D1528" s="284"/>
      <c r="E1528" s="284"/>
      <c r="F1528" s="163"/>
      <c r="G1528" s="50"/>
      <c r="H1528" s="161" t="s">
        <v>509</v>
      </c>
      <c r="I1528" s="44"/>
      <c r="J1528" s="45"/>
      <c r="K1528" s="47"/>
      <c r="L1528" s="55"/>
      <c r="M1528" s="46"/>
      <c r="N1528" s="46"/>
      <c r="O1528" s="407"/>
      <c r="P1528" s="56">
        <f t="shared" si="46"/>
        <v>0</v>
      </c>
      <c r="Q1528" s="56">
        <f t="shared" si="47"/>
        <v>0</v>
      </c>
    </row>
    <row r="1529" spans="1:17" ht="13" x14ac:dyDescent="0.25">
      <c r="A1529" s="11" t="s">
        <v>760</v>
      </c>
      <c r="B1529" s="10" t="s">
        <v>448</v>
      </c>
      <c r="C1529" s="284"/>
      <c r="D1529" s="284"/>
      <c r="E1529" s="284"/>
      <c r="F1529" s="163" t="s">
        <v>51</v>
      </c>
      <c r="G1529" s="50"/>
      <c r="H1529" s="234" t="s">
        <v>511</v>
      </c>
      <c r="I1529" s="44" t="s">
        <v>175</v>
      </c>
      <c r="J1529" s="45">
        <v>7</v>
      </c>
      <c r="K1529" s="47">
        <v>19</v>
      </c>
      <c r="L1529" s="48">
        <f>J1529*K1529</f>
        <v>133</v>
      </c>
      <c r="M1529" s="46">
        <v>7</v>
      </c>
      <c r="N1529" s="46">
        <v>7</v>
      </c>
      <c r="O1529" s="407">
        <v>19</v>
      </c>
      <c r="P1529" s="49">
        <f t="shared" si="46"/>
        <v>133</v>
      </c>
      <c r="Q1529" s="49">
        <f t="shared" si="47"/>
        <v>133</v>
      </c>
    </row>
    <row r="1530" spans="1:17" ht="13" x14ac:dyDescent="0.25">
      <c r="A1530" s="11" t="s">
        <v>760</v>
      </c>
      <c r="B1530" s="10" t="s">
        <v>448</v>
      </c>
      <c r="C1530" s="284"/>
      <c r="D1530" s="284"/>
      <c r="E1530" s="284"/>
      <c r="F1530" s="163" t="s">
        <v>53</v>
      </c>
      <c r="G1530" s="50"/>
      <c r="H1530" s="234" t="s">
        <v>513</v>
      </c>
      <c r="I1530" s="44" t="s">
        <v>175</v>
      </c>
      <c r="J1530" s="45">
        <v>10</v>
      </c>
      <c r="K1530" s="47">
        <v>20</v>
      </c>
      <c r="L1530" s="48">
        <f>J1530*K1530</f>
        <v>200</v>
      </c>
      <c r="M1530" s="46">
        <v>10</v>
      </c>
      <c r="N1530" s="46">
        <v>10</v>
      </c>
      <c r="O1530" s="407">
        <v>20</v>
      </c>
      <c r="P1530" s="49">
        <f t="shared" si="46"/>
        <v>200</v>
      </c>
      <c r="Q1530" s="49">
        <f t="shared" si="47"/>
        <v>200</v>
      </c>
    </row>
    <row r="1531" spans="1:17" ht="13" x14ac:dyDescent="0.25">
      <c r="A1531" s="11" t="s">
        <v>760</v>
      </c>
      <c r="B1531" s="10" t="s">
        <v>448</v>
      </c>
      <c r="C1531" s="284"/>
      <c r="D1531" s="284"/>
      <c r="E1531" s="284"/>
      <c r="F1531" s="163" t="s">
        <v>55</v>
      </c>
      <c r="G1531" s="50"/>
      <c r="H1531" s="234" t="s">
        <v>708</v>
      </c>
      <c r="I1531" s="44" t="s">
        <v>175</v>
      </c>
      <c r="J1531" s="45">
        <v>1</v>
      </c>
      <c r="K1531" s="47">
        <v>300</v>
      </c>
      <c r="L1531" s="48">
        <f>J1531*K1531</f>
        <v>300</v>
      </c>
      <c r="M1531" s="46">
        <v>1</v>
      </c>
      <c r="N1531" s="46">
        <v>1</v>
      </c>
      <c r="O1531" s="407">
        <v>300</v>
      </c>
      <c r="P1531" s="49">
        <f t="shared" si="46"/>
        <v>300</v>
      </c>
      <c r="Q1531" s="49">
        <f t="shared" si="47"/>
        <v>300</v>
      </c>
    </row>
    <row r="1532" spans="1:17" ht="13" x14ac:dyDescent="0.3">
      <c r="A1532" s="11" t="s">
        <v>760</v>
      </c>
      <c r="B1532" s="10" t="s">
        <v>448</v>
      </c>
      <c r="C1532" s="284"/>
      <c r="D1532" s="284"/>
      <c r="E1532" s="284"/>
      <c r="F1532" s="163"/>
      <c r="G1532" s="50"/>
      <c r="H1532" s="235" t="s">
        <v>514</v>
      </c>
      <c r="I1532" s="44"/>
      <c r="J1532" s="45"/>
      <c r="K1532" s="47"/>
      <c r="L1532" s="55"/>
      <c r="M1532" s="46"/>
      <c r="N1532" s="46"/>
      <c r="O1532" s="407"/>
      <c r="P1532" s="56">
        <f t="shared" si="46"/>
        <v>0</v>
      </c>
      <c r="Q1532" s="56">
        <f t="shared" si="47"/>
        <v>0</v>
      </c>
    </row>
    <row r="1533" spans="1:17" ht="13" x14ac:dyDescent="0.25">
      <c r="A1533" s="11" t="s">
        <v>760</v>
      </c>
      <c r="B1533" s="10" t="s">
        <v>448</v>
      </c>
      <c r="C1533" s="284"/>
      <c r="D1533" s="284"/>
      <c r="E1533" s="284"/>
      <c r="F1533" s="163" t="s">
        <v>58</v>
      </c>
      <c r="G1533" s="50"/>
      <c r="H1533" s="234" t="s">
        <v>516</v>
      </c>
      <c r="I1533" s="44" t="s">
        <v>175</v>
      </c>
      <c r="J1533" s="45">
        <v>1</v>
      </c>
      <c r="K1533" s="47">
        <v>25</v>
      </c>
      <c r="L1533" s="48">
        <f>J1533*K1533</f>
        <v>25</v>
      </c>
      <c r="M1533" s="46">
        <v>1</v>
      </c>
      <c r="N1533" s="46">
        <v>1</v>
      </c>
      <c r="O1533" s="407">
        <v>25</v>
      </c>
      <c r="P1533" s="49">
        <f t="shared" si="46"/>
        <v>25</v>
      </c>
      <c r="Q1533" s="49">
        <f t="shared" si="47"/>
        <v>25</v>
      </c>
    </row>
    <row r="1534" spans="1:17" ht="13" x14ac:dyDescent="0.25">
      <c r="A1534" s="11" t="s">
        <v>760</v>
      </c>
      <c r="B1534" s="10" t="s">
        <v>448</v>
      </c>
      <c r="C1534" s="284"/>
      <c r="D1534" s="284"/>
      <c r="E1534" s="284"/>
      <c r="F1534" s="163" t="s">
        <v>87</v>
      </c>
      <c r="G1534" s="50"/>
      <c r="H1534" s="234" t="s">
        <v>709</v>
      </c>
      <c r="I1534" s="44" t="s">
        <v>175</v>
      </c>
      <c r="J1534" s="45">
        <v>1</v>
      </c>
      <c r="K1534" s="47">
        <v>400</v>
      </c>
      <c r="L1534" s="48">
        <f>J1534*K1534</f>
        <v>400</v>
      </c>
      <c r="M1534" s="46">
        <v>1</v>
      </c>
      <c r="N1534" s="46">
        <v>1</v>
      </c>
      <c r="O1534" s="407">
        <v>400</v>
      </c>
      <c r="P1534" s="49">
        <f t="shared" si="46"/>
        <v>400</v>
      </c>
      <c r="Q1534" s="49">
        <f t="shared" si="47"/>
        <v>400</v>
      </c>
    </row>
    <row r="1535" spans="1:17" ht="13" x14ac:dyDescent="0.3">
      <c r="A1535" s="11" t="s">
        <v>760</v>
      </c>
      <c r="B1535" s="10" t="s">
        <v>448</v>
      </c>
      <c r="C1535" s="284"/>
      <c r="D1535" s="284"/>
      <c r="E1535" s="284"/>
      <c r="F1535" s="163"/>
      <c r="G1535" s="50"/>
      <c r="H1535" s="235" t="s">
        <v>517</v>
      </c>
      <c r="I1535" s="44"/>
      <c r="J1535" s="45"/>
      <c r="K1535" s="47"/>
      <c r="L1535" s="55"/>
      <c r="M1535" s="46"/>
      <c r="N1535" s="46"/>
      <c r="O1535" s="407"/>
      <c r="P1535" s="56">
        <f t="shared" si="46"/>
        <v>0</v>
      </c>
      <c r="Q1535" s="56">
        <f t="shared" si="47"/>
        <v>0</v>
      </c>
    </row>
    <row r="1536" spans="1:17" ht="13" x14ac:dyDescent="0.25">
      <c r="A1536" s="11" t="s">
        <v>760</v>
      </c>
      <c r="B1536" s="10" t="s">
        <v>448</v>
      </c>
      <c r="C1536" s="284"/>
      <c r="D1536" s="284"/>
      <c r="E1536" s="284"/>
      <c r="F1536" s="163"/>
      <c r="G1536" s="50"/>
      <c r="H1536" s="224" t="s">
        <v>710</v>
      </c>
      <c r="I1536" s="44"/>
      <c r="J1536" s="45"/>
      <c r="K1536" s="47"/>
      <c r="L1536" s="55"/>
      <c r="M1536" s="46"/>
      <c r="N1536" s="46"/>
      <c r="O1536" s="407"/>
      <c r="P1536" s="56">
        <f t="shared" si="46"/>
        <v>0</v>
      </c>
      <c r="Q1536" s="56">
        <f t="shared" si="47"/>
        <v>0</v>
      </c>
    </row>
    <row r="1537" spans="1:17" ht="13" x14ac:dyDescent="0.25">
      <c r="A1537" s="11" t="s">
        <v>760</v>
      </c>
      <c r="B1537" s="10" t="s">
        <v>448</v>
      </c>
      <c r="C1537" s="284"/>
      <c r="D1537" s="284"/>
      <c r="E1537" s="284"/>
      <c r="F1537" s="163"/>
      <c r="G1537" s="50"/>
      <c r="H1537" s="224" t="s">
        <v>711</v>
      </c>
      <c r="I1537" s="44"/>
      <c r="J1537" s="45"/>
      <c r="K1537" s="47"/>
      <c r="L1537" s="55"/>
      <c r="M1537" s="46"/>
      <c r="N1537" s="46"/>
      <c r="O1537" s="407"/>
      <c r="P1537" s="56">
        <f t="shared" si="46"/>
        <v>0</v>
      </c>
      <c r="Q1537" s="56">
        <f t="shared" si="47"/>
        <v>0</v>
      </c>
    </row>
    <row r="1538" spans="1:17" ht="13" x14ac:dyDescent="0.25">
      <c r="A1538" s="11" t="s">
        <v>760</v>
      </c>
      <c r="B1538" s="10" t="s">
        <v>448</v>
      </c>
      <c r="C1538" s="284"/>
      <c r="D1538" s="284"/>
      <c r="E1538" s="284"/>
      <c r="F1538" s="163" t="s">
        <v>90</v>
      </c>
      <c r="G1538" s="50"/>
      <c r="H1538" s="236" t="s">
        <v>521</v>
      </c>
      <c r="I1538" s="44" t="s">
        <v>186</v>
      </c>
      <c r="J1538" s="45">
        <v>390</v>
      </c>
      <c r="K1538" s="47">
        <v>10</v>
      </c>
      <c r="L1538" s="48">
        <f>J1538*K1538</f>
        <v>3900</v>
      </c>
      <c r="M1538" s="46">
        <v>390</v>
      </c>
      <c r="N1538" s="46">
        <v>390</v>
      </c>
      <c r="O1538" s="407">
        <v>10</v>
      </c>
      <c r="P1538" s="49">
        <f t="shared" si="46"/>
        <v>3900</v>
      </c>
      <c r="Q1538" s="49">
        <f t="shared" si="47"/>
        <v>3900</v>
      </c>
    </row>
    <row r="1539" spans="1:17" ht="13" x14ac:dyDescent="0.25">
      <c r="A1539" s="11" t="s">
        <v>760</v>
      </c>
      <c r="B1539" s="10" t="s">
        <v>448</v>
      </c>
      <c r="C1539" s="284"/>
      <c r="D1539" s="284"/>
      <c r="E1539" s="284"/>
      <c r="F1539" s="163" t="s">
        <v>187</v>
      </c>
      <c r="G1539" s="50"/>
      <c r="H1539" s="236" t="s">
        <v>523</v>
      </c>
      <c r="I1539" s="44" t="s">
        <v>186</v>
      </c>
      <c r="J1539" s="45">
        <v>600</v>
      </c>
      <c r="K1539" s="47">
        <v>12</v>
      </c>
      <c r="L1539" s="48">
        <f>J1539*K1539</f>
        <v>7200</v>
      </c>
      <c r="M1539" s="46">
        <v>600</v>
      </c>
      <c r="N1539" s="46">
        <v>600</v>
      </c>
      <c r="O1539" s="407">
        <v>12</v>
      </c>
      <c r="P1539" s="49">
        <f t="shared" si="46"/>
        <v>7200</v>
      </c>
      <c r="Q1539" s="49">
        <f t="shared" si="47"/>
        <v>7200</v>
      </c>
    </row>
    <row r="1540" spans="1:17" ht="13" x14ac:dyDescent="0.25">
      <c r="A1540" s="11" t="s">
        <v>760</v>
      </c>
      <c r="B1540" s="10" t="s">
        <v>448</v>
      </c>
      <c r="C1540" s="284"/>
      <c r="D1540" s="284"/>
      <c r="E1540" s="284"/>
      <c r="F1540" s="163" t="s">
        <v>484</v>
      </c>
      <c r="G1540" s="50"/>
      <c r="H1540" s="236" t="s">
        <v>525</v>
      </c>
      <c r="I1540" s="44" t="s">
        <v>186</v>
      </c>
      <c r="J1540" s="45">
        <v>300</v>
      </c>
      <c r="K1540" s="47">
        <v>21.5</v>
      </c>
      <c r="L1540" s="48">
        <f>J1540*K1540</f>
        <v>6450</v>
      </c>
      <c r="M1540" s="46">
        <v>300</v>
      </c>
      <c r="N1540" s="46">
        <v>300</v>
      </c>
      <c r="O1540" s="407">
        <v>21.5</v>
      </c>
      <c r="P1540" s="49">
        <f t="shared" si="46"/>
        <v>6450</v>
      </c>
      <c r="Q1540" s="49">
        <f t="shared" si="47"/>
        <v>6450</v>
      </c>
    </row>
    <row r="1541" spans="1:17" ht="13" x14ac:dyDescent="0.25">
      <c r="A1541" s="11" t="s">
        <v>760</v>
      </c>
      <c r="B1541" s="10" t="s">
        <v>448</v>
      </c>
      <c r="C1541" s="284"/>
      <c r="D1541" s="284"/>
      <c r="E1541" s="284"/>
      <c r="F1541" s="163"/>
      <c r="G1541" s="50"/>
      <c r="H1541" s="237" t="s">
        <v>712</v>
      </c>
      <c r="I1541" s="44"/>
      <c r="J1541" s="45"/>
      <c r="K1541" s="47"/>
      <c r="L1541" s="55"/>
      <c r="M1541" s="46"/>
      <c r="N1541" s="46"/>
      <c r="O1541" s="407"/>
      <c r="P1541" s="56">
        <f t="shared" si="46"/>
        <v>0</v>
      </c>
      <c r="Q1541" s="56">
        <f t="shared" si="47"/>
        <v>0</v>
      </c>
    </row>
    <row r="1542" spans="1:17" ht="13" x14ac:dyDescent="0.25">
      <c r="A1542" s="11" t="s">
        <v>760</v>
      </c>
      <c r="B1542" s="10" t="s">
        <v>448</v>
      </c>
      <c r="C1542" s="284"/>
      <c r="D1542" s="284"/>
      <c r="E1542" s="284"/>
      <c r="F1542" s="163"/>
      <c r="G1542" s="50"/>
      <c r="H1542" s="237" t="s">
        <v>713</v>
      </c>
      <c r="I1542" s="44"/>
      <c r="J1542" s="45"/>
      <c r="K1542" s="47"/>
      <c r="L1542" s="55"/>
      <c r="M1542" s="46"/>
      <c r="N1542" s="46"/>
      <c r="O1542" s="407"/>
      <c r="P1542" s="56">
        <f t="shared" si="46"/>
        <v>0</v>
      </c>
      <c r="Q1542" s="56">
        <f t="shared" si="47"/>
        <v>0</v>
      </c>
    </row>
    <row r="1543" spans="1:17" ht="13" x14ac:dyDescent="0.25">
      <c r="A1543" s="11" t="s">
        <v>760</v>
      </c>
      <c r="B1543" s="10" t="s">
        <v>448</v>
      </c>
      <c r="C1543" s="284"/>
      <c r="D1543" s="284"/>
      <c r="E1543" s="284"/>
      <c r="F1543" s="163" t="s">
        <v>487</v>
      </c>
      <c r="G1543" s="50"/>
      <c r="H1543" s="236" t="s">
        <v>521</v>
      </c>
      <c r="I1543" s="44" t="s">
        <v>186</v>
      </c>
      <c r="J1543" s="45">
        <v>1290</v>
      </c>
      <c r="K1543" s="47">
        <v>10</v>
      </c>
      <c r="L1543" s="48">
        <f>J1543*K1543</f>
        <v>12900</v>
      </c>
      <c r="M1543" s="46">
        <v>1290</v>
      </c>
      <c r="N1543" s="46">
        <v>1290</v>
      </c>
      <c r="O1543" s="407">
        <v>10</v>
      </c>
      <c r="P1543" s="49">
        <f t="shared" si="46"/>
        <v>12900</v>
      </c>
      <c r="Q1543" s="49">
        <f t="shared" si="47"/>
        <v>12900</v>
      </c>
    </row>
    <row r="1544" spans="1:17" ht="13" x14ac:dyDescent="0.3">
      <c r="A1544" s="11" t="s">
        <v>760</v>
      </c>
      <c r="B1544" s="10" t="s">
        <v>448</v>
      </c>
      <c r="C1544" s="284"/>
      <c r="D1544" s="284"/>
      <c r="E1544" s="284"/>
      <c r="F1544" s="163"/>
      <c r="G1544" s="50"/>
      <c r="H1544" s="218" t="s">
        <v>530</v>
      </c>
      <c r="I1544" s="44"/>
      <c r="J1544" s="45"/>
      <c r="K1544" s="47"/>
      <c r="L1544" s="48"/>
      <c r="M1544" s="46"/>
      <c r="N1544" s="46"/>
      <c r="O1544" s="407"/>
      <c r="P1544" s="49">
        <f t="shared" si="46"/>
        <v>0</v>
      </c>
      <c r="Q1544" s="49">
        <f t="shared" si="47"/>
        <v>0</v>
      </c>
    </row>
    <row r="1545" spans="1:17" ht="13" x14ac:dyDescent="0.25">
      <c r="A1545" s="11" t="s">
        <v>760</v>
      </c>
      <c r="B1545" s="10" t="s">
        <v>448</v>
      </c>
      <c r="C1545" s="284"/>
      <c r="D1545" s="284"/>
      <c r="E1545" s="284"/>
      <c r="F1545" s="163"/>
      <c r="G1545" s="50"/>
      <c r="H1545" s="224" t="s">
        <v>714</v>
      </c>
      <c r="I1545" s="44"/>
      <c r="J1545" s="45"/>
      <c r="K1545" s="47"/>
      <c r="L1545" s="48"/>
      <c r="M1545" s="46"/>
      <c r="N1545" s="46"/>
      <c r="O1545" s="407"/>
      <c r="P1545" s="49">
        <f t="shared" si="46"/>
        <v>0</v>
      </c>
      <c r="Q1545" s="49">
        <f t="shared" si="47"/>
        <v>0</v>
      </c>
    </row>
    <row r="1546" spans="1:17" ht="13" x14ac:dyDescent="0.25">
      <c r="A1546" s="11" t="s">
        <v>760</v>
      </c>
      <c r="B1546" s="10" t="s">
        <v>448</v>
      </c>
      <c r="C1546" s="284"/>
      <c r="D1546" s="284"/>
      <c r="E1546" s="284"/>
      <c r="F1546" s="163"/>
      <c r="G1546" s="50"/>
      <c r="H1546" s="224" t="s">
        <v>715</v>
      </c>
      <c r="I1546" s="44"/>
      <c r="J1546" s="45"/>
      <c r="K1546" s="47"/>
      <c r="L1546" s="48"/>
      <c r="M1546" s="46"/>
      <c r="N1546" s="46"/>
      <c r="O1546" s="407"/>
      <c r="P1546" s="49">
        <f t="shared" ref="P1546:P1609" si="48">O1546*M1546</f>
        <v>0</v>
      </c>
      <c r="Q1546" s="49">
        <f t="shared" ref="Q1546:Q1609" si="49">O1546*N1546</f>
        <v>0</v>
      </c>
    </row>
    <row r="1547" spans="1:17" ht="13" x14ac:dyDescent="0.3">
      <c r="A1547" s="11" t="s">
        <v>760</v>
      </c>
      <c r="B1547" s="10" t="s">
        <v>448</v>
      </c>
      <c r="C1547" s="284"/>
      <c r="D1547" s="284"/>
      <c r="E1547" s="284"/>
      <c r="F1547" s="163"/>
      <c r="G1547" s="50"/>
      <c r="H1547" s="218" t="s">
        <v>532</v>
      </c>
      <c r="I1547" s="44"/>
      <c r="J1547" s="45"/>
      <c r="K1547" s="47"/>
      <c r="L1547" s="48"/>
      <c r="M1547" s="46"/>
      <c r="N1547" s="46"/>
      <c r="O1547" s="407"/>
      <c r="P1547" s="49">
        <f t="shared" si="48"/>
        <v>0</v>
      </c>
      <c r="Q1547" s="49">
        <f t="shared" si="49"/>
        <v>0</v>
      </c>
    </row>
    <row r="1548" spans="1:17" ht="13" x14ac:dyDescent="0.25">
      <c r="A1548" s="11" t="s">
        <v>760</v>
      </c>
      <c r="B1548" s="10" t="s">
        <v>448</v>
      </c>
      <c r="C1548" s="284"/>
      <c r="D1548" s="284"/>
      <c r="E1548" s="284"/>
      <c r="F1548" s="163" t="s">
        <v>489</v>
      </c>
      <c r="G1548" s="50"/>
      <c r="H1548" s="220" t="s">
        <v>533</v>
      </c>
      <c r="I1548" s="44" t="s">
        <v>175</v>
      </c>
      <c r="J1548" s="45">
        <v>9</v>
      </c>
      <c r="K1548" s="47">
        <v>200</v>
      </c>
      <c r="L1548" s="48">
        <f>J1548*K1548</f>
        <v>1800</v>
      </c>
      <c r="M1548" s="46">
        <v>9</v>
      </c>
      <c r="N1548" s="46">
        <v>9</v>
      </c>
      <c r="O1548" s="407">
        <v>200</v>
      </c>
      <c r="P1548" s="49">
        <f t="shared" si="48"/>
        <v>1800</v>
      </c>
      <c r="Q1548" s="49">
        <f t="shared" si="49"/>
        <v>1800</v>
      </c>
    </row>
    <row r="1549" spans="1:17" ht="13" x14ac:dyDescent="0.25">
      <c r="A1549" s="11" t="s">
        <v>760</v>
      </c>
      <c r="B1549" s="10" t="s">
        <v>448</v>
      </c>
      <c r="C1549" s="284"/>
      <c r="D1549" s="284"/>
      <c r="E1549" s="284"/>
      <c r="F1549" s="163"/>
      <c r="G1549" s="50"/>
      <c r="H1549" s="220" t="s">
        <v>535</v>
      </c>
      <c r="I1549" s="44"/>
      <c r="J1549" s="45"/>
      <c r="K1549" s="47"/>
      <c r="L1549" s="55"/>
      <c r="M1549" s="46"/>
      <c r="N1549" s="46"/>
      <c r="O1549" s="407"/>
      <c r="P1549" s="56">
        <f t="shared" si="48"/>
        <v>0</v>
      </c>
      <c r="Q1549" s="56">
        <f t="shared" si="49"/>
        <v>0</v>
      </c>
    </row>
    <row r="1550" spans="1:17" ht="13" x14ac:dyDescent="0.25">
      <c r="A1550" s="11" t="s">
        <v>760</v>
      </c>
      <c r="B1550" s="10" t="s">
        <v>448</v>
      </c>
      <c r="C1550" s="284"/>
      <c r="D1550" s="284"/>
      <c r="E1550" s="284"/>
      <c r="F1550" s="163" t="s">
        <v>491</v>
      </c>
      <c r="G1550" s="50"/>
      <c r="H1550" s="234" t="s">
        <v>543</v>
      </c>
      <c r="I1550" s="44"/>
      <c r="J1550" s="45"/>
      <c r="K1550" s="47"/>
      <c r="L1550" s="55"/>
      <c r="M1550" s="46"/>
      <c r="N1550" s="46"/>
      <c r="O1550" s="407"/>
      <c r="P1550" s="56">
        <f t="shared" si="48"/>
        <v>0</v>
      </c>
      <c r="Q1550" s="56">
        <f t="shared" si="49"/>
        <v>0</v>
      </c>
    </row>
    <row r="1551" spans="1:17" ht="13" x14ac:dyDescent="0.35">
      <c r="A1551" s="11" t="s">
        <v>760</v>
      </c>
      <c r="B1551" s="10" t="s">
        <v>448</v>
      </c>
      <c r="C1551" s="284"/>
      <c r="D1551" s="284"/>
      <c r="E1551" s="284"/>
      <c r="F1551" s="163" t="s">
        <v>494</v>
      </c>
      <c r="G1551" s="50"/>
      <c r="H1551" s="222" t="s">
        <v>545</v>
      </c>
      <c r="I1551" s="44" t="s">
        <v>175</v>
      </c>
      <c r="J1551" s="45">
        <v>1</v>
      </c>
      <c r="K1551" s="47">
        <v>320</v>
      </c>
      <c r="L1551" s="48">
        <f>J1551*K1551</f>
        <v>320</v>
      </c>
      <c r="M1551" s="46">
        <v>1</v>
      </c>
      <c r="N1551" s="46">
        <v>1</v>
      </c>
      <c r="O1551" s="407">
        <v>320</v>
      </c>
      <c r="P1551" s="49">
        <f t="shared" si="48"/>
        <v>320</v>
      </c>
      <c r="Q1551" s="49">
        <f t="shared" si="49"/>
        <v>320</v>
      </c>
    </row>
    <row r="1552" spans="1:17" ht="13" x14ac:dyDescent="0.35">
      <c r="A1552" s="11" t="s">
        <v>760</v>
      </c>
      <c r="B1552" s="10" t="s">
        <v>448</v>
      </c>
      <c r="C1552" s="284"/>
      <c r="D1552" s="284"/>
      <c r="E1552" s="284"/>
      <c r="F1552" s="163" t="s">
        <v>501</v>
      </c>
      <c r="G1552" s="50"/>
      <c r="H1552" s="222" t="s">
        <v>547</v>
      </c>
      <c r="I1552" s="44" t="s">
        <v>175</v>
      </c>
      <c r="J1552" s="45">
        <v>1</v>
      </c>
      <c r="K1552" s="47">
        <v>380</v>
      </c>
      <c r="L1552" s="48">
        <f>J1552*K1552</f>
        <v>380</v>
      </c>
      <c r="M1552" s="46">
        <v>1</v>
      </c>
      <c r="N1552" s="46">
        <v>1</v>
      </c>
      <c r="O1552" s="407">
        <v>380</v>
      </c>
      <c r="P1552" s="49">
        <f t="shared" si="48"/>
        <v>380</v>
      </c>
      <c r="Q1552" s="49">
        <f t="shared" si="49"/>
        <v>380</v>
      </c>
    </row>
    <row r="1553" spans="1:17" ht="13" x14ac:dyDescent="0.3">
      <c r="A1553" s="11" t="s">
        <v>760</v>
      </c>
      <c r="B1553" s="10" t="s">
        <v>448</v>
      </c>
      <c r="C1553" s="284"/>
      <c r="D1553" s="284"/>
      <c r="E1553" s="284"/>
      <c r="F1553" s="163"/>
      <c r="G1553" s="50"/>
      <c r="H1553" s="218" t="s">
        <v>548</v>
      </c>
      <c r="I1553" s="44"/>
      <c r="J1553" s="45"/>
      <c r="K1553" s="47"/>
      <c r="L1553" s="55"/>
      <c r="M1553" s="46"/>
      <c r="N1553" s="46"/>
      <c r="O1553" s="407"/>
      <c r="P1553" s="56">
        <f t="shared" si="48"/>
        <v>0</v>
      </c>
      <c r="Q1553" s="56">
        <f t="shared" si="49"/>
        <v>0</v>
      </c>
    </row>
    <row r="1554" spans="1:17" ht="13" x14ac:dyDescent="0.25">
      <c r="A1554" s="11" t="s">
        <v>760</v>
      </c>
      <c r="B1554" s="10" t="s">
        <v>448</v>
      </c>
      <c r="C1554" s="284"/>
      <c r="D1554" s="284"/>
      <c r="E1554" s="284"/>
      <c r="F1554" s="163" t="s">
        <v>503</v>
      </c>
      <c r="G1554" s="50"/>
      <c r="H1554" s="224" t="s">
        <v>550</v>
      </c>
      <c r="I1554" s="44" t="s">
        <v>175</v>
      </c>
      <c r="J1554" s="45">
        <v>5</v>
      </c>
      <c r="K1554" s="47">
        <v>155</v>
      </c>
      <c r="L1554" s="48">
        <f>J1554*K1554</f>
        <v>775</v>
      </c>
      <c r="M1554" s="46">
        <v>5</v>
      </c>
      <c r="N1554" s="46">
        <v>5</v>
      </c>
      <c r="O1554" s="407">
        <v>155</v>
      </c>
      <c r="P1554" s="49">
        <f t="shared" si="48"/>
        <v>775</v>
      </c>
      <c r="Q1554" s="49">
        <f t="shared" si="49"/>
        <v>775</v>
      </c>
    </row>
    <row r="1555" spans="1:17" ht="13" x14ac:dyDescent="0.25">
      <c r="A1555" s="11" t="s">
        <v>760</v>
      </c>
      <c r="B1555" s="10" t="s">
        <v>448</v>
      </c>
      <c r="C1555" s="284"/>
      <c r="D1555" s="284"/>
      <c r="E1555" s="284"/>
      <c r="F1555" s="163" t="s">
        <v>506</v>
      </c>
      <c r="G1555" s="50"/>
      <c r="H1555" s="224" t="s">
        <v>552</v>
      </c>
      <c r="I1555" s="44" t="s">
        <v>175</v>
      </c>
      <c r="J1555" s="45">
        <v>2</v>
      </c>
      <c r="K1555" s="47">
        <v>165</v>
      </c>
      <c r="L1555" s="48">
        <f>J1555*K1555</f>
        <v>330</v>
      </c>
      <c r="M1555" s="46">
        <v>2</v>
      </c>
      <c r="N1555" s="46">
        <v>2</v>
      </c>
      <c r="O1555" s="407">
        <v>165</v>
      </c>
      <c r="P1555" s="49">
        <f t="shared" si="48"/>
        <v>330</v>
      </c>
      <c r="Q1555" s="49">
        <f t="shared" si="49"/>
        <v>330</v>
      </c>
    </row>
    <row r="1556" spans="1:17" ht="13" x14ac:dyDescent="0.25">
      <c r="A1556" s="11" t="s">
        <v>760</v>
      </c>
      <c r="B1556" s="10" t="s">
        <v>448</v>
      </c>
      <c r="C1556" s="284"/>
      <c r="D1556" s="284"/>
      <c r="E1556" s="284"/>
      <c r="F1556" s="163" t="s">
        <v>510</v>
      </c>
      <c r="G1556" s="50"/>
      <c r="H1556" s="224" t="s">
        <v>558</v>
      </c>
      <c r="I1556" s="44" t="s">
        <v>186</v>
      </c>
      <c r="J1556" s="45">
        <v>430</v>
      </c>
      <c r="K1556" s="47">
        <v>4.2</v>
      </c>
      <c r="L1556" s="48">
        <f>J1556*K1556</f>
        <v>1806</v>
      </c>
      <c r="M1556" s="46">
        <v>430</v>
      </c>
      <c r="N1556" s="46">
        <v>430</v>
      </c>
      <c r="O1556" s="407">
        <v>4.2</v>
      </c>
      <c r="P1556" s="49">
        <f t="shared" si="48"/>
        <v>1806</v>
      </c>
      <c r="Q1556" s="49">
        <f t="shared" si="49"/>
        <v>1806</v>
      </c>
    </row>
    <row r="1557" spans="1:17" ht="13" x14ac:dyDescent="0.3">
      <c r="A1557" s="11" t="s">
        <v>760</v>
      </c>
      <c r="B1557" s="10" t="s">
        <v>448</v>
      </c>
      <c r="C1557" s="284"/>
      <c r="D1557" s="284"/>
      <c r="E1557" s="284"/>
      <c r="F1557" s="163"/>
      <c r="G1557" s="50"/>
      <c r="H1557" s="218" t="s">
        <v>738</v>
      </c>
      <c r="I1557" s="44"/>
      <c r="J1557" s="45"/>
      <c r="K1557" s="47"/>
      <c r="L1557" s="48"/>
      <c r="M1557" s="46"/>
      <c r="N1557" s="46"/>
      <c r="O1557" s="407"/>
      <c r="P1557" s="49">
        <f t="shared" si="48"/>
        <v>0</v>
      </c>
      <c r="Q1557" s="49">
        <f t="shared" si="49"/>
        <v>0</v>
      </c>
    </row>
    <row r="1558" spans="1:17" ht="13" x14ac:dyDescent="0.25">
      <c r="A1558" s="11" t="s">
        <v>760</v>
      </c>
      <c r="B1558" s="10" t="s">
        <v>448</v>
      </c>
      <c r="C1558" s="284"/>
      <c r="D1558" s="284"/>
      <c r="E1558" s="284"/>
      <c r="F1558" s="163"/>
      <c r="G1558" s="50"/>
      <c r="H1558" s="244" t="s">
        <v>513</v>
      </c>
      <c r="I1558" s="44" t="s">
        <v>175</v>
      </c>
      <c r="J1558" s="45">
        <v>5</v>
      </c>
      <c r="K1558" s="47">
        <v>24</v>
      </c>
      <c r="L1558" s="48">
        <f>J1558*K1558</f>
        <v>120</v>
      </c>
      <c r="M1558" s="46">
        <v>5</v>
      </c>
      <c r="N1558" s="46">
        <v>5</v>
      </c>
      <c r="O1558" s="407">
        <v>24</v>
      </c>
      <c r="P1558" s="49">
        <f t="shared" si="48"/>
        <v>120</v>
      </c>
      <c r="Q1558" s="49">
        <f t="shared" si="49"/>
        <v>120</v>
      </c>
    </row>
    <row r="1559" spans="1:17" ht="13" x14ac:dyDescent="0.3">
      <c r="A1559" s="11" t="s">
        <v>760</v>
      </c>
      <c r="B1559" s="10" t="s">
        <v>448</v>
      </c>
      <c r="C1559" s="284"/>
      <c r="D1559" s="284"/>
      <c r="E1559" s="284"/>
      <c r="F1559" s="163"/>
      <c r="G1559" s="50"/>
      <c r="H1559" s="218" t="s">
        <v>486</v>
      </c>
      <c r="I1559" s="44"/>
      <c r="J1559" s="45"/>
      <c r="K1559" s="47"/>
      <c r="L1559" s="48"/>
      <c r="M1559" s="46"/>
      <c r="N1559" s="46"/>
      <c r="O1559" s="407"/>
      <c r="P1559" s="49">
        <f t="shared" si="48"/>
        <v>0</v>
      </c>
      <c r="Q1559" s="49">
        <f t="shared" si="49"/>
        <v>0</v>
      </c>
    </row>
    <row r="1560" spans="1:17" ht="13" x14ac:dyDescent="0.25">
      <c r="A1560" s="11" t="s">
        <v>760</v>
      </c>
      <c r="B1560" s="10" t="s">
        <v>448</v>
      </c>
      <c r="C1560" s="284"/>
      <c r="D1560" s="284"/>
      <c r="E1560" s="284"/>
      <c r="F1560" s="163" t="s">
        <v>512</v>
      </c>
      <c r="G1560" s="50"/>
      <c r="H1560" s="220" t="s">
        <v>490</v>
      </c>
      <c r="I1560" s="44" t="s">
        <v>186</v>
      </c>
      <c r="J1560" s="45">
        <v>10</v>
      </c>
      <c r="K1560" s="47">
        <v>50</v>
      </c>
      <c r="L1560" s="48">
        <f>J1560*K1560</f>
        <v>500</v>
      </c>
      <c r="M1560" s="46">
        <v>10</v>
      </c>
      <c r="N1560" s="46">
        <v>10</v>
      </c>
      <c r="O1560" s="407">
        <v>50</v>
      </c>
      <c r="P1560" s="49">
        <f t="shared" si="48"/>
        <v>500</v>
      </c>
      <c r="Q1560" s="49">
        <f t="shared" si="49"/>
        <v>500</v>
      </c>
    </row>
    <row r="1561" spans="1:17" ht="13" x14ac:dyDescent="0.3">
      <c r="A1561" s="11" t="s">
        <v>760</v>
      </c>
      <c r="B1561" s="10" t="s">
        <v>448</v>
      </c>
      <c r="C1561" s="284"/>
      <c r="D1561" s="284"/>
      <c r="E1561" s="284"/>
      <c r="F1561" s="163"/>
      <c r="G1561" s="50"/>
      <c r="H1561" s="218" t="s">
        <v>563</v>
      </c>
      <c r="I1561" s="44"/>
      <c r="J1561" s="45"/>
      <c r="K1561" s="47"/>
      <c r="L1561" s="48"/>
      <c r="M1561" s="46"/>
      <c r="N1561" s="46"/>
      <c r="O1561" s="407"/>
      <c r="P1561" s="49">
        <f t="shared" si="48"/>
        <v>0</v>
      </c>
      <c r="Q1561" s="49">
        <f t="shared" si="49"/>
        <v>0</v>
      </c>
    </row>
    <row r="1562" spans="1:17" ht="13" x14ac:dyDescent="0.25">
      <c r="A1562" s="11" t="s">
        <v>760</v>
      </c>
      <c r="B1562" s="10" t="s">
        <v>448</v>
      </c>
      <c r="C1562" s="284"/>
      <c r="D1562" s="284"/>
      <c r="E1562" s="284"/>
      <c r="F1562" s="163"/>
      <c r="G1562" s="50"/>
      <c r="H1562" s="224" t="s">
        <v>740</v>
      </c>
      <c r="I1562" s="44"/>
      <c r="J1562" s="45"/>
      <c r="K1562" s="47"/>
      <c r="L1562" s="48"/>
      <c r="M1562" s="46"/>
      <c r="N1562" s="46"/>
      <c r="O1562" s="407"/>
      <c r="P1562" s="49">
        <f t="shared" si="48"/>
        <v>0</v>
      </c>
      <c r="Q1562" s="49">
        <f t="shared" si="49"/>
        <v>0</v>
      </c>
    </row>
    <row r="1563" spans="1:17" ht="13" x14ac:dyDescent="0.25">
      <c r="A1563" s="11" t="s">
        <v>760</v>
      </c>
      <c r="B1563" s="10" t="s">
        <v>448</v>
      </c>
      <c r="C1563" s="284"/>
      <c r="D1563" s="284"/>
      <c r="E1563" s="284"/>
      <c r="F1563" s="163"/>
      <c r="G1563" s="50"/>
      <c r="H1563" s="224" t="s">
        <v>741</v>
      </c>
      <c r="I1563" s="44"/>
      <c r="J1563" s="45"/>
      <c r="K1563" s="47"/>
      <c r="L1563" s="48"/>
      <c r="M1563" s="46"/>
      <c r="N1563" s="46"/>
      <c r="O1563" s="407"/>
      <c r="P1563" s="49">
        <f t="shared" si="48"/>
        <v>0</v>
      </c>
      <c r="Q1563" s="49">
        <f t="shared" si="49"/>
        <v>0</v>
      </c>
    </row>
    <row r="1564" spans="1:17" ht="13" x14ac:dyDescent="0.25">
      <c r="A1564" s="11" t="s">
        <v>760</v>
      </c>
      <c r="B1564" s="10" t="s">
        <v>448</v>
      </c>
      <c r="C1564" s="284"/>
      <c r="D1564" s="284"/>
      <c r="E1564" s="284"/>
      <c r="F1564" s="163"/>
      <c r="G1564" s="50"/>
      <c r="H1564" s="224" t="s">
        <v>742</v>
      </c>
      <c r="I1564" s="44"/>
      <c r="J1564" s="45"/>
      <c r="K1564" s="47"/>
      <c r="L1564" s="48"/>
      <c r="M1564" s="46"/>
      <c r="N1564" s="46"/>
      <c r="O1564" s="407"/>
      <c r="P1564" s="49">
        <f t="shared" si="48"/>
        <v>0</v>
      </c>
      <c r="Q1564" s="49">
        <f t="shared" si="49"/>
        <v>0</v>
      </c>
    </row>
    <row r="1565" spans="1:17" ht="13" x14ac:dyDescent="0.25">
      <c r="A1565" s="11" t="s">
        <v>760</v>
      </c>
      <c r="B1565" s="10" t="s">
        <v>448</v>
      </c>
      <c r="C1565" s="284"/>
      <c r="D1565" s="284"/>
      <c r="E1565" s="284"/>
      <c r="F1565" s="163"/>
      <c r="G1565" s="50"/>
      <c r="H1565" s="224" t="s">
        <v>743</v>
      </c>
      <c r="I1565" s="44"/>
      <c r="J1565" s="45"/>
      <c r="K1565" s="47"/>
      <c r="L1565" s="48"/>
      <c r="M1565" s="46"/>
      <c r="N1565" s="46"/>
      <c r="O1565" s="407"/>
      <c r="P1565" s="49">
        <f t="shared" si="48"/>
        <v>0</v>
      </c>
      <c r="Q1565" s="49">
        <f t="shared" si="49"/>
        <v>0</v>
      </c>
    </row>
    <row r="1566" spans="1:17" ht="13" x14ac:dyDescent="0.25">
      <c r="A1566" s="11" t="s">
        <v>760</v>
      </c>
      <c r="B1566" s="10" t="s">
        <v>448</v>
      </c>
      <c r="C1566" s="284"/>
      <c r="D1566" s="284"/>
      <c r="E1566" s="284"/>
      <c r="F1566" s="163"/>
      <c r="G1566" s="50"/>
      <c r="H1566" s="246" t="s">
        <v>566</v>
      </c>
      <c r="I1566" s="44"/>
      <c r="J1566" s="45"/>
      <c r="K1566" s="47"/>
      <c r="L1566" s="48"/>
      <c r="M1566" s="46"/>
      <c r="N1566" s="46"/>
      <c r="O1566" s="407"/>
      <c r="P1566" s="49">
        <f t="shared" si="48"/>
        <v>0</v>
      </c>
      <c r="Q1566" s="49">
        <f t="shared" si="49"/>
        <v>0</v>
      </c>
    </row>
    <row r="1567" spans="1:17" ht="25" x14ac:dyDescent="0.25">
      <c r="A1567" s="11" t="s">
        <v>760</v>
      </c>
      <c r="B1567" s="10" t="s">
        <v>448</v>
      </c>
      <c r="C1567" s="284"/>
      <c r="D1567" s="284"/>
      <c r="E1567" s="284"/>
      <c r="F1567" s="163" t="s">
        <v>515</v>
      </c>
      <c r="G1567" s="50"/>
      <c r="H1567" s="234" t="s">
        <v>568</v>
      </c>
      <c r="I1567" s="44" t="s">
        <v>175</v>
      </c>
      <c r="J1567" s="45">
        <v>13</v>
      </c>
      <c r="K1567" s="47">
        <v>1050</v>
      </c>
      <c r="L1567" s="48">
        <f>J1567*K1567</f>
        <v>13650</v>
      </c>
      <c r="M1567" s="46">
        <v>13</v>
      </c>
      <c r="N1567" s="46">
        <v>13</v>
      </c>
      <c r="O1567" s="407">
        <v>1050</v>
      </c>
      <c r="P1567" s="49">
        <f t="shared" si="48"/>
        <v>13650</v>
      </c>
      <c r="Q1567" s="49">
        <f t="shared" si="49"/>
        <v>13650</v>
      </c>
    </row>
    <row r="1568" spans="1:17" ht="13" x14ac:dyDescent="0.25">
      <c r="A1568" s="11" t="s">
        <v>760</v>
      </c>
      <c r="B1568" s="10" t="s">
        <v>448</v>
      </c>
      <c r="C1568" s="284"/>
      <c r="D1568" s="284"/>
      <c r="E1568" s="284"/>
      <c r="F1568" s="163"/>
      <c r="G1568" s="50"/>
      <c r="H1568" s="248" t="s">
        <v>572</v>
      </c>
      <c r="I1568" s="44"/>
      <c r="J1568" s="45"/>
      <c r="K1568" s="47"/>
      <c r="L1568" s="48"/>
      <c r="M1568" s="46"/>
      <c r="N1568" s="46"/>
      <c r="O1568" s="407"/>
      <c r="P1568" s="49">
        <f t="shared" si="48"/>
        <v>0</v>
      </c>
      <c r="Q1568" s="49">
        <f t="shared" si="49"/>
        <v>0</v>
      </c>
    </row>
    <row r="1569" spans="1:17" ht="25" x14ac:dyDescent="0.25">
      <c r="A1569" s="11" t="s">
        <v>760</v>
      </c>
      <c r="B1569" s="10" t="s">
        <v>448</v>
      </c>
      <c r="C1569" s="284"/>
      <c r="D1569" s="284"/>
      <c r="E1569" s="284"/>
      <c r="F1569" s="163" t="s">
        <v>520</v>
      </c>
      <c r="G1569" s="50"/>
      <c r="H1569" s="234" t="s">
        <v>745</v>
      </c>
      <c r="I1569" s="44" t="s">
        <v>175</v>
      </c>
      <c r="J1569" s="45">
        <v>9</v>
      </c>
      <c r="K1569" s="47">
        <v>1980</v>
      </c>
      <c r="L1569" s="48">
        <f>J1569*K1569</f>
        <v>17820</v>
      </c>
      <c r="M1569" s="46">
        <v>9</v>
      </c>
      <c r="N1569" s="46">
        <v>9</v>
      </c>
      <c r="O1569" s="407">
        <v>1980</v>
      </c>
      <c r="P1569" s="49">
        <f t="shared" si="48"/>
        <v>17820</v>
      </c>
      <c r="Q1569" s="49">
        <f t="shared" si="49"/>
        <v>17820</v>
      </c>
    </row>
    <row r="1570" spans="1:17" ht="13" x14ac:dyDescent="0.3">
      <c r="A1570" s="11" t="s">
        <v>760</v>
      </c>
      <c r="B1570" s="10" t="s">
        <v>448</v>
      </c>
      <c r="C1570" s="284"/>
      <c r="D1570" s="284"/>
      <c r="E1570" s="284"/>
      <c r="F1570" s="163"/>
      <c r="G1570" s="50"/>
      <c r="H1570" s="235" t="s">
        <v>746</v>
      </c>
      <c r="I1570" s="44"/>
      <c r="J1570" s="45"/>
      <c r="K1570" s="47"/>
      <c r="L1570" s="48"/>
      <c r="M1570" s="46"/>
      <c r="N1570" s="46"/>
      <c r="O1570" s="407"/>
      <c r="P1570" s="49">
        <f t="shared" si="48"/>
        <v>0</v>
      </c>
      <c r="Q1570" s="49">
        <f t="shared" si="49"/>
        <v>0</v>
      </c>
    </row>
    <row r="1571" spans="1:17" ht="13" x14ac:dyDescent="0.25">
      <c r="A1571" s="11" t="s">
        <v>760</v>
      </c>
      <c r="B1571" s="10" t="s">
        <v>448</v>
      </c>
      <c r="C1571" s="284"/>
      <c r="D1571" s="284"/>
      <c r="E1571" s="284"/>
      <c r="F1571" s="163" t="s">
        <v>522</v>
      </c>
      <c r="G1571" s="50"/>
      <c r="H1571" s="244" t="s">
        <v>747</v>
      </c>
      <c r="I1571" s="44" t="s">
        <v>175</v>
      </c>
      <c r="J1571" s="45">
        <v>1</v>
      </c>
      <c r="K1571" s="47">
        <v>1150</v>
      </c>
      <c r="L1571" s="48">
        <f>J1571*K1571</f>
        <v>1150</v>
      </c>
      <c r="M1571" s="46">
        <v>1</v>
      </c>
      <c r="N1571" s="46">
        <v>1</v>
      </c>
      <c r="O1571" s="407">
        <v>1150</v>
      </c>
      <c r="P1571" s="49">
        <f t="shared" si="48"/>
        <v>1150</v>
      </c>
      <c r="Q1571" s="49">
        <f t="shared" si="49"/>
        <v>1150</v>
      </c>
    </row>
    <row r="1572" spans="1:17" ht="13" x14ac:dyDescent="0.25">
      <c r="A1572" s="11" t="s">
        <v>760</v>
      </c>
      <c r="B1572" s="10" t="s">
        <v>448</v>
      </c>
      <c r="C1572" s="284"/>
      <c r="D1572" s="284"/>
      <c r="E1572" s="284"/>
      <c r="F1572" s="163"/>
      <c r="G1572" s="50"/>
      <c r="H1572" s="244" t="s">
        <v>748</v>
      </c>
      <c r="I1572" s="44"/>
      <c r="J1572" s="45"/>
      <c r="K1572" s="47"/>
      <c r="L1572" s="48"/>
      <c r="M1572" s="46"/>
      <c r="N1572" s="46"/>
      <c r="O1572" s="407"/>
      <c r="P1572" s="49">
        <f t="shared" si="48"/>
        <v>0</v>
      </c>
      <c r="Q1572" s="49">
        <f t="shared" si="49"/>
        <v>0</v>
      </c>
    </row>
    <row r="1573" spans="1:17" ht="13" x14ac:dyDescent="0.25">
      <c r="A1573" s="11" t="s">
        <v>760</v>
      </c>
      <c r="B1573" s="10" t="s">
        <v>448</v>
      </c>
      <c r="C1573" s="284"/>
      <c r="D1573" s="284"/>
      <c r="E1573" s="284"/>
      <c r="F1573" s="163"/>
      <c r="G1573" s="50"/>
      <c r="H1573" s="244" t="s">
        <v>749</v>
      </c>
      <c r="I1573" s="44"/>
      <c r="J1573" s="45"/>
      <c r="K1573" s="47"/>
      <c r="L1573" s="48"/>
      <c r="M1573" s="46"/>
      <c r="N1573" s="46"/>
      <c r="O1573" s="407"/>
      <c r="P1573" s="49">
        <f t="shared" si="48"/>
        <v>0</v>
      </c>
      <c r="Q1573" s="49">
        <f t="shared" si="49"/>
        <v>0</v>
      </c>
    </row>
    <row r="1574" spans="1:17" ht="13" x14ac:dyDescent="0.25">
      <c r="A1574" s="11" t="s">
        <v>760</v>
      </c>
      <c r="B1574" s="10" t="s">
        <v>448</v>
      </c>
      <c r="C1574" s="284"/>
      <c r="D1574" s="284"/>
      <c r="E1574" s="284"/>
      <c r="F1574" s="163"/>
      <c r="G1574" s="50"/>
      <c r="H1574" s="244" t="s">
        <v>750</v>
      </c>
      <c r="I1574" s="44"/>
      <c r="J1574" s="45"/>
      <c r="K1574" s="47"/>
      <c r="L1574" s="48"/>
      <c r="M1574" s="46"/>
      <c r="N1574" s="46"/>
      <c r="O1574" s="407"/>
      <c r="P1574" s="49">
        <f t="shared" si="48"/>
        <v>0</v>
      </c>
      <c r="Q1574" s="49">
        <f t="shared" si="49"/>
        <v>0</v>
      </c>
    </row>
    <row r="1575" spans="1:17" ht="13" x14ac:dyDescent="0.3">
      <c r="A1575" s="11" t="s">
        <v>760</v>
      </c>
      <c r="B1575" s="10" t="s">
        <v>448</v>
      </c>
      <c r="C1575" s="284"/>
      <c r="D1575" s="284"/>
      <c r="E1575" s="284"/>
      <c r="F1575" s="163"/>
      <c r="G1575" s="50"/>
      <c r="H1575" s="218" t="s">
        <v>575</v>
      </c>
      <c r="I1575" s="44"/>
      <c r="J1575" s="45"/>
      <c r="K1575" s="47"/>
      <c r="L1575" s="48"/>
      <c r="M1575" s="46"/>
      <c r="N1575" s="46"/>
      <c r="O1575" s="407"/>
      <c r="P1575" s="49">
        <f t="shared" si="48"/>
        <v>0</v>
      </c>
      <c r="Q1575" s="49">
        <f t="shared" si="49"/>
        <v>0</v>
      </c>
    </row>
    <row r="1576" spans="1:17" ht="37.5" x14ac:dyDescent="0.35">
      <c r="A1576" s="11" t="s">
        <v>760</v>
      </c>
      <c r="B1576" s="10" t="s">
        <v>448</v>
      </c>
      <c r="C1576" s="284"/>
      <c r="D1576" s="284"/>
      <c r="E1576" s="284"/>
      <c r="F1576" s="163"/>
      <c r="G1576" s="50"/>
      <c r="H1576" s="159" t="s">
        <v>576</v>
      </c>
      <c r="I1576" s="44"/>
      <c r="J1576" s="45"/>
      <c r="K1576" s="47"/>
      <c r="L1576" s="48"/>
      <c r="M1576" s="46"/>
      <c r="N1576" s="46"/>
      <c r="O1576" s="407"/>
      <c r="P1576" s="49">
        <f t="shared" si="48"/>
        <v>0</v>
      </c>
      <c r="Q1576" s="49">
        <f t="shared" si="49"/>
        <v>0</v>
      </c>
    </row>
    <row r="1577" spans="1:17" ht="25" x14ac:dyDescent="0.35">
      <c r="A1577" s="11" t="s">
        <v>760</v>
      </c>
      <c r="B1577" s="10" t="s">
        <v>448</v>
      </c>
      <c r="C1577" s="284"/>
      <c r="D1577" s="284"/>
      <c r="E1577" s="284"/>
      <c r="F1577" s="163"/>
      <c r="G1577" s="50"/>
      <c r="H1577" s="159" t="s">
        <v>577</v>
      </c>
      <c r="I1577" s="44"/>
      <c r="J1577" s="45"/>
      <c r="K1577" s="47"/>
      <c r="L1577" s="55"/>
      <c r="M1577" s="46"/>
      <c r="N1577" s="46"/>
      <c r="O1577" s="407"/>
      <c r="P1577" s="56">
        <f t="shared" si="48"/>
        <v>0</v>
      </c>
      <c r="Q1577" s="56">
        <f t="shared" si="49"/>
        <v>0</v>
      </c>
    </row>
    <row r="1578" spans="1:17" ht="13" x14ac:dyDescent="0.25">
      <c r="A1578" s="11" t="s">
        <v>760</v>
      </c>
      <c r="B1578" s="10" t="s">
        <v>448</v>
      </c>
      <c r="C1578" s="284"/>
      <c r="D1578" s="284"/>
      <c r="E1578" s="284"/>
      <c r="F1578" s="163"/>
      <c r="G1578" s="50"/>
      <c r="H1578" s="220" t="s">
        <v>578</v>
      </c>
      <c r="I1578" s="44"/>
      <c r="J1578" s="45"/>
      <c r="K1578" s="47"/>
      <c r="L1578" s="55"/>
      <c r="M1578" s="46"/>
      <c r="N1578" s="46"/>
      <c r="O1578" s="407"/>
      <c r="P1578" s="56">
        <f t="shared" si="48"/>
        <v>0</v>
      </c>
      <c r="Q1578" s="56">
        <f t="shared" si="49"/>
        <v>0</v>
      </c>
    </row>
    <row r="1579" spans="1:17" ht="13" x14ac:dyDescent="0.25">
      <c r="A1579" s="11" t="s">
        <v>760</v>
      </c>
      <c r="B1579" s="10" t="s">
        <v>448</v>
      </c>
      <c r="C1579" s="284"/>
      <c r="D1579" s="284"/>
      <c r="E1579" s="284"/>
      <c r="F1579" s="163"/>
      <c r="G1579" s="50"/>
      <c r="H1579" s="234" t="s">
        <v>579</v>
      </c>
      <c r="I1579" s="44"/>
      <c r="J1579" s="45"/>
      <c r="K1579" s="47"/>
      <c r="L1579" s="48"/>
      <c r="M1579" s="46"/>
      <c r="N1579" s="46"/>
      <c r="O1579" s="407"/>
      <c r="P1579" s="49">
        <f t="shared" si="48"/>
        <v>0</v>
      </c>
      <c r="Q1579" s="49">
        <f t="shared" si="49"/>
        <v>0</v>
      </c>
    </row>
    <row r="1580" spans="1:17" ht="13" x14ac:dyDescent="0.25">
      <c r="A1580" s="11" t="s">
        <v>760</v>
      </c>
      <c r="B1580" s="10" t="s">
        <v>448</v>
      </c>
      <c r="C1580" s="284"/>
      <c r="D1580" s="284"/>
      <c r="E1580" s="284"/>
      <c r="F1580" s="163"/>
      <c r="G1580" s="50"/>
      <c r="H1580" s="234" t="s">
        <v>580</v>
      </c>
      <c r="I1580" s="44"/>
      <c r="J1580" s="45"/>
      <c r="K1580" s="47"/>
      <c r="L1580" s="48"/>
      <c r="M1580" s="46"/>
      <c r="N1580" s="46"/>
      <c r="O1580" s="407"/>
      <c r="P1580" s="49">
        <f t="shared" si="48"/>
        <v>0</v>
      </c>
      <c r="Q1580" s="49">
        <f t="shared" si="49"/>
        <v>0</v>
      </c>
    </row>
    <row r="1581" spans="1:17" ht="13" x14ac:dyDescent="0.35">
      <c r="A1581" s="11" t="s">
        <v>760</v>
      </c>
      <c r="B1581" s="10" t="s">
        <v>448</v>
      </c>
      <c r="C1581" s="284"/>
      <c r="D1581" s="284"/>
      <c r="E1581" s="284"/>
      <c r="F1581" s="163" t="s">
        <v>524</v>
      </c>
      <c r="G1581" s="50"/>
      <c r="H1581" s="187" t="s">
        <v>582</v>
      </c>
      <c r="I1581" s="44" t="s">
        <v>186</v>
      </c>
      <c r="J1581" s="45">
        <v>2</v>
      </c>
      <c r="K1581" s="47">
        <v>115</v>
      </c>
      <c r="L1581" s="48">
        <f>J1581*K1581</f>
        <v>230</v>
      </c>
      <c r="M1581" s="46">
        <v>2</v>
      </c>
      <c r="N1581" s="46">
        <v>2</v>
      </c>
      <c r="O1581" s="407">
        <v>115</v>
      </c>
      <c r="P1581" s="49">
        <f t="shared" si="48"/>
        <v>230</v>
      </c>
      <c r="Q1581" s="49">
        <f t="shared" si="49"/>
        <v>230</v>
      </c>
    </row>
    <row r="1582" spans="1:17" ht="25" x14ac:dyDescent="0.35">
      <c r="A1582" s="11" t="s">
        <v>760</v>
      </c>
      <c r="B1582" s="10" t="s">
        <v>448</v>
      </c>
      <c r="C1582" s="284"/>
      <c r="D1582" s="284"/>
      <c r="E1582" s="284"/>
      <c r="F1582" s="163" t="s">
        <v>528</v>
      </c>
      <c r="G1582" s="50"/>
      <c r="H1582" s="187" t="s">
        <v>584</v>
      </c>
      <c r="I1582" s="44" t="s">
        <v>186</v>
      </c>
      <c r="J1582" s="45">
        <v>6</v>
      </c>
      <c r="K1582" s="47">
        <v>70</v>
      </c>
      <c r="L1582" s="48">
        <f>J1582*K1582</f>
        <v>420</v>
      </c>
      <c r="M1582" s="46">
        <v>6</v>
      </c>
      <c r="N1582" s="46">
        <v>6</v>
      </c>
      <c r="O1582" s="407">
        <v>70</v>
      </c>
      <c r="P1582" s="49">
        <f t="shared" si="48"/>
        <v>420</v>
      </c>
      <c r="Q1582" s="49">
        <f t="shared" si="49"/>
        <v>420</v>
      </c>
    </row>
    <row r="1583" spans="1:17" ht="13" x14ac:dyDescent="0.35">
      <c r="A1583" s="11" t="s">
        <v>760</v>
      </c>
      <c r="B1583" s="10" t="s">
        <v>448</v>
      </c>
      <c r="C1583" s="284"/>
      <c r="D1583" s="284"/>
      <c r="E1583" s="284"/>
      <c r="F1583" s="163" t="s">
        <v>534</v>
      </c>
      <c r="G1583" s="50"/>
      <c r="H1583" s="187" t="s">
        <v>586</v>
      </c>
      <c r="I1583" s="44" t="s">
        <v>587</v>
      </c>
      <c r="J1583" s="45">
        <v>2</v>
      </c>
      <c r="K1583" s="47">
        <v>65</v>
      </c>
      <c r="L1583" s="48">
        <f>J1583*K1583</f>
        <v>130</v>
      </c>
      <c r="M1583" s="46">
        <v>2</v>
      </c>
      <c r="N1583" s="46">
        <v>2</v>
      </c>
      <c r="O1583" s="407">
        <v>65</v>
      </c>
      <c r="P1583" s="49">
        <f t="shared" si="48"/>
        <v>130</v>
      </c>
      <c r="Q1583" s="49">
        <f t="shared" si="49"/>
        <v>130</v>
      </c>
    </row>
    <row r="1584" spans="1:17" ht="13" x14ac:dyDescent="0.35">
      <c r="A1584" s="11" t="s">
        <v>760</v>
      </c>
      <c r="B1584" s="10" t="s">
        <v>448</v>
      </c>
      <c r="C1584" s="284"/>
      <c r="D1584" s="284"/>
      <c r="E1584" s="284"/>
      <c r="F1584" s="163"/>
      <c r="G1584" s="50"/>
      <c r="H1584" s="249" t="s">
        <v>517</v>
      </c>
      <c r="I1584" s="44"/>
      <c r="J1584" s="45"/>
      <c r="K1584" s="47"/>
      <c r="L1584" s="48"/>
      <c r="M1584" s="46"/>
      <c r="N1584" s="46"/>
      <c r="O1584" s="407"/>
      <c r="P1584" s="49">
        <f t="shared" si="48"/>
        <v>0</v>
      </c>
      <c r="Q1584" s="49">
        <f t="shared" si="49"/>
        <v>0</v>
      </c>
    </row>
    <row r="1585" spans="1:17" ht="13" x14ac:dyDescent="0.35">
      <c r="A1585" s="11" t="s">
        <v>760</v>
      </c>
      <c r="B1585" s="10" t="s">
        <v>448</v>
      </c>
      <c r="C1585" s="284"/>
      <c r="D1585" s="284"/>
      <c r="E1585" s="284"/>
      <c r="F1585" s="163" t="s">
        <v>536</v>
      </c>
      <c r="G1585" s="50"/>
      <c r="H1585" s="187" t="s">
        <v>589</v>
      </c>
      <c r="I1585" s="44" t="s">
        <v>186</v>
      </c>
      <c r="J1585" s="45">
        <v>10</v>
      </c>
      <c r="K1585" s="47">
        <v>200</v>
      </c>
      <c r="L1585" s="48">
        <f>J1585*K1585</f>
        <v>2000</v>
      </c>
      <c r="M1585" s="46">
        <v>10</v>
      </c>
      <c r="N1585" s="46">
        <v>10</v>
      </c>
      <c r="O1585" s="407">
        <v>200</v>
      </c>
      <c r="P1585" s="49">
        <f t="shared" si="48"/>
        <v>2000</v>
      </c>
      <c r="Q1585" s="49">
        <f t="shared" si="49"/>
        <v>2000</v>
      </c>
    </row>
    <row r="1586" spans="1:17" ht="13" x14ac:dyDescent="0.35">
      <c r="A1586" s="11" t="s">
        <v>760</v>
      </c>
      <c r="B1586" s="10" t="s">
        <v>448</v>
      </c>
      <c r="C1586" s="284"/>
      <c r="D1586" s="284"/>
      <c r="E1586" s="284"/>
      <c r="F1586" s="163" t="s">
        <v>538</v>
      </c>
      <c r="G1586" s="50"/>
      <c r="H1586" s="187" t="s">
        <v>591</v>
      </c>
      <c r="I1586" s="44" t="s">
        <v>186</v>
      </c>
      <c r="J1586" s="45">
        <v>10</v>
      </c>
      <c r="K1586" s="47">
        <v>65</v>
      </c>
      <c r="L1586" s="48">
        <f>J1586*K1586</f>
        <v>650</v>
      </c>
      <c r="M1586" s="46">
        <v>10</v>
      </c>
      <c r="N1586" s="46">
        <v>10</v>
      </c>
      <c r="O1586" s="407">
        <v>65</v>
      </c>
      <c r="P1586" s="49">
        <f t="shared" si="48"/>
        <v>650</v>
      </c>
      <c r="Q1586" s="49">
        <f t="shared" si="49"/>
        <v>650</v>
      </c>
    </row>
    <row r="1587" spans="1:17" ht="13" x14ac:dyDescent="0.35">
      <c r="A1587" s="11" t="s">
        <v>760</v>
      </c>
      <c r="B1587" s="10" t="s">
        <v>448</v>
      </c>
      <c r="C1587" s="284"/>
      <c r="D1587" s="284"/>
      <c r="E1587" s="284"/>
      <c r="F1587" s="163" t="s">
        <v>540</v>
      </c>
      <c r="G1587" s="50"/>
      <c r="H1587" s="187" t="s">
        <v>593</v>
      </c>
      <c r="I1587" s="44" t="s">
        <v>186</v>
      </c>
      <c r="J1587" s="45">
        <v>10</v>
      </c>
      <c r="K1587" s="47">
        <v>55</v>
      </c>
      <c r="L1587" s="48">
        <f>J1587*K1587</f>
        <v>550</v>
      </c>
      <c r="M1587" s="46">
        <v>10</v>
      </c>
      <c r="N1587" s="46">
        <v>10</v>
      </c>
      <c r="O1587" s="407">
        <v>55</v>
      </c>
      <c r="P1587" s="49">
        <f t="shared" si="48"/>
        <v>550</v>
      </c>
      <c r="Q1587" s="49">
        <f t="shared" si="49"/>
        <v>550</v>
      </c>
    </row>
    <row r="1588" spans="1:17" ht="37.5" x14ac:dyDescent="0.35">
      <c r="A1588" s="11" t="s">
        <v>760</v>
      </c>
      <c r="B1588" s="10" t="s">
        <v>448</v>
      </c>
      <c r="C1588" s="284"/>
      <c r="D1588" s="284"/>
      <c r="E1588" s="284"/>
      <c r="F1588" s="163" t="s">
        <v>542</v>
      </c>
      <c r="G1588" s="50"/>
      <c r="H1588" s="187" t="s">
        <v>595</v>
      </c>
      <c r="I1588" s="44" t="s">
        <v>175</v>
      </c>
      <c r="J1588" s="45">
        <v>1</v>
      </c>
      <c r="K1588" s="47">
        <v>156</v>
      </c>
      <c r="L1588" s="48">
        <f>J1588*K1588</f>
        <v>156</v>
      </c>
      <c r="M1588" s="46">
        <v>1</v>
      </c>
      <c r="N1588" s="46">
        <v>1</v>
      </c>
      <c r="O1588" s="407">
        <v>156</v>
      </c>
      <c r="P1588" s="49">
        <f t="shared" si="48"/>
        <v>156</v>
      </c>
      <c r="Q1588" s="49">
        <f t="shared" si="49"/>
        <v>156</v>
      </c>
    </row>
    <row r="1589" spans="1:17" ht="13" x14ac:dyDescent="0.35">
      <c r="A1589" s="11" t="s">
        <v>760</v>
      </c>
      <c r="B1589" s="10" t="s">
        <v>448</v>
      </c>
      <c r="C1589" s="284"/>
      <c r="D1589" s="284"/>
      <c r="E1589" s="284"/>
      <c r="F1589" s="163" t="s">
        <v>544</v>
      </c>
      <c r="G1589" s="50"/>
      <c r="H1589" s="187" t="s">
        <v>598</v>
      </c>
      <c r="I1589" s="44" t="s">
        <v>186</v>
      </c>
      <c r="J1589" s="45">
        <v>1</v>
      </c>
      <c r="K1589" s="47">
        <v>680</v>
      </c>
      <c r="L1589" s="48">
        <f>J1589*K1589</f>
        <v>680</v>
      </c>
      <c r="M1589" s="46">
        <v>1</v>
      </c>
      <c r="N1589" s="46">
        <v>1</v>
      </c>
      <c r="O1589" s="407">
        <v>680</v>
      </c>
      <c r="P1589" s="49">
        <f t="shared" si="48"/>
        <v>680</v>
      </c>
      <c r="Q1589" s="49">
        <f t="shared" si="49"/>
        <v>680</v>
      </c>
    </row>
    <row r="1590" spans="1:17" ht="13" x14ac:dyDescent="0.35">
      <c r="A1590" s="11" t="s">
        <v>760</v>
      </c>
      <c r="B1590" s="10" t="s">
        <v>448</v>
      </c>
      <c r="C1590" s="284"/>
      <c r="D1590" s="284"/>
      <c r="E1590" s="284"/>
      <c r="F1590" s="163" t="s">
        <v>546</v>
      </c>
      <c r="G1590" s="50"/>
      <c r="H1590" s="187" t="s">
        <v>600</v>
      </c>
      <c r="I1590" s="44" t="s">
        <v>175</v>
      </c>
      <c r="J1590" s="45">
        <v>2</v>
      </c>
      <c r="K1590" s="47">
        <v>130</v>
      </c>
      <c r="L1590" s="48">
        <f>J1590*K1590</f>
        <v>260</v>
      </c>
      <c r="M1590" s="46">
        <v>2</v>
      </c>
      <c r="N1590" s="46">
        <v>2</v>
      </c>
      <c r="O1590" s="407">
        <v>130</v>
      </c>
      <c r="P1590" s="49">
        <f t="shared" si="48"/>
        <v>260</v>
      </c>
      <c r="Q1590" s="49">
        <f t="shared" si="49"/>
        <v>260</v>
      </c>
    </row>
    <row r="1591" spans="1:17" ht="13" x14ac:dyDescent="0.35">
      <c r="A1591" s="11" t="s">
        <v>760</v>
      </c>
      <c r="B1591" s="10" t="s">
        <v>448</v>
      </c>
      <c r="C1591" s="284"/>
      <c r="D1591" s="284"/>
      <c r="E1591" s="284"/>
      <c r="F1591" s="163" t="s">
        <v>549</v>
      </c>
      <c r="G1591" s="50"/>
      <c r="H1591" s="187" t="s">
        <v>602</v>
      </c>
      <c r="I1591" s="44" t="s">
        <v>186</v>
      </c>
      <c r="J1591" s="250">
        <v>2</v>
      </c>
      <c r="K1591" s="252">
        <v>55</v>
      </c>
      <c r="L1591" s="281">
        <f>J1591*K1591</f>
        <v>110</v>
      </c>
      <c r="M1591" s="251">
        <v>2</v>
      </c>
      <c r="N1591" s="251">
        <v>2</v>
      </c>
      <c r="O1591" s="426">
        <v>55</v>
      </c>
      <c r="P1591" s="282">
        <f t="shared" si="48"/>
        <v>110</v>
      </c>
      <c r="Q1591" s="282">
        <f t="shared" si="49"/>
        <v>110</v>
      </c>
    </row>
    <row r="1592" spans="1:17" ht="13" x14ac:dyDescent="0.35">
      <c r="A1592" s="283" t="s">
        <v>760</v>
      </c>
      <c r="B1592" s="10" t="s">
        <v>448</v>
      </c>
      <c r="C1592" s="284"/>
      <c r="D1592" s="284"/>
      <c r="E1592" s="284"/>
      <c r="F1592" s="285" t="s">
        <v>551</v>
      </c>
      <c r="G1592" s="286"/>
      <c r="H1592" s="187" t="s">
        <v>604</v>
      </c>
      <c r="I1592" s="44" t="s">
        <v>186</v>
      </c>
      <c r="J1592" s="250">
        <v>10</v>
      </c>
      <c r="K1592" s="252">
        <v>200</v>
      </c>
      <c r="L1592" s="281">
        <f>J1592*K1592</f>
        <v>2000</v>
      </c>
      <c r="M1592" s="251">
        <v>10</v>
      </c>
      <c r="N1592" s="251">
        <v>10</v>
      </c>
      <c r="O1592" s="426">
        <v>200</v>
      </c>
      <c r="P1592" s="282">
        <f t="shared" si="48"/>
        <v>2000</v>
      </c>
      <c r="Q1592" s="282">
        <f t="shared" si="49"/>
        <v>2000</v>
      </c>
    </row>
    <row r="1593" spans="1:17" ht="13" x14ac:dyDescent="0.35">
      <c r="A1593" s="283" t="s">
        <v>760</v>
      </c>
      <c r="B1593" s="10" t="s">
        <v>448</v>
      </c>
      <c r="C1593" s="284"/>
      <c r="D1593" s="284"/>
      <c r="E1593" s="284"/>
      <c r="F1593" s="285" t="s">
        <v>553</v>
      </c>
      <c r="G1593" s="286"/>
      <c r="H1593" s="187" t="s">
        <v>606</v>
      </c>
      <c r="I1593" s="44" t="s">
        <v>186</v>
      </c>
      <c r="J1593" s="250">
        <v>10</v>
      </c>
      <c r="K1593" s="252">
        <v>200</v>
      </c>
      <c r="L1593" s="281">
        <f>J1593*K1593</f>
        <v>2000</v>
      </c>
      <c r="M1593" s="251">
        <v>10</v>
      </c>
      <c r="N1593" s="251">
        <v>10</v>
      </c>
      <c r="O1593" s="426">
        <v>200</v>
      </c>
      <c r="P1593" s="282">
        <f t="shared" si="48"/>
        <v>2000</v>
      </c>
      <c r="Q1593" s="282">
        <f t="shared" si="49"/>
        <v>2000</v>
      </c>
    </row>
    <row r="1594" spans="1:17" ht="13" x14ac:dyDescent="0.35">
      <c r="A1594" s="283" t="s">
        <v>760</v>
      </c>
      <c r="B1594" s="10" t="s">
        <v>448</v>
      </c>
      <c r="C1594" s="284"/>
      <c r="D1594" s="284"/>
      <c r="E1594" s="284"/>
      <c r="F1594" s="285"/>
      <c r="G1594" s="286"/>
      <c r="H1594" s="253" t="s">
        <v>607</v>
      </c>
      <c r="I1594" s="44"/>
      <c r="J1594" s="45"/>
      <c r="K1594" s="287"/>
      <c r="L1594" s="281"/>
      <c r="M1594" s="46"/>
      <c r="N1594" s="46"/>
      <c r="O1594" s="430"/>
      <c r="P1594" s="282">
        <f t="shared" si="48"/>
        <v>0</v>
      </c>
      <c r="Q1594" s="282">
        <f t="shared" si="49"/>
        <v>0</v>
      </c>
    </row>
    <row r="1595" spans="1:17" ht="13" x14ac:dyDescent="0.35">
      <c r="A1595" s="283" t="s">
        <v>760</v>
      </c>
      <c r="B1595" s="10" t="s">
        <v>448</v>
      </c>
      <c r="C1595" s="284"/>
      <c r="D1595" s="284"/>
      <c r="E1595" s="284"/>
      <c r="F1595" s="285" t="s">
        <v>555</v>
      </c>
      <c r="G1595" s="286"/>
      <c r="H1595" s="187" t="s">
        <v>609</v>
      </c>
      <c r="I1595" s="44" t="s">
        <v>175</v>
      </c>
      <c r="J1595" s="250">
        <v>1</v>
      </c>
      <c r="K1595" s="252">
        <v>1000</v>
      </c>
      <c r="L1595" s="281">
        <f>J1595*K1595</f>
        <v>1000</v>
      </c>
      <c r="M1595" s="251">
        <v>1</v>
      </c>
      <c r="N1595" s="251">
        <v>1</v>
      </c>
      <c r="O1595" s="426">
        <v>1000</v>
      </c>
      <c r="P1595" s="282">
        <f t="shared" si="48"/>
        <v>1000</v>
      </c>
      <c r="Q1595" s="282">
        <f t="shared" si="49"/>
        <v>1000</v>
      </c>
    </row>
    <row r="1596" spans="1:17" ht="13" x14ac:dyDescent="0.35">
      <c r="A1596" s="283" t="s">
        <v>760</v>
      </c>
      <c r="B1596" s="10" t="s">
        <v>448</v>
      </c>
      <c r="C1596" s="284"/>
      <c r="D1596" s="284"/>
      <c r="E1596" s="284"/>
      <c r="F1596" s="285"/>
      <c r="G1596" s="286"/>
      <c r="H1596" s="253" t="s">
        <v>610</v>
      </c>
      <c r="I1596" s="44"/>
      <c r="J1596" s="250"/>
      <c r="K1596" s="252"/>
      <c r="L1596" s="281"/>
      <c r="M1596" s="251"/>
      <c r="N1596" s="251"/>
      <c r="O1596" s="426"/>
      <c r="P1596" s="282">
        <f t="shared" si="48"/>
        <v>0</v>
      </c>
      <c r="Q1596" s="282">
        <f t="shared" si="49"/>
        <v>0</v>
      </c>
    </row>
    <row r="1597" spans="1:17" ht="13" x14ac:dyDescent="0.35">
      <c r="A1597" s="283" t="s">
        <v>760</v>
      </c>
      <c r="B1597" s="10" t="s">
        <v>448</v>
      </c>
      <c r="C1597" s="284"/>
      <c r="D1597" s="284"/>
      <c r="E1597" s="284"/>
      <c r="F1597" s="285" t="s">
        <v>557</v>
      </c>
      <c r="G1597" s="286"/>
      <c r="H1597" s="187" t="s">
        <v>612</v>
      </c>
      <c r="I1597" s="44" t="s">
        <v>175</v>
      </c>
      <c r="J1597" s="250">
        <v>1</v>
      </c>
      <c r="K1597" s="252">
        <v>125</v>
      </c>
      <c r="L1597" s="281">
        <f>J1597*K1597</f>
        <v>125</v>
      </c>
      <c r="M1597" s="251">
        <v>1</v>
      </c>
      <c r="N1597" s="251">
        <v>1</v>
      </c>
      <c r="O1597" s="426">
        <v>125</v>
      </c>
      <c r="P1597" s="282">
        <f t="shared" si="48"/>
        <v>125</v>
      </c>
      <c r="Q1597" s="282">
        <f t="shared" si="49"/>
        <v>125</v>
      </c>
    </row>
    <row r="1598" spans="1:17" ht="13" x14ac:dyDescent="0.35">
      <c r="A1598" s="283" t="s">
        <v>760</v>
      </c>
      <c r="B1598" s="10" t="s">
        <v>448</v>
      </c>
      <c r="C1598" s="284"/>
      <c r="D1598" s="284"/>
      <c r="E1598" s="284"/>
      <c r="F1598" s="285" t="s">
        <v>561</v>
      </c>
      <c r="G1598" s="286"/>
      <c r="H1598" s="187" t="s">
        <v>614</v>
      </c>
      <c r="I1598" s="44" t="s">
        <v>175</v>
      </c>
      <c r="J1598" s="250">
        <v>1</v>
      </c>
      <c r="K1598" s="252">
        <v>500</v>
      </c>
      <c r="L1598" s="281">
        <f>J1598*K1598</f>
        <v>500</v>
      </c>
      <c r="M1598" s="251">
        <v>1</v>
      </c>
      <c r="N1598" s="251">
        <v>1</v>
      </c>
      <c r="O1598" s="426">
        <v>500</v>
      </c>
      <c r="P1598" s="282">
        <f t="shared" si="48"/>
        <v>500</v>
      </c>
      <c r="Q1598" s="282">
        <f t="shared" si="49"/>
        <v>500</v>
      </c>
    </row>
    <row r="1599" spans="1:17" ht="37.5" x14ac:dyDescent="0.35">
      <c r="A1599" s="283" t="s">
        <v>760</v>
      </c>
      <c r="B1599" s="10" t="s">
        <v>448</v>
      </c>
      <c r="C1599" s="284"/>
      <c r="D1599" s="284"/>
      <c r="E1599" s="284"/>
      <c r="F1599" s="285" t="s">
        <v>567</v>
      </c>
      <c r="G1599" s="286"/>
      <c r="H1599" s="187" t="s">
        <v>616</v>
      </c>
      <c r="I1599" s="44" t="s">
        <v>175</v>
      </c>
      <c r="J1599" s="250">
        <v>1</v>
      </c>
      <c r="K1599" s="252">
        <v>3500</v>
      </c>
      <c r="L1599" s="281">
        <f>J1599*K1599</f>
        <v>3500</v>
      </c>
      <c r="M1599" s="251">
        <v>1</v>
      </c>
      <c r="N1599" s="251">
        <v>1</v>
      </c>
      <c r="O1599" s="426">
        <v>3500</v>
      </c>
      <c r="P1599" s="282">
        <f t="shared" si="48"/>
        <v>3500</v>
      </c>
      <c r="Q1599" s="282">
        <f t="shared" si="49"/>
        <v>3500</v>
      </c>
    </row>
    <row r="1600" spans="1:17" ht="13" x14ac:dyDescent="0.3">
      <c r="A1600" s="283" t="s">
        <v>760</v>
      </c>
      <c r="B1600" s="10" t="s">
        <v>448</v>
      </c>
      <c r="C1600" s="284"/>
      <c r="D1600" s="284"/>
      <c r="E1600" s="284"/>
      <c r="F1600" s="285"/>
      <c r="G1600" s="286"/>
      <c r="H1600" s="218" t="s">
        <v>617</v>
      </c>
      <c r="I1600" s="44"/>
      <c r="J1600" s="254"/>
      <c r="K1600" s="256"/>
      <c r="L1600" s="281"/>
      <c r="M1600" s="255"/>
      <c r="N1600" s="255"/>
      <c r="O1600" s="427"/>
      <c r="P1600" s="282">
        <f t="shared" si="48"/>
        <v>0</v>
      </c>
      <c r="Q1600" s="282">
        <f t="shared" si="49"/>
        <v>0</v>
      </c>
    </row>
    <row r="1601" spans="1:17" ht="13" x14ac:dyDescent="0.25">
      <c r="A1601" s="283" t="s">
        <v>760</v>
      </c>
      <c r="B1601" s="10" t="s">
        <v>448</v>
      </c>
      <c r="C1601" s="284"/>
      <c r="D1601" s="284"/>
      <c r="E1601" s="284"/>
      <c r="F1601" s="285" t="s">
        <v>570</v>
      </c>
      <c r="G1601" s="286"/>
      <c r="H1601" s="257" t="s">
        <v>752</v>
      </c>
      <c r="I1601" s="258"/>
      <c r="J1601" s="254"/>
      <c r="K1601" s="256"/>
      <c r="L1601" s="281"/>
      <c r="M1601" s="255"/>
      <c r="N1601" s="255"/>
      <c r="O1601" s="427"/>
      <c r="P1601" s="282">
        <f t="shared" si="48"/>
        <v>0</v>
      </c>
      <c r="Q1601" s="282">
        <f t="shared" si="49"/>
        <v>0</v>
      </c>
    </row>
    <row r="1602" spans="1:17" ht="13" x14ac:dyDescent="0.25">
      <c r="A1602" s="283" t="s">
        <v>760</v>
      </c>
      <c r="B1602" s="10" t="s">
        <v>448</v>
      </c>
      <c r="C1602" s="284"/>
      <c r="D1602" s="284"/>
      <c r="E1602" s="284"/>
      <c r="F1602" s="285"/>
      <c r="G1602" s="286"/>
      <c r="H1602" s="257" t="s">
        <v>753</v>
      </c>
      <c r="I1602" s="258" t="s">
        <v>468</v>
      </c>
      <c r="J1602" s="250">
        <v>1</v>
      </c>
      <c r="K1602" s="259">
        <v>5000</v>
      </c>
      <c r="L1602" s="281">
        <f>J1602*K1602</f>
        <v>5000</v>
      </c>
      <c r="M1602" s="251">
        <v>1</v>
      </c>
      <c r="N1602" s="251">
        <v>1</v>
      </c>
      <c r="O1602" s="428">
        <v>5000</v>
      </c>
      <c r="P1602" s="282">
        <f t="shared" si="48"/>
        <v>5000</v>
      </c>
      <c r="Q1602" s="282">
        <f t="shared" si="49"/>
        <v>5000</v>
      </c>
    </row>
    <row r="1603" spans="1:17" ht="13" x14ac:dyDescent="0.35">
      <c r="A1603" s="283" t="s">
        <v>760</v>
      </c>
      <c r="B1603" s="10" t="s">
        <v>804</v>
      </c>
      <c r="C1603" s="284"/>
      <c r="D1603" s="365"/>
      <c r="E1603" s="365"/>
      <c r="F1603" s="283"/>
      <c r="G1603" s="283"/>
      <c r="H1603" s="288" t="s">
        <v>762</v>
      </c>
      <c r="I1603" s="44"/>
      <c r="J1603" s="45"/>
      <c r="K1603" s="289"/>
      <c r="L1603" s="281"/>
      <c r="M1603" s="46"/>
      <c r="N1603" s="46"/>
      <c r="O1603" s="431"/>
      <c r="P1603" s="282">
        <f t="shared" si="48"/>
        <v>0</v>
      </c>
      <c r="Q1603" s="282">
        <f t="shared" si="49"/>
        <v>0</v>
      </c>
    </row>
    <row r="1604" spans="1:17" ht="13" x14ac:dyDescent="0.35">
      <c r="A1604" s="283" t="s">
        <v>760</v>
      </c>
      <c r="B1604" s="10" t="s">
        <v>804</v>
      </c>
      <c r="C1604" s="284"/>
      <c r="D1604" s="365"/>
      <c r="E1604" s="365"/>
      <c r="F1604" s="283"/>
      <c r="G1604" s="283"/>
      <c r="H1604" s="288" t="s">
        <v>763</v>
      </c>
      <c r="I1604" s="44"/>
      <c r="J1604" s="45"/>
      <c r="K1604" s="289"/>
      <c r="L1604" s="290"/>
      <c r="M1604" s="46"/>
      <c r="N1604" s="46"/>
      <c r="O1604" s="431"/>
      <c r="P1604" s="291">
        <f t="shared" si="48"/>
        <v>0</v>
      </c>
      <c r="Q1604" s="291">
        <f t="shared" si="49"/>
        <v>0</v>
      </c>
    </row>
    <row r="1605" spans="1:17" ht="13" x14ac:dyDescent="0.35">
      <c r="A1605" s="283" t="s">
        <v>760</v>
      </c>
      <c r="B1605" s="10" t="s">
        <v>804</v>
      </c>
      <c r="C1605" s="284"/>
      <c r="D1605" s="365"/>
      <c r="E1605" s="365"/>
      <c r="F1605" s="283"/>
      <c r="G1605" s="283"/>
      <c r="H1605" s="292" t="s">
        <v>622</v>
      </c>
      <c r="I1605" s="44"/>
      <c r="J1605" s="45"/>
      <c r="K1605" s="289"/>
      <c r="L1605" s="290"/>
      <c r="M1605" s="46"/>
      <c r="N1605" s="46"/>
      <c r="O1605" s="431"/>
      <c r="P1605" s="291">
        <f t="shared" si="48"/>
        <v>0</v>
      </c>
      <c r="Q1605" s="291">
        <f t="shared" si="49"/>
        <v>0</v>
      </c>
    </row>
    <row r="1606" spans="1:17" ht="13" x14ac:dyDescent="0.35">
      <c r="A1606" s="283" t="s">
        <v>760</v>
      </c>
      <c r="B1606" s="10" t="s">
        <v>804</v>
      </c>
      <c r="C1606" s="372"/>
      <c r="D1606" s="368"/>
      <c r="E1606" s="368"/>
      <c r="F1606" s="164"/>
      <c r="G1606" s="165"/>
      <c r="H1606" s="153" t="s">
        <v>623</v>
      </c>
      <c r="I1606" s="166"/>
      <c r="J1606" s="167"/>
      <c r="K1606" s="169"/>
      <c r="L1606" s="170"/>
      <c r="M1606" s="168"/>
      <c r="N1606" s="168"/>
      <c r="O1606" s="420"/>
      <c r="P1606" s="171">
        <f t="shared" si="48"/>
        <v>0</v>
      </c>
      <c r="Q1606" s="171">
        <f t="shared" si="49"/>
        <v>0</v>
      </c>
    </row>
    <row r="1607" spans="1:17" ht="13" x14ac:dyDescent="0.35">
      <c r="A1607" s="283" t="s">
        <v>760</v>
      </c>
      <c r="B1607" s="10" t="s">
        <v>804</v>
      </c>
      <c r="C1607" s="372"/>
      <c r="D1607" s="368"/>
      <c r="E1607" s="368"/>
      <c r="F1607" s="173"/>
      <c r="G1607" s="174"/>
      <c r="H1607" s="154" t="s">
        <v>100</v>
      </c>
      <c r="I1607" s="175"/>
      <c r="J1607" s="176"/>
      <c r="K1607" s="178"/>
      <c r="L1607" s="179"/>
      <c r="M1607" s="177"/>
      <c r="N1607" s="177"/>
      <c r="O1607" s="421"/>
      <c r="P1607" s="180">
        <f t="shared" si="48"/>
        <v>0</v>
      </c>
      <c r="Q1607" s="180">
        <f t="shared" si="49"/>
        <v>0</v>
      </c>
    </row>
    <row r="1608" spans="1:17" ht="13" x14ac:dyDescent="0.35">
      <c r="A1608" s="283" t="s">
        <v>760</v>
      </c>
      <c r="B1608" s="10" t="s">
        <v>804</v>
      </c>
      <c r="C1608" s="372"/>
      <c r="D1608" s="368"/>
      <c r="E1608" s="368"/>
      <c r="F1608" s="173"/>
      <c r="G1608" s="174"/>
      <c r="H1608" s="155" t="s">
        <v>101</v>
      </c>
      <c r="I1608" s="175"/>
      <c r="J1608" s="176"/>
      <c r="K1608" s="178"/>
      <c r="L1608" s="179"/>
      <c r="M1608" s="177"/>
      <c r="N1608" s="177"/>
      <c r="O1608" s="421"/>
      <c r="P1608" s="180">
        <f t="shared" si="48"/>
        <v>0</v>
      </c>
      <c r="Q1608" s="180">
        <f t="shared" si="49"/>
        <v>0</v>
      </c>
    </row>
    <row r="1609" spans="1:17" ht="13" x14ac:dyDescent="0.35">
      <c r="A1609" s="283" t="s">
        <v>760</v>
      </c>
      <c r="B1609" s="10" t="s">
        <v>804</v>
      </c>
      <c r="C1609" s="373"/>
      <c r="D1609" s="369"/>
      <c r="E1609" s="369"/>
      <c r="F1609" s="293"/>
      <c r="G1609" s="293"/>
      <c r="H1609" s="294" t="s">
        <v>754</v>
      </c>
      <c r="I1609" s="110"/>
      <c r="J1609" s="182"/>
      <c r="K1609" s="295"/>
      <c r="L1609" s="296"/>
      <c r="M1609" s="183"/>
      <c r="N1609" s="183"/>
      <c r="O1609" s="432"/>
      <c r="P1609" s="297">
        <f t="shared" si="48"/>
        <v>0</v>
      </c>
      <c r="Q1609" s="297">
        <f t="shared" si="49"/>
        <v>0</v>
      </c>
    </row>
    <row r="1610" spans="1:17" ht="37.5" x14ac:dyDescent="0.35">
      <c r="A1610" s="283" t="s">
        <v>760</v>
      </c>
      <c r="B1610" s="10" t="s">
        <v>804</v>
      </c>
      <c r="C1610" s="373"/>
      <c r="D1610" s="369"/>
      <c r="E1610" s="369"/>
      <c r="F1610" s="293" t="s">
        <v>20</v>
      </c>
      <c r="G1610" s="293"/>
      <c r="H1610" s="298" t="s">
        <v>805</v>
      </c>
      <c r="I1610" s="110" t="s">
        <v>468</v>
      </c>
      <c r="J1610" s="182">
        <v>1</v>
      </c>
      <c r="K1610" s="295">
        <v>20000</v>
      </c>
      <c r="L1610" s="296">
        <f>J1610*K1610</f>
        <v>20000</v>
      </c>
      <c r="M1610" s="183">
        <v>1</v>
      </c>
      <c r="N1610" s="183">
        <v>1</v>
      </c>
      <c r="O1610" s="432">
        <v>20000</v>
      </c>
      <c r="P1610" s="297">
        <f t="shared" ref="P1610:P1673" si="50">O1610*M1610</f>
        <v>20000</v>
      </c>
      <c r="Q1610" s="297">
        <f t="shared" ref="Q1610:Q1673" si="51">O1610*N1610</f>
        <v>20000</v>
      </c>
    </row>
    <row r="1611" spans="1:17" x14ac:dyDescent="0.35">
      <c r="A1611" s="283" t="s">
        <v>760</v>
      </c>
      <c r="B1611" s="10" t="s">
        <v>804</v>
      </c>
      <c r="C1611" s="373"/>
      <c r="D1611" s="369"/>
      <c r="E1611" s="369"/>
      <c r="F1611" s="293" t="s">
        <v>26</v>
      </c>
      <c r="G1611" s="293"/>
      <c r="H1611" s="299" t="s">
        <v>626</v>
      </c>
      <c r="I1611" s="110" t="s">
        <v>627</v>
      </c>
      <c r="J1611" s="189">
        <v>0.05</v>
      </c>
      <c r="K1611" s="295">
        <f>K1610</f>
        <v>20000</v>
      </c>
      <c r="L1611" s="296">
        <f>J1611*K1611</f>
        <v>1000</v>
      </c>
      <c r="M1611" s="190">
        <v>0.05</v>
      </c>
      <c r="N1611" s="190">
        <v>0.05</v>
      </c>
      <c r="O1611" s="432">
        <f>O1610</f>
        <v>20000</v>
      </c>
      <c r="P1611" s="297">
        <f t="shared" si="50"/>
        <v>1000</v>
      </c>
      <c r="Q1611" s="297">
        <f t="shared" si="51"/>
        <v>1000</v>
      </c>
    </row>
    <row r="1612" spans="1:17" x14ac:dyDescent="0.35">
      <c r="A1612" s="283" t="s">
        <v>760</v>
      </c>
      <c r="B1612" s="10" t="s">
        <v>804</v>
      </c>
      <c r="C1612" s="373"/>
      <c r="D1612" s="369"/>
      <c r="E1612" s="369"/>
      <c r="F1612" s="293" t="s">
        <v>29</v>
      </c>
      <c r="G1612" s="293"/>
      <c r="H1612" s="299" t="s">
        <v>628</v>
      </c>
      <c r="I1612" s="110" t="s">
        <v>627</v>
      </c>
      <c r="J1612" s="189">
        <v>0.1</v>
      </c>
      <c r="K1612" s="295">
        <f>K1611</f>
        <v>20000</v>
      </c>
      <c r="L1612" s="296">
        <f>J1612*K1612</f>
        <v>2000</v>
      </c>
      <c r="M1612" s="190">
        <v>0.1</v>
      </c>
      <c r="N1612" s="190">
        <v>0.1</v>
      </c>
      <c r="O1612" s="432">
        <f>O1611</f>
        <v>20000</v>
      </c>
      <c r="P1612" s="297">
        <f t="shared" si="50"/>
        <v>2000</v>
      </c>
      <c r="Q1612" s="297">
        <f t="shared" si="51"/>
        <v>2000</v>
      </c>
    </row>
    <row r="1613" spans="1:17" ht="13" x14ac:dyDescent="0.35">
      <c r="A1613" s="283" t="s">
        <v>760</v>
      </c>
      <c r="B1613" s="10" t="s">
        <v>804</v>
      </c>
      <c r="C1613" s="373"/>
      <c r="D1613" s="369"/>
      <c r="E1613" s="369"/>
      <c r="F1613" s="293"/>
      <c r="G1613" s="293"/>
      <c r="H1613" s="294" t="s">
        <v>624</v>
      </c>
      <c r="I1613" s="110"/>
      <c r="J1613" s="182"/>
      <c r="K1613" s="295"/>
      <c r="L1613" s="296"/>
      <c r="M1613" s="183"/>
      <c r="N1613" s="183"/>
      <c r="O1613" s="432"/>
      <c r="P1613" s="297">
        <f t="shared" si="50"/>
        <v>0</v>
      </c>
      <c r="Q1613" s="297">
        <f t="shared" si="51"/>
        <v>0</v>
      </c>
    </row>
    <row r="1614" spans="1:17" ht="25" x14ac:dyDescent="0.35">
      <c r="A1614" s="283" t="s">
        <v>760</v>
      </c>
      <c r="B1614" s="10" t="s">
        <v>804</v>
      </c>
      <c r="C1614" s="373"/>
      <c r="D1614" s="369"/>
      <c r="E1614" s="369"/>
      <c r="F1614" s="293" t="s">
        <v>32</v>
      </c>
      <c r="G1614" s="293"/>
      <c r="H1614" s="298" t="s">
        <v>625</v>
      </c>
      <c r="I1614" s="110" t="s">
        <v>468</v>
      </c>
      <c r="J1614" s="182">
        <v>1</v>
      </c>
      <c r="K1614" s="295">
        <v>10000</v>
      </c>
      <c r="L1614" s="296">
        <f>J1614*K1614</f>
        <v>10000</v>
      </c>
      <c r="M1614" s="183">
        <v>1</v>
      </c>
      <c r="N1614" s="183">
        <v>1</v>
      </c>
      <c r="O1614" s="432">
        <v>10000</v>
      </c>
      <c r="P1614" s="297">
        <f t="shared" si="50"/>
        <v>10000</v>
      </c>
      <c r="Q1614" s="297">
        <f t="shared" si="51"/>
        <v>10000</v>
      </c>
    </row>
    <row r="1615" spans="1:17" x14ac:dyDescent="0.35">
      <c r="A1615" s="283" t="s">
        <v>760</v>
      </c>
      <c r="B1615" s="10" t="s">
        <v>804</v>
      </c>
      <c r="C1615" s="373"/>
      <c r="D1615" s="369"/>
      <c r="E1615" s="369"/>
      <c r="F1615" s="293" t="s">
        <v>36</v>
      </c>
      <c r="G1615" s="293"/>
      <c r="H1615" s="299" t="s">
        <v>626</v>
      </c>
      <c r="I1615" s="110" t="s">
        <v>627</v>
      </c>
      <c r="J1615" s="189">
        <v>0.05</v>
      </c>
      <c r="K1615" s="295">
        <f>K1614</f>
        <v>10000</v>
      </c>
      <c r="L1615" s="296">
        <f>J1615*K1615</f>
        <v>500</v>
      </c>
      <c r="M1615" s="190">
        <v>0.05</v>
      </c>
      <c r="N1615" s="190">
        <v>0.05</v>
      </c>
      <c r="O1615" s="432">
        <f>O1614</f>
        <v>10000</v>
      </c>
      <c r="P1615" s="297">
        <f t="shared" si="50"/>
        <v>500</v>
      </c>
      <c r="Q1615" s="297">
        <f t="shared" si="51"/>
        <v>500</v>
      </c>
    </row>
    <row r="1616" spans="1:17" x14ac:dyDescent="0.35">
      <c r="A1616" s="283" t="s">
        <v>760</v>
      </c>
      <c r="B1616" s="10" t="s">
        <v>804</v>
      </c>
      <c r="C1616" s="373"/>
      <c r="D1616" s="369"/>
      <c r="E1616" s="369"/>
      <c r="F1616" s="293" t="s">
        <v>39</v>
      </c>
      <c r="G1616" s="293"/>
      <c r="H1616" s="299" t="s">
        <v>628</v>
      </c>
      <c r="I1616" s="110" t="s">
        <v>627</v>
      </c>
      <c r="J1616" s="189">
        <v>0.1</v>
      </c>
      <c r="K1616" s="295">
        <f>K1615</f>
        <v>10000</v>
      </c>
      <c r="L1616" s="296">
        <f>J1616*K1616</f>
        <v>1000</v>
      </c>
      <c r="M1616" s="190">
        <v>0.1</v>
      </c>
      <c r="N1616" s="190">
        <v>0.1</v>
      </c>
      <c r="O1616" s="432">
        <f>O1615</f>
        <v>10000</v>
      </c>
      <c r="P1616" s="297">
        <f t="shared" si="50"/>
        <v>1000</v>
      </c>
      <c r="Q1616" s="297">
        <f t="shared" si="51"/>
        <v>1000</v>
      </c>
    </row>
    <row r="1617" spans="1:17" ht="13" x14ac:dyDescent="0.35">
      <c r="A1617" s="283" t="s">
        <v>760</v>
      </c>
      <c r="B1617" s="10" t="s">
        <v>804</v>
      </c>
      <c r="C1617" s="373"/>
      <c r="D1617" s="369"/>
      <c r="E1617" s="369"/>
      <c r="F1617" s="293"/>
      <c r="G1617" s="293"/>
      <c r="H1617" s="294" t="s">
        <v>629</v>
      </c>
      <c r="I1617" s="110"/>
      <c r="J1617" s="182"/>
      <c r="K1617" s="295"/>
      <c r="L1617" s="296"/>
      <c r="M1617" s="183"/>
      <c r="N1617" s="183"/>
      <c r="O1617" s="432"/>
      <c r="P1617" s="297">
        <f t="shared" si="50"/>
        <v>0</v>
      </c>
      <c r="Q1617" s="297">
        <f t="shared" si="51"/>
        <v>0</v>
      </c>
    </row>
    <row r="1618" spans="1:17" ht="25" x14ac:dyDescent="0.35">
      <c r="A1618" s="283" t="s">
        <v>760</v>
      </c>
      <c r="B1618" s="10" t="s">
        <v>804</v>
      </c>
      <c r="C1618" s="373"/>
      <c r="D1618" s="369"/>
      <c r="E1618" s="369"/>
      <c r="F1618" s="293" t="s">
        <v>42</v>
      </c>
      <c r="G1618" s="293"/>
      <c r="H1618" s="67" t="s">
        <v>630</v>
      </c>
      <c r="I1618" s="110" t="s">
        <v>468</v>
      </c>
      <c r="J1618" s="182">
        <v>1</v>
      </c>
      <c r="K1618" s="295">
        <v>5000</v>
      </c>
      <c r="L1618" s="296">
        <f>J1618*K1618</f>
        <v>5000</v>
      </c>
      <c r="M1618" s="183">
        <v>1</v>
      </c>
      <c r="N1618" s="183">
        <v>1</v>
      </c>
      <c r="O1618" s="432">
        <v>5000</v>
      </c>
      <c r="P1618" s="297">
        <f t="shared" si="50"/>
        <v>5000</v>
      </c>
      <c r="Q1618" s="297">
        <f t="shared" si="51"/>
        <v>5000</v>
      </c>
    </row>
    <row r="1619" spans="1:17" x14ac:dyDescent="0.35">
      <c r="A1619" s="283" t="s">
        <v>760</v>
      </c>
      <c r="B1619" s="10" t="s">
        <v>804</v>
      </c>
      <c r="C1619" s="373"/>
      <c r="D1619" s="369"/>
      <c r="E1619" s="369"/>
      <c r="F1619" s="293" t="s">
        <v>45</v>
      </c>
      <c r="G1619" s="293"/>
      <c r="H1619" s="299" t="s">
        <v>626</v>
      </c>
      <c r="I1619" s="110" t="s">
        <v>627</v>
      </c>
      <c r="J1619" s="189">
        <v>0.05</v>
      </c>
      <c r="K1619" s="295">
        <f>K1618</f>
        <v>5000</v>
      </c>
      <c r="L1619" s="296">
        <f>J1619*K1619</f>
        <v>250</v>
      </c>
      <c r="M1619" s="190">
        <v>0.05</v>
      </c>
      <c r="N1619" s="190">
        <v>0.05</v>
      </c>
      <c r="O1619" s="432">
        <f>O1618</f>
        <v>5000</v>
      </c>
      <c r="P1619" s="297">
        <f t="shared" si="50"/>
        <v>250</v>
      </c>
      <c r="Q1619" s="297">
        <f t="shared" si="51"/>
        <v>250</v>
      </c>
    </row>
    <row r="1620" spans="1:17" x14ac:dyDescent="0.35">
      <c r="A1620" s="283" t="s">
        <v>760</v>
      </c>
      <c r="B1620" s="10" t="s">
        <v>804</v>
      </c>
      <c r="C1620" s="373"/>
      <c r="D1620" s="369"/>
      <c r="E1620" s="369"/>
      <c r="F1620" s="293" t="s">
        <v>48</v>
      </c>
      <c r="G1620" s="293"/>
      <c r="H1620" s="299" t="s">
        <v>628</v>
      </c>
      <c r="I1620" s="110" t="s">
        <v>627</v>
      </c>
      <c r="J1620" s="189">
        <v>0.1</v>
      </c>
      <c r="K1620" s="295">
        <f>K1619</f>
        <v>5000</v>
      </c>
      <c r="L1620" s="296">
        <f>J1620*K1620</f>
        <v>500</v>
      </c>
      <c r="M1620" s="190">
        <v>0.1</v>
      </c>
      <c r="N1620" s="190">
        <v>0.1</v>
      </c>
      <c r="O1620" s="432">
        <f>O1619</f>
        <v>5000</v>
      </c>
      <c r="P1620" s="297">
        <f t="shared" si="50"/>
        <v>500</v>
      </c>
      <c r="Q1620" s="297">
        <f t="shared" si="51"/>
        <v>500</v>
      </c>
    </row>
    <row r="1621" spans="1:17" ht="13" x14ac:dyDescent="0.35">
      <c r="A1621" s="283" t="s">
        <v>760</v>
      </c>
      <c r="B1621" s="10" t="s">
        <v>804</v>
      </c>
      <c r="C1621" s="373"/>
      <c r="D1621" s="369"/>
      <c r="E1621" s="369"/>
      <c r="F1621" s="293"/>
      <c r="G1621" s="293"/>
      <c r="H1621" s="294" t="s">
        <v>757</v>
      </c>
      <c r="I1621" s="110"/>
      <c r="J1621" s="260"/>
      <c r="K1621" s="295"/>
      <c r="L1621" s="296"/>
      <c r="M1621" s="261"/>
      <c r="N1621" s="261"/>
      <c r="O1621" s="432"/>
      <c r="P1621" s="297">
        <f t="shared" si="50"/>
        <v>0</v>
      </c>
      <c r="Q1621" s="297">
        <f t="shared" si="51"/>
        <v>0</v>
      </c>
    </row>
    <row r="1622" spans="1:17" ht="25" x14ac:dyDescent="0.35">
      <c r="A1622" s="283" t="s">
        <v>760</v>
      </c>
      <c r="B1622" s="10" t="s">
        <v>804</v>
      </c>
      <c r="C1622" s="373"/>
      <c r="D1622" s="369"/>
      <c r="E1622" s="369"/>
      <c r="F1622" s="293" t="s">
        <v>51</v>
      </c>
      <c r="G1622" s="293"/>
      <c r="H1622" s="67" t="s">
        <v>806</v>
      </c>
      <c r="I1622" s="110" t="s">
        <v>468</v>
      </c>
      <c r="J1622" s="182">
        <v>1</v>
      </c>
      <c r="K1622" s="295">
        <v>80000</v>
      </c>
      <c r="L1622" s="296">
        <f>J1622*K1622</f>
        <v>80000</v>
      </c>
      <c r="M1622" s="183">
        <v>1</v>
      </c>
      <c r="N1622" s="183">
        <v>1</v>
      </c>
      <c r="O1622" s="432">
        <v>80000</v>
      </c>
      <c r="P1622" s="297">
        <f t="shared" si="50"/>
        <v>80000</v>
      </c>
      <c r="Q1622" s="297">
        <f t="shared" si="51"/>
        <v>80000</v>
      </c>
    </row>
    <row r="1623" spans="1:17" x14ac:dyDescent="0.35">
      <c r="A1623" s="283" t="s">
        <v>760</v>
      </c>
      <c r="B1623" s="10" t="s">
        <v>804</v>
      </c>
      <c r="C1623" s="373"/>
      <c r="D1623" s="369"/>
      <c r="E1623" s="369"/>
      <c r="F1623" s="293" t="s">
        <v>53</v>
      </c>
      <c r="G1623" s="293"/>
      <c r="H1623" s="299" t="s">
        <v>626</v>
      </c>
      <c r="I1623" s="110" t="s">
        <v>627</v>
      </c>
      <c r="J1623" s="189">
        <v>0.05</v>
      </c>
      <c r="K1623" s="295">
        <f>K1622</f>
        <v>80000</v>
      </c>
      <c r="L1623" s="296">
        <f>J1623*K1623</f>
        <v>4000</v>
      </c>
      <c r="M1623" s="190">
        <v>0.05</v>
      </c>
      <c r="N1623" s="190">
        <v>0.05</v>
      </c>
      <c r="O1623" s="432">
        <f>O1622</f>
        <v>80000</v>
      </c>
      <c r="P1623" s="297">
        <f t="shared" si="50"/>
        <v>4000</v>
      </c>
      <c r="Q1623" s="297">
        <f t="shared" si="51"/>
        <v>4000</v>
      </c>
    </row>
    <row r="1624" spans="1:17" x14ac:dyDescent="0.35">
      <c r="A1624" s="283" t="s">
        <v>760</v>
      </c>
      <c r="B1624" s="10" t="s">
        <v>804</v>
      </c>
      <c r="C1624" s="373"/>
      <c r="D1624" s="369"/>
      <c r="E1624" s="369"/>
      <c r="F1624" s="293" t="s">
        <v>55</v>
      </c>
      <c r="G1624" s="293"/>
      <c r="H1624" s="299" t="s">
        <v>628</v>
      </c>
      <c r="I1624" s="110" t="s">
        <v>627</v>
      </c>
      <c r="J1624" s="189">
        <v>0.1</v>
      </c>
      <c r="K1624" s="295">
        <f>K1623</f>
        <v>80000</v>
      </c>
      <c r="L1624" s="296">
        <f>J1624*K1624</f>
        <v>8000</v>
      </c>
      <c r="M1624" s="190">
        <v>0.1</v>
      </c>
      <c r="N1624" s="190">
        <v>0.1</v>
      </c>
      <c r="O1624" s="432">
        <f>O1623</f>
        <v>80000</v>
      </c>
      <c r="P1624" s="297">
        <f t="shared" si="50"/>
        <v>8000</v>
      </c>
      <c r="Q1624" s="297">
        <f t="shared" si="51"/>
        <v>8000</v>
      </c>
    </row>
    <row r="1625" spans="1:17" ht="13" x14ac:dyDescent="0.35">
      <c r="A1625" s="283" t="s">
        <v>760</v>
      </c>
      <c r="B1625" s="10" t="s">
        <v>804</v>
      </c>
      <c r="C1625" s="373"/>
      <c r="D1625" s="369"/>
      <c r="E1625" s="369"/>
      <c r="F1625" s="293"/>
      <c r="G1625" s="293"/>
      <c r="H1625" s="294" t="s">
        <v>807</v>
      </c>
      <c r="I1625" s="110"/>
      <c r="J1625" s="260"/>
      <c r="K1625" s="295"/>
      <c r="L1625" s="296"/>
      <c r="M1625" s="261"/>
      <c r="N1625" s="261"/>
      <c r="O1625" s="432"/>
      <c r="P1625" s="297">
        <f t="shared" si="50"/>
        <v>0</v>
      </c>
      <c r="Q1625" s="297">
        <f t="shared" si="51"/>
        <v>0</v>
      </c>
    </row>
    <row r="1626" spans="1:17" x14ac:dyDescent="0.35">
      <c r="A1626" s="283" t="s">
        <v>760</v>
      </c>
      <c r="B1626" s="10" t="s">
        <v>804</v>
      </c>
      <c r="C1626" s="373"/>
      <c r="D1626" s="369"/>
      <c r="E1626" s="369"/>
      <c r="F1626" s="293" t="s">
        <v>58</v>
      </c>
      <c r="G1626" s="293"/>
      <c r="H1626" s="67" t="s">
        <v>808</v>
      </c>
      <c r="I1626" s="110" t="s">
        <v>468</v>
      </c>
      <c r="J1626" s="182">
        <v>1</v>
      </c>
      <c r="K1626" s="295">
        <v>50000</v>
      </c>
      <c r="L1626" s="296">
        <f>J1626*K1626</f>
        <v>50000</v>
      </c>
      <c r="M1626" s="183">
        <v>1</v>
      </c>
      <c r="N1626" s="183">
        <v>1</v>
      </c>
      <c r="O1626" s="432">
        <v>50000</v>
      </c>
      <c r="P1626" s="297">
        <f t="shared" si="50"/>
        <v>50000</v>
      </c>
      <c r="Q1626" s="297">
        <f t="shared" si="51"/>
        <v>50000</v>
      </c>
    </row>
    <row r="1627" spans="1:17" x14ac:dyDescent="0.35">
      <c r="A1627" s="283" t="s">
        <v>760</v>
      </c>
      <c r="B1627" s="10" t="s">
        <v>804</v>
      </c>
      <c r="C1627" s="373"/>
      <c r="D1627" s="369"/>
      <c r="E1627" s="369"/>
      <c r="F1627" s="293" t="s">
        <v>87</v>
      </c>
      <c r="G1627" s="293"/>
      <c r="H1627" s="299" t="s">
        <v>626</v>
      </c>
      <c r="I1627" s="110" t="s">
        <v>627</v>
      </c>
      <c r="J1627" s="189">
        <v>0.05</v>
      </c>
      <c r="K1627" s="295">
        <f>K1626</f>
        <v>50000</v>
      </c>
      <c r="L1627" s="296">
        <f>J1627*K1627</f>
        <v>2500</v>
      </c>
      <c r="M1627" s="190">
        <v>0.05</v>
      </c>
      <c r="N1627" s="190">
        <v>0.05</v>
      </c>
      <c r="O1627" s="432">
        <f>O1626</f>
        <v>50000</v>
      </c>
      <c r="P1627" s="297">
        <f t="shared" si="50"/>
        <v>2500</v>
      </c>
      <c r="Q1627" s="297">
        <f t="shared" si="51"/>
        <v>2500</v>
      </c>
    </row>
    <row r="1628" spans="1:17" x14ac:dyDescent="0.35">
      <c r="A1628" s="283" t="s">
        <v>760</v>
      </c>
      <c r="B1628" s="10" t="s">
        <v>804</v>
      </c>
      <c r="C1628" s="373"/>
      <c r="D1628" s="369"/>
      <c r="E1628" s="369"/>
      <c r="F1628" s="293" t="s">
        <v>90</v>
      </c>
      <c r="G1628" s="293"/>
      <c r="H1628" s="299" t="s">
        <v>628</v>
      </c>
      <c r="I1628" s="110" t="s">
        <v>627</v>
      </c>
      <c r="J1628" s="189">
        <v>0.1</v>
      </c>
      <c r="K1628" s="295">
        <f>K1627</f>
        <v>50000</v>
      </c>
      <c r="L1628" s="296">
        <f>J1628*K1628</f>
        <v>5000</v>
      </c>
      <c r="M1628" s="190">
        <v>0.1</v>
      </c>
      <c r="N1628" s="190">
        <v>0.1</v>
      </c>
      <c r="O1628" s="432">
        <f>O1627</f>
        <v>50000</v>
      </c>
      <c r="P1628" s="297">
        <f t="shared" si="50"/>
        <v>5000</v>
      </c>
      <c r="Q1628" s="297">
        <f t="shared" si="51"/>
        <v>5000</v>
      </c>
    </row>
    <row r="1629" spans="1:17" ht="13" x14ac:dyDescent="0.35">
      <c r="A1629" s="84" t="s">
        <v>809</v>
      </c>
      <c r="B1629" s="84" t="s">
        <v>761</v>
      </c>
      <c r="C1629" s="374"/>
      <c r="D1629" s="370"/>
      <c r="E1629" s="370"/>
      <c r="F1629" s="300"/>
      <c r="G1629" s="300"/>
      <c r="H1629" s="292" t="s">
        <v>810</v>
      </c>
      <c r="I1629" s="78"/>
      <c r="J1629" s="79"/>
      <c r="K1629" s="301"/>
      <c r="L1629" s="302"/>
      <c r="M1629" s="80"/>
      <c r="N1629" s="80"/>
      <c r="O1629" s="433"/>
      <c r="P1629" s="303">
        <f t="shared" si="50"/>
        <v>0</v>
      </c>
      <c r="Q1629" s="303">
        <f t="shared" si="51"/>
        <v>0</v>
      </c>
    </row>
    <row r="1630" spans="1:17" ht="13" x14ac:dyDescent="0.35">
      <c r="A1630" s="84" t="s">
        <v>809</v>
      </c>
      <c r="B1630" s="84" t="s">
        <v>761</v>
      </c>
      <c r="C1630" s="374"/>
      <c r="D1630" s="370"/>
      <c r="E1630" s="370"/>
      <c r="F1630" s="300"/>
      <c r="G1630" s="300"/>
      <c r="H1630" s="292" t="s">
        <v>811</v>
      </c>
      <c r="I1630" s="78"/>
      <c r="J1630" s="79"/>
      <c r="K1630" s="301"/>
      <c r="L1630" s="302"/>
      <c r="M1630" s="80"/>
      <c r="N1630" s="80"/>
      <c r="O1630" s="433"/>
      <c r="P1630" s="303">
        <f t="shared" si="50"/>
        <v>0</v>
      </c>
      <c r="Q1630" s="303">
        <f t="shared" si="51"/>
        <v>0</v>
      </c>
    </row>
    <row r="1631" spans="1:17" ht="13" x14ac:dyDescent="0.35">
      <c r="A1631" s="84" t="s">
        <v>809</v>
      </c>
      <c r="B1631" s="84" t="s">
        <v>761</v>
      </c>
      <c r="C1631" s="374"/>
      <c r="D1631" s="370"/>
      <c r="E1631" s="370"/>
      <c r="F1631" s="300"/>
      <c r="G1631" s="304"/>
      <c r="H1631" s="288" t="s">
        <v>97</v>
      </c>
      <c r="I1631" s="78"/>
      <c r="J1631" s="79"/>
      <c r="K1631" s="301"/>
      <c r="L1631" s="302"/>
      <c r="M1631" s="80"/>
      <c r="N1631" s="80"/>
      <c r="O1631" s="433"/>
      <c r="P1631" s="303">
        <f t="shared" si="50"/>
        <v>0</v>
      </c>
      <c r="Q1631" s="303">
        <f t="shared" si="51"/>
        <v>0</v>
      </c>
    </row>
    <row r="1632" spans="1:17" ht="13" x14ac:dyDescent="0.35">
      <c r="A1632" s="84" t="s">
        <v>809</v>
      </c>
      <c r="B1632" s="84" t="s">
        <v>761</v>
      </c>
      <c r="C1632" s="374"/>
      <c r="D1632" s="370"/>
      <c r="E1632" s="370"/>
      <c r="F1632" s="300"/>
      <c r="G1632" s="300"/>
      <c r="H1632" s="288" t="s">
        <v>764</v>
      </c>
      <c r="I1632" s="78"/>
      <c r="J1632" s="79"/>
      <c r="K1632" s="301"/>
      <c r="L1632" s="302"/>
      <c r="M1632" s="80"/>
      <c r="N1632" s="80"/>
      <c r="O1632" s="433"/>
      <c r="P1632" s="303">
        <f t="shared" si="50"/>
        <v>0</v>
      </c>
      <c r="Q1632" s="303">
        <f t="shared" si="51"/>
        <v>0</v>
      </c>
    </row>
    <row r="1633" spans="1:17" ht="13" x14ac:dyDescent="0.35">
      <c r="A1633" s="84" t="s">
        <v>809</v>
      </c>
      <c r="B1633" s="84" t="s">
        <v>761</v>
      </c>
      <c r="C1633" s="374"/>
      <c r="D1633" s="370"/>
      <c r="E1633" s="370"/>
      <c r="F1633" s="300"/>
      <c r="G1633" s="300"/>
      <c r="H1633" s="305" t="s">
        <v>100</v>
      </c>
      <c r="I1633" s="78"/>
      <c r="J1633" s="79"/>
      <c r="K1633" s="301"/>
      <c r="L1633" s="302"/>
      <c r="M1633" s="80"/>
      <c r="N1633" s="80"/>
      <c r="O1633" s="433"/>
      <c r="P1633" s="303">
        <f t="shared" si="50"/>
        <v>0</v>
      </c>
      <c r="Q1633" s="303">
        <f t="shared" si="51"/>
        <v>0</v>
      </c>
    </row>
    <row r="1634" spans="1:17" x14ac:dyDescent="0.35">
      <c r="A1634" s="84" t="s">
        <v>809</v>
      </c>
      <c r="B1634" s="84" t="s">
        <v>761</v>
      </c>
      <c r="C1634" s="374"/>
      <c r="D1634" s="370"/>
      <c r="E1634" s="370"/>
      <c r="F1634" s="300"/>
      <c r="G1634" s="300"/>
      <c r="H1634" s="306" t="s">
        <v>101</v>
      </c>
      <c r="I1634" s="78"/>
      <c r="J1634" s="79"/>
      <c r="K1634" s="301"/>
      <c r="L1634" s="302"/>
      <c r="M1634" s="80"/>
      <c r="N1634" s="80"/>
      <c r="O1634" s="433"/>
      <c r="P1634" s="303">
        <f t="shared" si="50"/>
        <v>0</v>
      </c>
      <c r="Q1634" s="303">
        <f t="shared" si="51"/>
        <v>0</v>
      </c>
    </row>
    <row r="1635" spans="1:17" ht="13" x14ac:dyDescent="0.35">
      <c r="A1635" s="84" t="s">
        <v>809</v>
      </c>
      <c r="B1635" s="84" t="s">
        <v>761</v>
      </c>
      <c r="C1635" s="374"/>
      <c r="D1635" s="370"/>
      <c r="E1635" s="370"/>
      <c r="F1635" s="300"/>
      <c r="G1635" s="300"/>
      <c r="H1635" s="305" t="s">
        <v>102</v>
      </c>
      <c r="I1635" s="78"/>
      <c r="J1635" s="79"/>
      <c r="K1635" s="301"/>
      <c r="L1635" s="302"/>
      <c r="M1635" s="80"/>
      <c r="N1635" s="80"/>
      <c r="O1635" s="433"/>
      <c r="P1635" s="303">
        <f t="shared" si="50"/>
        <v>0</v>
      </c>
      <c r="Q1635" s="303">
        <f t="shared" si="51"/>
        <v>0</v>
      </c>
    </row>
    <row r="1636" spans="1:17" ht="13" x14ac:dyDescent="0.35">
      <c r="A1636" s="84" t="s">
        <v>809</v>
      </c>
      <c r="B1636" s="84" t="s">
        <v>761</v>
      </c>
      <c r="C1636" s="374"/>
      <c r="D1636" s="370"/>
      <c r="E1636" s="370"/>
      <c r="F1636" s="300"/>
      <c r="G1636" s="300"/>
      <c r="H1636" s="305" t="s">
        <v>765</v>
      </c>
      <c r="I1636" s="78"/>
      <c r="J1636" s="79"/>
      <c r="K1636" s="301"/>
      <c r="L1636" s="302"/>
      <c r="M1636" s="80"/>
      <c r="N1636" s="80"/>
      <c r="O1636" s="433"/>
      <c r="P1636" s="303">
        <f t="shared" si="50"/>
        <v>0</v>
      </c>
      <c r="Q1636" s="303">
        <f t="shared" si="51"/>
        <v>0</v>
      </c>
    </row>
    <row r="1637" spans="1:17" ht="62.5" x14ac:dyDescent="0.35">
      <c r="A1637" s="84" t="s">
        <v>809</v>
      </c>
      <c r="B1637" s="84" t="s">
        <v>761</v>
      </c>
      <c r="C1637" s="374"/>
      <c r="D1637" s="370"/>
      <c r="E1637" s="370"/>
      <c r="F1637" s="300"/>
      <c r="G1637" s="300"/>
      <c r="H1637" s="307" t="s">
        <v>766</v>
      </c>
      <c r="I1637" s="78"/>
      <c r="J1637" s="79"/>
      <c r="K1637" s="301"/>
      <c r="L1637" s="302"/>
      <c r="M1637" s="80"/>
      <c r="N1637" s="80"/>
      <c r="O1637" s="433"/>
      <c r="P1637" s="303">
        <f t="shared" si="50"/>
        <v>0</v>
      </c>
      <c r="Q1637" s="303">
        <f t="shared" si="51"/>
        <v>0</v>
      </c>
    </row>
    <row r="1638" spans="1:17" ht="13" x14ac:dyDescent="0.35">
      <c r="A1638" s="84" t="s">
        <v>809</v>
      </c>
      <c r="B1638" s="84" t="s">
        <v>761</v>
      </c>
      <c r="C1638" s="374"/>
      <c r="D1638" s="370"/>
      <c r="E1638" s="370"/>
      <c r="F1638" s="300"/>
      <c r="G1638" s="300"/>
      <c r="H1638" s="305" t="s">
        <v>767</v>
      </c>
      <c r="I1638" s="78"/>
      <c r="J1638" s="79"/>
      <c r="K1638" s="301"/>
      <c r="L1638" s="302"/>
      <c r="M1638" s="80"/>
      <c r="N1638" s="80"/>
      <c r="O1638" s="433"/>
      <c r="P1638" s="303">
        <f t="shared" si="50"/>
        <v>0</v>
      </c>
      <c r="Q1638" s="303">
        <f t="shared" si="51"/>
        <v>0</v>
      </c>
    </row>
    <row r="1639" spans="1:17" ht="25" x14ac:dyDescent="0.35">
      <c r="A1639" s="84" t="s">
        <v>809</v>
      </c>
      <c r="B1639" s="84" t="s">
        <v>761</v>
      </c>
      <c r="C1639" s="374"/>
      <c r="D1639" s="370"/>
      <c r="E1639" s="370"/>
      <c r="F1639" s="300"/>
      <c r="G1639" s="300"/>
      <c r="H1639" s="307" t="s">
        <v>768</v>
      </c>
      <c r="I1639" s="78"/>
      <c r="J1639" s="79"/>
      <c r="K1639" s="301"/>
      <c r="L1639" s="302"/>
      <c r="M1639" s="80"/>
      <c r="N1639" s="80"/>
      <c r="O1639" s="433"/>
      <c r="P1639" s="303">
        <f t="shared" si="50"/>
        <v>0</v>
      </c>
      <c r="Q1639" s="303">
        <f t="shared" si="51"/>
        <v>0</v>
      </c>
    </row>
    <row r="1640" spans="1:17" ht="13" x14ac:dyDescent="0.35">
      <c r="A1640" s="84" t="s">
        <v>809</v>
      </c>
      <c r="B1640" s="84" t="s">
        <v>761</v>
      </c>
      <c r="C1640" s="374"/>
      <c r="D1640" s="370"/>
      <c r="E1640" s="370"/>
      <c r="F1640" s="300"/>
      <c r="G1640" s="300"/>
      <c r="H1640" s="305" t="s">
        <v>398</v>
      </c>
      <c r="I1640" s="78"/>
      <c r="J1640" s="79"/>
      <c r="K1640" s="301"/>
      <c r="L1640" s="302"/>
      <c r="M1640" s="80"/>
      <c r="N1640" s="80"/>
      <c r="O1640" s="433"/>
      <c r="P1640" s="303">
        <f t="shared" si="50"/>
        <v>0</v>
      </c>
      <c r="Q1640" s="303">
        <f t="shared" si="51"/>
        <v>0</v>
      </c>
    </row>
    <row r="1641" spans="1:17" ht="75" x14ac:dyDescent="0.35">
      <c r="A1641" s="84" t="s">
        <v>809</v>
      </c>
      <c r="B1641" s="84" t="s">
        <v>761</v>
      </c>
      <c r="C1641" s="374"/>
      <c r="D1641" s="370"/>
      <c r="E1641" s="370"/>
      <c r="F1641" s="300"/>
      <c r="G1641" s="300"/>
      <c r="H1641" s="307" t="s">
        <v>769</v>
      </c>
      <c r="I1641" s="78"/>
      <c r="J1641" s="79"/>
      <c r="K1641" s="301"/>
      <c r="L1641" s="302"/>
      <c r="M1641" s="80"/>
      <c r="N1641" s="80"/>
      <c r="O1641" s="433"/>
      <c r="P1641" s="303">
        <f t="shared" si="50"/>
        <v>0</v>
      </c>
      <c r="Q1641" s="303">
        <f t="shared" si="51"/>
        <v>0</v>
      </c>
    </row>
    <row r="1642" spans="1:17" ht="100" x14ac:dyDescent="0.35">
      <c r="A1642" s="84" t="s">
        <v>809</v>
      </c>
      <c r="B1642" s="84" t="s">
        <v>761</v>
      </c>
      <c r="C1642" s="374"/>
      <c r="D1642" s="370"/>
      <c r="E1642" s="370"/>
      <c r="F1642" s="300"/>
      <c r="G1642" s="300"/>
      <c r="H1642" s="307" t="s">
        <v>770</v>
      </c>
      <c r="I1642" s="78"/>
      <c r="J1642" s="79"/>
      <c r="K1642" s="301"/>
      <c r="L1642" s="302"/>
      <c r="M1642" s="80"/>
      <c r="N1642" s="80"/>
      <c r="O1642" s="433"/>
      <c r="P1642" s="303">
        <f t="shared" si="50"/>
        <v>0</v>
      </c>
      <c r="Q1642" s="303">
        <f t="shared" si="51"/>
        <v>0</v>
      </c>
    </row>
    <row r="1643" spans="1:17" ht="25" x14ac:dyDescent="0.35">
      <c r="A1643" s="84" t="s">
        <v>809</v>
      </c>
      <c r="B1643" s="84" t="s">
        <v>761</v>
      </c>
      <c r="C1643" s="374"/>
      <c r="D1643" s="370"/>
      <c r="E1643" s="370"/>
      <c r="F1643" s="300"/>
      <c r="G1643" s="300"/>
      <c r="H1643" s="307" t="s">
        <v>771</v>
      </c>
      <c r="I1643" s="78"/>
      <c r="J1643" s="79"/>
      <c r="K1643" s="301"/>
      <c r="L1643" s="302"/>
      <c r="M1643" s="80"/>
      <c r="N1643" s="80"/>
      <c r="O1643" s="433"/>
      <c r="P1643" s="303">
        <f t="shared" si="50"/>
        <v>0</v>
      </c>
      <c r="Q1643" s="303">
        <f t="shared" si="51"/>
        <v>0</v>
      </c>
    </row>
    <row r="1644" spans="1:17" ht="25" x14ac:dyDescent="0.35">
      <c r="A1644" s="84" t="s">
        <v>809</v>
      </c>
      <c r="B1644" s="84" t="s">
        <v>761</v>
      </c>
      <c r="C1644" s="374"/>
      <c r="D1644" s="370"/>
      <c r="E1644" s="370"/>
      <c r="F1644" s="300"/>
      <c r="G1644" s="300"/>
      <c r="H1644" s="307" t="s">
        <v>772</v>
      </c>
      <c r="I1644" s="78"/>
      <c r="J1644" s="79"/>
      <c r="K1644" s="301"/>
      <c r="L1644" s="302"/>
      <c r="M1644" s="80"/>
      <c r="N1644" s="80"/>
      <c r="O1644" s="433"/>
      <c r="P1644" s="303">
        <f t="shared" si="50"/>
        <v>0</v>
      </c>
      <c r="Q1644" s="303">
        <f t="shared" si="51"/>
        <v>0</v>
      </c>
    </row>
    <row r="1645" spans="1:17" ht="37.5" x14ac:dyDescent="0.35">
      <c r="A1645" s="84" t="s">
        <v>809</v>
      </c>
      <c r="B1645" s="84" t="s">
        <v>761</v>
      </c>
      <c r="C1645" s="374"/>
      <c r="D1645" s="370"/>
      <c r="E1645" s="370"/>
      <c r="F1645" s="300"/>
      <c r="G1645" s="300"/>
      <c r="H1645" s="307" t="s">
        <v>773</v>
      </c>
      <c r="I1645" s="78"/>
      <c r="J1645" s="79"/>
      <c r="K1645" s="301"/>
      <c r="L1645" s="302"/>
      <c r="M1645" s="80"/>
      <c r="N1645" s="80"/>
      <c r="O1645" s="433"/>
      <c r="P1645" s="303">
        <f t="shared" si="50"/>
        <v>0</v>
      </c>
      <c r="Q1645" s="303">
        <f t="shared" si="51"/>
        <v>0</v>
      </c>
    </row>
    <row r="1646" spans="1:17" ht="37.5" x14ac:dyDescent="0.35">
      <c r="A1646" s="84" t="s">
        <v>809</v>
      </c>
      <c r="B1646" s="84" t="s">
        <v>761</v>
      </c>
      <c r="C1646" s="374"/>
      <c r="D1646" s="370"/>
      <c r="E1646" s="370"/>
      <c r="F1646" s="300"/>
      <c r="G1646" s="300"/>
      <c r="H1646" s="307" t="s">
        <v>774</v>
      </c>
      <c r="I1646" s="78"/>
      <c r="J1646" s="308"/>
      <c r="K1646" s="301"/>
      <c r="L1646" s="302"/>
      <c r="M1646" s="309"/>
      <c r="N1646" s="309"/>
      <c r="O1646" s="433"/>
      <c r="P1646" s="303">
        <f t="shared" si="50"/>
        <v>0</v>
      </c>
      <c r="Q1646" s="303">
        <f t="shared" si="51"/>
        <v>0</v>
      </c>
    </row>
    <row r="1647" spans="1:17" ht="50" x14ac:dyDescent="0.35">
      <c r="A1647" s="84" t="s">
        <v>809</v>
      </c>
      <c r="B1647" s="84" t="s">
        <v>761</v>
      </c>
      <c r="C1647" s="374"/>
      <c r="D1647" s="370"/>
      <c r="E1647" s="370"/>
      <c r="F1647" s="300"/>
      <c r="G1647" s="300"/>
      <c r="H1647" s="307" t="s">
        <v>775</v>
      </c>
      <c r="I1647" s="78"/>
      <c r="J1647" s="79"/>
      <c r="K1647" s="301"/>
      <c r="L1647" s="302"/>
      <c r="M1647" s="80"/>
      <c r="N1647" s="80"/>
      <c r="O1647" s="433"/>
      <c r="P1647" s="303">
        <f t="shared" si="50"/>
        <v>0</v>
      </c>
      <c r="Q1647" s="303">
        <f t="shared" si="51"/>
        <v>0</v>
      </c>
    </row>
    <row r="1648" spans="1:17" ht="13" x14ac:dyDescent="0.35">
      <c r="A1648" s="84" t="s">
        <v>809</v>
      </c>
      <c r="B1648" s="84" t="s">
        <v>761</v>
      </c>
      <c r="C1648" s="374"/>
      <c r="D1648" s="370"/>
      <c r="E1648" s="370"/>
      <c r="F1648" s="300"/>
      <c r="G1648" s="300"/>
      <c r="H1648" s="305" t="s">
        <v>776</v>
      </c>
      <c r="I1648" s="78"/>
      <c r="J1648" s="79"/>
      <c r="K1648" s="301"/>
      <c r="L1648" s="302"/>
      <c r="M1648" s="80"/>
      <c r="N1648" s="80"/>
      <c r="O1648" s="433"/>
      <c r="P1648" s="303">
        <f t="shared" si="50"/>
        <v>0</v>
      </c>
      <c r="Q1648" s="303">
        <f t="shared" si="51"/>
        <v>0</v>
      </c>
    </row>
    <row r="1649" spans="1:17" ht="26" x14ac:dyDescent="0.35">
      <c r="A1649" s="84" t="s">
        <v>809</v>
      </c>
      <c r="B1649" s="84" t="s">
        <v>761</v>
      </c>
      <c r="C1649" s="374"/>
      <c r="D1649" s="370"/>
      <c r="E1649" s="370"/>
      <c r="F1649" s="300"/>
      <c r="G1649" s="300"/>
      <c r="H1649" s="310" t="s">
        <v>812</v>
      </c>
      <c r="I1649" s="78"/>
      <c r="J1649" s="79"/>
      <c r="K1649" s="301"/>
      <c r="L1649" s="302"/>
      <c r="M1649" s="80"/>
      <c r="N1649" s="80"/>
      <c r="O1649" s="433"/>
      <c r="P1649" s="303">
        <f t="shared" si="50"/>
        <v>0</v>
      </c>
      <c r="Q1649" s="303">
        <f t="shared" si="51"/>
        <v>0</v>
      </c>
    </row>
    <row r="1650" spans="1:17" ht="25" x14ac:dyDescent="0.35">
      <c r="A1650" s="84" t="s">
        <v>809</v>
      </c>
      <c r="B1650" s="84" t="s">
        <v>761</v>
      </c>
      <c r="C1650" s="374"/>
      <c r="D1650" s="370"/>
      <c r="E1650" s="370"/>
      <c r="F1650" s="300" t="s">
        <v>20</v>
      </c>
      <c r="G1650" s="300"/>
      <c r="H1650" s="307" t="s">
        <v>813</v>
      </c>
      <c r="I1650" s="78" t="s">
        <v>175</v>
      </c>
      <c r="J1650" s="79">
        <v>18</v>
      </c>
      <c r="K1650" s="311">
        <v>300</v>
      </c>
      <c r="L1650" s="302">
        <f>J1650*K1650</f>
        <v>5400</v>
      </c>
      <c r="M1650" s="80">
        <v>18</v>
      </c>
      <c r="N1650" s="80">
        <v>18</v>
      </c>
      <c r="O1650" s="434">
        <v>300</v>
      </c>
      <c r="P1650" s="303">
        <f t="shared" si="50"/>
        <v>5400</v>
      </c>
      <c r="Q1650" s="303">
        <f t="shared" si="51"/>
        <v>5400</v>
      </c>
    </row>
    <row r="1651" spans="1:17" ht="26" x14ac:dyDescent="0.35">
      <c r="A1651" s="84" t="s">
        <v>809</v>
      </c>
      <c r="B1651" s="84" t="s">
        <v>761</v>
      </c>
      <c r="C1651" s="374"/>
      <c r="D1651" s="370"/>
      <c r="E1651" s="370"/>
      <c r="F1651" s="300"/>
      <c r="G1651" s="300"/>
      <c r="H1651" s="310" t="s">
        <v>814</v>
      </c>
      <c r="I1651" s="78"/>
      <c r="J1651" s="79"/>
      <c r="K1651" s="301"/>
      <c r="L1651" s="302"/>
      <c r="M1651" s="80"/>
      <c r="N1651" s="80"/>
      <c r="O1651" s="433"/>
      <c r="P1651" s="303">
        <f t="shared" si="50"/>
        <v>0</v>
      </c>
      <c r="Q1651" s="303">
        <f t="shared" si="51"/>
        <v>0</v>
      </c>
    </row>
    <row r="1652" spans="1:17" x14ac:dyDescent="0.35">
      <c r="A1652" s="84" t="s">
        <v>809</v>
      </c>
      <c r="B1652" s="84" t="s">
        <v>761</v>
      </c>
      <c r="C1652" s="374"/>
      <c r="D1652" s="370"/>
      <c r="E1652" s="370"/>
      <c r="F1652" s="300" t="s">
        <v>26</v>
      </c>
      <c r="G1652" s="300"/>
      <c r="H1652" s="307" t="s">
        <v>815</v>
      </c>
      <c r="I1652" s="78" t="s">
        <v>245</v>
      </c>
      <c r="J1652" s="79">
        <f>1104</f>
        <v>1104</v>
      </c>
      <c r="K1652" s="311">
        <v>25</v>
      </c>
      <c r="L1652" s="302">
        <f>J1652*K1652</f>
        <v>27600</v>
      </c>
      <c r="M1652" s="80">
        <f>1104</f>
        <v>1104</v>
      </c>
      <c r="N1652" s="80">
        <f>1104</f>
        <v>1104</v>
      </c>
      <c r="O1652" s="434">
        <v>25</v>
      </c>
      <c r="P1652" s="303">
        <f t="shared" si="50"/>
        <v>27600</v>
      </c>
      <c r="Q1652" s="303">
        <f t="shared" si="51"/>
        <v>27600</v>
      </c>
    </row>
    <row r="1653" spans="1:17" ht="25" x14ac:dyDescent="0.35">
      <c r="A1653" s="84" t="s">
        <v>809</v>
      </c>
      <c r="B1653" s="84" t="s">
        <v>761</v>
      </c>
      <c r="C1653" s="374"/>
      <c r="D1653" s="370"/>
      <c r="E1653" s="370"/>
      <c r="F1653" s="300" t="s">
        <v>29</v>
      </c>
      <c r="G1653" s="300"/>
      <c r="H1653" s="307" t="s">
        <v>816</v>
      </c>
      <c r="I1653" s="78" t="s">
        <v>245</v>
      </c>
      <c r="J1653" s="79">
        <v>394</v>
      </c>
      <c r="K1653" s="311">
        <v>25</v>
      </c>
      <c r="L1653" s="302">
        <f>J1653*K1653</f>
        <v>9850</v>
      </c>
      <c r="M1653" s="80">
        <v>394</v>
      </c>
      <c r="N1653" s="80">
        <v>394</v>
      </c>
      <c r="O1653" s="434">
        <v>25</v>
      </c>
      <c r="P1653" s="303">
        <f t="shared" si="50"/>
        <v>9850</v>
      </c>
      <c r="Q1653" s="303">
        <f t="shared" si="51"/>
        <v>9850</v>
      </c>
    </row>
    <row r="1654" spans="1:17" x14ac:dyDescent="0.35">
      <c r="A1654" s="84" t="s">
        <v>809</v>
      </c>
      <c r="B1654" s="84" t="s">
        <v>761</v>
      </c>
      <c r="C1654" s="374"/>
      <c r="D1654" s="370"/>
      <c r="E1654" s="370"/>
      <c r="F1654" s="300" t="s">
        <v>32</v>
      </c>
      <c r="G1654" s="300"/>
      <c r="H1654" s="307" t="s">
        <v>817</v>
      </c>
      <c r="I1654" s="44" t="s">
        <v>186</v>
      </c>
      <c r="J1654" s="312">
        <v>634</v>
      </c>
      <c r="K1654" s="314">
        <v>20</v>
      </c>
      <c r="L1654" s="302">
        <f>J1654*K1654</f>
        <v>12680</v>
      </c>
      <c r="M1654" s="313">
        <v>634</v>
      </c>
      <c r="N1654" s="313">
        <v>634</v>
      </c>
      <c r="O1654" s="435">
        <v>20</v>
      </c>
      <c r="P1654" s="303">
        <f t="shared" si="50"/>
        <v>12680</v>
      </c>
      <c r="Q1654" s="303">
        <f t="shared" si="51"/>
        <v>12680</v>
      </c>
    </row>
    <row r="1655" spans="1:17" ht="26" x14ac:dyDescent="0.35">
      <c r="A1655" s="84" t="s">
        <v>809</v>
      </c>
      <c r="B1655" s="84" t="s">
        <v>761</v>
      </c>
      <c r="C1655" s="374"/>
      <c r="D1655" s="370"/>
      <c r="E1655" s="370"/>
      <c r="F1655" s="300"/>
      <c r="G1655" s="300"/>
      <c r="H1655" s="310" t="s">
        <v>818</v>
      </c>
      <c r="I1655" s="44"/>
      <c r="J1655" s="315"/>
      <c r="K1655" s="317"/>
      <c r="L1655" s="318"/>
      <c r="M1655" s="316"/>
      <c r="N1655" s="316"/>
      <c r="O1655" s="435"/>
      <c r="P1655" s="319">
        <f t="shared" si="50"/>
        <v>0</v>
      </c>
      <c r="Q1655" s="319">
        <f t="shared" si="51"/>
        <v>0</v>
      </c>
    </row>
    <row r="1656" spans="1:17" x14ac:dyDescent="0.35">
      <c r="A1656" s="84" t="s">
        <v>809</v>
      </c>
      <c r="B1656" s="84" t="s">
        <v>761</v>
      </c>
      <c r="C1656" s="374"/>
      <c r="D1656" s="370"/>
      <c r="E1656" s="370"/>
      <c r="F1656" s="300" t="s">
        <v>36</v>
      </c>
      <c r="G1656" s="300"/>
      <c r="H1656" s="306" t="s">
        <v>819</v>
      </c>
      <c r="I1656" s="44" t="s">
        <v>596</v>
      </c>
      <c r="J1656" s="315">
        <v>30</v>
      </c>
      <c r="K1656" s="317">
        <v>350</v>
      </c>
      <c r="L1656" s="318">
        <f>J1656*K1656</f>
        <v>10500</v>
      </c>
      <c r="M1656" s="316">
        <v>30</v>
      </c>
      <c r="N1656" s="316">
        <v>30</v>
      </c>
      <c r="O1656" s="435">
        <v>350</v>
      </c>
      <c r="P1656" s="319">
        <f t="shared" si="50"/>
        <v>10500</v>
      </c>
      <c r="Q1656" s="319">
        <f t="shared" si="51"/>
        <v>10500</v>
      </c>
    </row>
    <row r="1657" spans="1:17" ht="39" x14ac:dyDescent="0.35">
      <c r="A1657" s="84" t="s">
        <v>809</v>
      </c>
      <c r="B1657" s="84" t="s">
        <v>761</v>
      </c>
      <c r="C1657" s="374"/>
      <c r="D1657" s="370"/>
      <c r="E1657" s="370"/>
      <c r="F1657" s="300"/>
      <c r="G1657" s="300"/>
      <c r="H1657" s="310" t="s">
        <v>820</v>
      </c>
      <c r="I1657" s="44"/>
      <c r="J1657" s="312"/>
      <c r="K1657" s="317"/>
      <c r="L1657" s="281"/>
      <c r="M1657" s="313"/>
      <c r="N1657" s="313"/>
      <c r="O1657" s="435"/>
      <c r="P1657" s="282">
        <f t="shared" si="50"/>
        <v>0</v>
      </c>
      <c r="Q1657" s="282">
        <f t="shared" si="51"/>
        <v>0</v>
      </c>
    </row>
    <row r="1658" spans="1:17" x14ac:dyDescent="0.35">
      <c r="A1658" s="84" t="s">
        <v>809</v>
      </c>
      <c r="B1658" s="84" t="s">
        <v>761</v>
      </c>
      <c r="C1658" s="374"/>
      <c r="D1658" s="370"/>
      <c r="E1658" s="370"/>
      <c r="F1658" s="300" t="s">
        <v>39</v>
      </c>
      <c r="G1658" s="300"/>
      <c r="H1658" s="320" t="s">
        <v>780</v>
      </c>
      <c r="I1658" s="44" t="s">
        <v>245</v>
      </c>
      <c r="J1658" s="315">
        <v>1470</v>
      </c>
      <c r="K1658" s="317">
        <v>45</v>
      </c>
      <c r="L1658" s="318">
        <f>J1658*K1658</f>
        <v>66150</v>
      </c>
      <c r="M1658" s="316">
        <v>1470</v>
      </c>
      <c r="N1658" s="316">
        <v>1470</v>
      </c>
      <c r="O1658" s="435">
        <v>45</v>
      </c>
      <c r="P1658" s="319">
        <f t="shared" si="50"/>
        <v>66150</v>
      </c>
      <c r="Q1658" s="319">
        <f t="shared" si="51"/>
        <v>66150</v>
      </c>
    </row>
    <row r="1659" spans="1:17" ht="13" x14ac:dyDescent="0.35">
      <c r="A1659" s="84" t="s">
        <v>809</v>
      </c>
      <c r="B1659" s="84" t="s">
        <v>761</v>
      </c>
      <c r="C1659" s="374"/>
      <c r="D1659" s="370"/>
      <c r="E1659" s="370"/>
      <c r="F1659" s="300"/>
      <c r="G1659" s="300"/>
      <c r="H1659" s="310" t="s">
        <v>821</v>
      </c>
      <c r="I1659" s="78"/>
      <c r="J1659" s="79"/>
      <c r="K1659" s="311"/>
      <c r="L1659" s="302"/>
      <c r="M1659" s="80"/>
      <c r="N1659" s="80"/>
      <c r="O1659" s="434"/>
      <c r="P1659" s="303">
        <f t="shared" si="50"/>
        <v>0</v>
      </c>
      <c r="Q1659" s="303">
        <f t="shared" si="51"/>
        <v>0</v>
      </c>
    </row>
    <row r="1660" spans="1:17" x14ac:dyDescent="0.35">
      <c r="A1660" s="84" t="s">
        <v>809</v>
      </c>
      <c r="B1660" s="84" t="s">
        <v>761</v>
      </c>
      <c r="C1660" s="374"/>
      <c r="D1660" s="370"/>
      <c r="E1660" s="370"/>
      <c r="F1660" s="300" t="s">
        <v>42</v>
      </c>
      <c r="G1660" s="300"/>
      <c r="H1660" s="307" t="s">
        <v>822</v>
      </c>
      <c r="I1660" s="44" t="s">
        <v>245</v>
      </c>
      <c r="J1660" s="315">
        <v>3742</v>
      </c>
      <c r="K1660" s="317">
        <v>20</v>
      </c>
      <c r="L1660" s="318">
        <f>J1660*K1660</f>
        <v>74840</v>
      </c>
      <c r="M1660" s="316">
        <v>3742</v>
      </c>
      <c r="N1660" s="316">
        <v>3742</v>
      </c>
      <c r="O1660" s="435">
        <v>20</v>
      </c>
      <c r="P1660" s="319">
        <f t="shared" si="50"/>
        <v>74840</v>
      </c>
      <c r="Q1660" s="319">
        <f t="shared" si="51"/>
        <v>74840</v>
      </c>
    </row>
    <row r="1661" spans="1:17" ht="13" x14ac:dyDescent="0.35">
      <c r="A1661" s="84" t="s">
        <v>809</v>
      </c>
      <c r="B1661" s="84" t="s">
        <v>761</v>
      </c>
      <c r="C1661" s="374"/>
      <c r="D1661" s="370"/>
      <c r="E1661" s="370"/>
      <c r="F1661" s="300"/>
      <c r="G1661" s="300"/>
      <c r="H1661" s="305" t="s">
        <v>823</v>
      </c>
      <c r="I1661" s="44"/>
      <c r="J1661" s="321"/>
      <c r="K1661" s="317"/>
      <c r="L1661" s="318"/>
      <c r="M1661" s="313"/>
      <c r="N1661" s="313"/>
      <c r="O1661" s="435"/>
      <c r="P1661" s="319">
        <f t="shared" si="50"/>
        <v>0</v>
      </c>
      <c r="Q1661" s="319">
        <f t="shared" si="51"/>
        <v>0</v>
      </c>
    </row>
    <row r="1662" spans="1:17" ht="14.5" x14ac:dyDescent="0.35">
      <c r="A1662" s="84" t="s">
        <v>809</v>
      </c>
      <c r="B1662" s="84" t="s">
        <v>761</v>
      </c>
      <c r="C1662" s="374"/>
      <c r="D1662" s="370"/>
      <c r="E1662" s="370"/>
      <c r="F1662" s="300" t="s">
        <v>45</v>
      </c>
      <c r="G1662" s="300"/>
      <c r="H1662" s="307" t="s">
        <v>824</v>
      </c>
      <c r="I1662" s="44" t="s">
        <v>110</v>
      </c>
      <c r="J1662" s="321">
        <v>1341</v>
      </c>
      <c r="K1662" s="317">
        <v>65</v>
      </c>
      <c r="L1662" s="318">
        <f>J1662*K1662</f>
        <v>87165</v>
      </c>
      <c r="M1662" s="313">
        <v>1341</v>
      </c>
      <c r="N1662" s="313">
        <v>1341</v>
      </c>
      <c r="O1662" s="435">
        <v>65</v>
      </c>
      <c r="P1662" s="319">
        <f t="shared" si="50"/>
        <v>87165</v>
      </c>
      <c r="Q1662" s="319">
        <f t="shared" si="51"/>
        <v>87165</v>
      </c>
    </row>
    <row r="1663" spans="1:17" ht="13" x14ac:dyDescent="0.35">
      <c r="A1663" s="84" t="s">
        <v>809</v>
      </c>
      <c r="B1663" s="10" t="s">
        <v>825</v>
      </c>
      <c r="C1663" s="284"/>
      <c r="D1663" s="365"/>
      <c r="E1663" s="365"/>
      <c r="F1663" s="283"/>
      <c r="G1663" s="283"/>
      <c r="H1663" s="292" t="s">
        <v>810</v>
      </c>
      <c r="I1663" s="44"/>
      <c r="J1663" s="58"/>
      <c r="K1663" s="289"/>
      <c r="L1663" s="281"/>
      <c r="M1663" s="59"/>
      <c r="N1663" s="59"/>
      <c r="O1663" s="431"/>
      <c r="P1663" s="282">
        <f t="shared" si="50"/>
        <v>0</v>
      </c>
      <c r="Q1663" s="282">
        <f t="shared" si="51"/>
        <v>0</v>
      </c>
    </row>
    <row r="1664" spans="1:17" ht="13" x14ac:dyDescent="0.35">
      <c r="A1664" s="84" t="s">
        <v>809</v>
      </c>
      <c r="B1664" s="10" t="s">
        <v>825</v>
      </c>
      <c r="C1664" s="284"/>
      <c r="D1664" s="365"/>
      <c r="E1664" s="365"/>
      <c r="F1664" s="283"/>
      <c r="G1664" s="283"/>
      <c r="H1664" s="292" t="s">
        <v>811</v>
      </c>
      <c r="I1664" s="44"/>
      <c r="J1664" s="58"/>
      <c r="K1664" s="289"/>
      <c r="L1664" s="281"/>
      <c r="M1664" s="59"/>
      <c r="N1664" s="59"/>
      <c r="O1664" s="431"/>
      <c r="P1664" s="282">
        <f t="shared" si="50"/>
        <v>0</v>
      </c>
      <c r="Q1664" s="282">
        <f t="shared" si="51"/>
        <v>0</v>
      </c>
    </row>
    <row r="1665" spans="1:17" ht="13" x14ac:dyDescent="0.35">
      <c r="A1665" s="84" t="s">
        <v>809</v>
      </c>
      <c r="B1665" s="10" t="s">
        <v>825</v>
      </c>
      <c r="C1665" s="284"/>
      <c r="D1665" s="365"/>
      <c r="E1665" s="365"/>
      <c r="F1665" s="283"/>
      <c r="G1665" s="283"/>
      <c r="H1665" s="292" t="s">
        <v>137</v>
      </c>
      <c r="I1665" s="44"/>
      <c r="J1665" s="58"/>
      <c r="K1665" s="289"/>
      <c r="L1665" s="281"/>
      <c r="M1665" s="59"/>
      <c r="N1665" s="59"/>
      <c r="O1665" s="431"/>
      <c r="P1665" s="282">
        <f t="shared" si="50"/>
        <v>0</v>
      </c>
      <c r="Q1665" s="282">
        <f t="shared" si="51"/>
        <v>0</v>
      </c>
    </row>
    <row r="1666" spans="1:17" ht="13" x14ac:dyDescent="0.35">
      <c r="A1666" s="84" t="s">
        <v>809</v>
      </c>
      <c r="B1666" s="10" t="s">
        <v>825</v>
      </c>
      <c r="C1666" s="284"/>
      <c r="D1666" s="365"/>
      <c r="E1666" s="365"/>
      <c r="F1666" s="283"/>
      <c r="G1666" s="283"/>
      <c r="H1666" s="292" t="s">
        <v>237</v>
      </c>
      <c r="I1666" s="44"/>
      <c r="J1666" s="58"/>
      <c r="K1666" s="289"/>
      <c r="L1666" s="281"/>
      <c r="M1666" s="59"/>
      <c r="N1666" s="59"/>
      <c r="O1666" s="431"/>
      <c r="P1666" s="282">
        <f t="shared" si="50"/>
        <v>0</v>
      </c>
      <c r="Q1666" s="282">
        <f t="shared" si="51"/>
        <v>0</v>
      </c>
    </row>
    <row r="1667" spans="1:17" ht="13" x14ac:dyDescent="0.35">
      <c r="A1667" s="84" t="s">
        <v>809</v>
      </c>
      <c r="B1667" s="10" t="s">
        <v>825</v>
      </c>
      <c r="C1667" s="284"/>
      <c r="D1667" s="365"/>
      <c r="E1667" s="365"/>
      <c r="F1667" s="286"/>
      <c r="G1667" s="286"/>
      <c r="H1667" s="294" t="s">
        <v>100</v>
      </c>
      <c r="I1667" s="51"/>
      <c r="J1667" s="72"/>
      <c r="K1667" s="322"/>
      <c r="L1667" s="290"/>
      <c r="M1667" s="73"/>
      <c r="N1667" s="73"/>
      <c r="O1667" s="436"/>
      <c r="P1667" s="291">
        <f t="shared" si="50"/>
        <v>0</v>
      </c>
      <c r="Q1667" s="291">
        <f t="shared" si="51"/>
        <v>0</v>
      </c>
    </row>
    <row r="1668" spans="1:17" ht="13" x14ac:dyDescent="0.35">
      <c r="A1668" s="84" t="s">
        <v>809</v>
      </c>
      <c r="B1668" s="10" t="s">
        <v>825</v>
      </c>
      <c r="C1668" s="284"/>
      <c r="D1668" s="365"/>
      <c r="E1668" s="365"/>
      <c r="F1668" s="286"/>
      <c r="G1668" s="286"/>
      <c r="H1668" s="298" t="s">
        <v>101</v>
      </c>
      <c r="I1668" s="51"/>
      <c r="J1668" s="74"/>
      <c r="K1668" s="322"/>
      <c r="L1668" s="290"/>
      <c r="M1668" s="75"/>
      <c r="N1668" s="75"/>
      <c r="O1668" s="436"/>
      <c r="P1668" s="291">
        <f t="shared" si="50"/>
        <v>0</v>
      </c>
      <c r="Q1668" s="291">
        <f t="shared" si="51"/>
        <v>0</v>
      </c>
    </row>
    <row r="1669" spans="1:17" ht="13" x14ac:dyDescent="0.35">
      <c r="A1669" s="84" t="s">
        <v>809</v>
      </c>
      <c r="B1669" s="10" t="s">
        <v>825</v>
      </c>
      <c r="C1669" s="284"/>
      <c r="D1669" s="365"/>
      <c r="E1669" s="365"/>
      <c r="F1669" s="283"/>
      <c r="G1669" s="283"/>
      <c r="H1669" s="294" t="s">
        <v>238</v>
      </c>
      <c r="I1669" s="44"/>
      <c r="J1669" s="58"/>
      <c r="K1669" s="289"/>
      <c r="L1669" s="281"/>
      <c r="M1669" s="59"/>
      <c r="N1669" s="59"/>
      <c r="O1669" s="431"/>
      <c r="P1669" s="282">
        <f t="shared" si="50"/>
        <v>0</v>
      </c>
      <c r="Q1669" s="282">
        <f t="shared" si="51"/>
        <v>0</v>
      </c>
    </row>
    <row r="1670" spans="1:17" ht="52" x14ac:dyDescent="0.35">
      <c r="A1670" s="84" t="s">
        <v>809</v>
      </c>
      <c r="B1670" s="10" t="s">
        <v>825</v>
      </c>
      <c r="C1670" s="284"/>
      <c r="D1670" s="365"/>
      <c r="E1670" s="365"/>
      <c r="F1670" s="283"/>
      <c r="G1670" s="283"/>
      <c r="H1670" s="294" t="s">
        <v>239</v>
      </c>
      <c r="I1670" s="44"/>
      <c r="J1670" s="45"/>
      <c r="K1670" s="289"/>
      <c r="L1670" s="281"/>
      <c r="M1670" s="46"/>
      <c r="N1670" s="46"/>
      <c r="O1670" s="431"/>
      <c r="P1670" s="282">
        <f t="shared" si="50"/>
        <v>0</v>
      </c>
      <c r="Q1670" s="282">
        <f t="shared" si="51"/>
        <v>0</v>
      </c>
    </row>
    <row r="1671" spans="1:17" ht="25" x14ac:dyDescent="0.35">
      <c r="A1671" s="84" t="s">
        <v>809</v>
      </c>
      <c r="B1671" s="10" t="s">
        <v>825</v>
      </c>
      <c r="C1671" s="284"/>
      <c r="D1671" s="365"/>
      <c r="E1671" s="365"/>
      <c r="F1671" s="283" t="s">
        <v>20</v>
      </c>
      <c r="G1671" s="283"/>
      <c r="H1671" s="298" t="s">
        <v>240</v>
      </c>
      <c r="I1671" s="44" t="s">
        <v>110</v>
      </c>
      <c r="J1671" s="58">
        <v>1104</v>
      </c>
      <c r="K1671" s="289">
        <v>395</v>
      </c>
      <c r="L1671" s="281">
        <f>J1671*K1671</f>
        <v>436080</v>
      </c>
      <c r="M1671" s="59">
        <v>1104</v>
      </c>
      <c r="N1671" s="59">
        <v>1104</v>
      </c>
      <c r="O1671" s="431">
        <v>395</v>
      </c>
      <c r="P1671" s="282">
        <f t="shared" si="50"/>
        <v>436080</v>
      </c>
      <c r="Q1671" s="282">
        <f t="shared" si="51"/>
        <v>436080</v>
      </c>
    </row>
    <row r="1672" spans="1:17" ht="13" x14ac:dyDescent="0.35">
      <c r="A1672" s="84" t="s">
        <v>809</v>
      </c>
      <c r="B1672" s="10" t="s">
        <v>825</v>
      </c>
      <c r="C1672" s="284"/>
      <c r="D1672" s="365"/>
      <c r="E1672" s="365"/>
      <c r="F1672" s="283"/>
      <c r="G1672" s="283"/>
      <c r="H1672" s="294" t="s">
        <v>241</v>
      </c>
      <c r="I1672" s="44"/>
      <c r="J1672" s="58"/>
      <c r="K1672" s="289"/>
      <c r="L1672" s="281"/>
      <c r="M1672" s="59"/>
      <c r="N1672" s="59"/>
      <c r="O1672" s="431"/>
      <c r="P1672" s="282">
        <f t="shared" si="50"/>
        <v>0</v>
      </c>
      <c r="Q1672" s="282">
        <f t="shared" si="51"/>
        <v>0</v>
      </c>
    </row>
    <row r="1673" spans="1:17" x14ac:dyDescent="0.35">
      <c r="A1673" s="84" t="s">
        <v>809</v>
      </c>
      <c r="B1673" s="10" t="s">
        <v>825</v>
      </c>
      <c r="C1673" s="284"/>
      <c r="D1673" s="365"/>
      <c r="E1673" s="365"/>
      <c r="F1673" s="283" t="s">
        <v>26</v>
      </c>
      <c r="G1673" s="283"/>
      <c r="H1673" s="298" t="s">
        <v>242</v>
      </c>
      <c r="I1673" s="44" t="s">
        <v>186</v>
      </c>
      <c r="J1673" s="85">
        <f>47*5</f>
        <v>235</v>
      </c>
      <c r="K1673" s="289">
        <v>185</v>
      </c>
      <c r="L1673" s="281">
        <f>K1673*J1673</f>
        <v>43475</v>
      </c>
      <c r="M1673" s="86">
        <f>47*5</f>
        <v>235</v>
      </c>
      <c r="N1673" s="86">
        <f>47*5</f>
        <v>235</v>
      </c>
      <c r="O1673" s="431">
        <v>185</v>
      </c>
      <c r="P1673" s="282">
        <f t="shared" si="50"/>
        <v>43475</v>
      </c>
      <c r="Q1673" s="282">
        <f t="shared" si="51"/>
        <v>43475</v>
      </c>
    </row>
    <row r="1674" spans="1:17" ht="13" x14ac:dyDescent="0.35">
      <c r="A1674" s="84" t="s">
        <v>809</v>
      </c>
      <c r="B1674" s="10" t="s">
        <v>825</v>
      </c>
      <c r="C1674" s="374"/>
      <c r="D1674" s="370"/>
      <c r="E1674" s="370"/>
      <c r="F1674" s="323"/>
      <c r="G1674" s="300"/>
      <c r="H1674" s="305" t="s">
        <v>243</v>
      </c>
      <c r="I1674" s="78"/>
      <c r="J1674" s="79"/>
      <c r="K1674" s="301"/>
      <c r="L1674" s="302"/>
      <c r="M1674" s="80"/>
      <c r="N1674" s="80"/>
      <c r="O1674" s="433"/>
      <c r="P1674" s="303">
        <f t="shared" ref="P1674:P1737" si="52">O1674*M1674</f>
        <v>0</v>
      </c>
      <c r="Q1674" s="303">
        <f t="shared" ref="Q1674:Q1737" si="53">O1674*N1674</f>
        <v>0</v>
      </c>
    </row>
    <row r="1675" spans="1:17" ht="25" x14ac:dyDescent="0.35">
      <c r="A1675" s="84" t="s">
        <v>809</v>
      </c>
      <c r="B1675" s="10" t="s">
        <v>825</v>
      </c>
      <c r="C1675" s="374"/>
      <c r="D1675" s="370"/>
      <c r="E1675" s="370"/>
      <c r="F1675" s="283" t="s">
        <v>29</v>
      </c>
      <c r="G1675" s="300"/>
      <c r="H1675" s="307" t="s">
        <v>826</v>
      </c>
      <c r="I1675" s="78" t="s">
        <v>245</v>
      </c>
      <c r="J1675" s="79">
        <v>1104</v>
      </c>
      <c r="K1675" s="301">
        <v>135</v>
      </c>
      <c r="L1675" s="302">
        <f>J1675*K1675</f>
        <v>149040</v>
      </c>
      <c r="M1675" s="80">
        <v>1104</v>
      </c>
      <c r="N1675" s="80">
        <v>1104</v>
      </c>
      <c r="O1675" s="433">
        <v>135</v>
      </c>
      <c r="P1675" s="303">
        <f t="shared" si="52"/>
        <v>149040</v>
      </c>
      <c r="Q1675" s="303">
        <f t="shared" si="53"/>
        <v>149040</v>
      </c>
    </row>
    <row r="1676" spans="1:17" ht="13" x14ac:dyDescent="0.35">
      <c r="A1676" s="84" t="s">
        <v>809</v>
      </c>
      <c r="B1676" s="10" t="s">
        <v>827</v>
      </c>
      <c r="C1676" s="284"/>
      <c r="D1676" s="365"/>
      <c r="E1676" s="365"/>
      <c r="F1676" s="283"/>
      <c r="G1676" s="283"/>
      <c r="H1676" s="292" t="s">
        <v>810</v>
      </c>
      <c r="I1676" s="44"/>
      <c r="J1676" s="45"/>
      <c r="K1676" s="289"/>
      <c r="L1676" s="281"/>
      <c r="M1676" s="46"/>
      <c r="N1676" s="46"/>
      <c r="O1676" s="431"/>
      <c r="P1676" s="282">
        <f t="shared" si="52"/>
        <v>0</v>
      </c>
      <c r="Q1676" s="282">
        <f t="shared" si="53"/>
        <v>0</v>
      </c>
    </row>
    <row r="1677" spans="1:17" ht="13" x14ac:dyDescent="0.35">
      <c r="A1677" s="84" t="s">
        <v>809</v>
      </c>
      <c r="B1677" s="10" t="s">
        <v>827</v>
      </c>
      <c r="C1677" s="284"/>
      <c r="D1677" s="365"/>
      <c r="E1677" s="365"/>
      <c r="F1677" s="283"/>
      <c r="G1677" s="283"/>
      <c r="H1677" s="292" t="s">
        <v>811</v>
      </c>
      <c r="I1677" s="44"/>
      <c r="J1677" s="45"/>
      <c r="K1677" s="289"/>
      <c r="L1677" s="281"/>
      <c r="M1677" s="46"/>
      <c r="N1677" s="46"/>
      <c r="O1677" s="431"/>
      <c r="P1677" s="282">
        <f t="shared" si="52"/>
        <v>0</v>
      </c>
      <c r="Q1677" s="282">
        <f t="shared" si="53"/>
        <v>0</v>
      </c>
    </row>
    <row r="1678" spans="1:17" ht="13" x14ac:dyDescent="0.35">
      <c r="A1678" s="84" t="s">
        <v>809</v>
      </c>
      <c r="B1678" s="10" t="s">
        <v>827</v>
      </c>
      <c r="C1678" s="284"/>
      <c r="D1678" s="365"/>
      <c r="E1678" s="365"/>
      <c r="F1678" s="283"/>
      <c r="G1678" s="283"/>
      <c r="H1678" s="292" t="s">
        <v>190</v>
      </c>
      <c r="I1678" s="44"/>
      <c r="J1678" s="45"/>
      <c r="K1678" s="289"/>
      <c r="L1678" s="281"/>
      <c r="M1678" s="46"/>
      <c r="N1678" s="46"/>
      <c r="O1678" s="431"/>
      <c r="P1678" s="282">
        <f t="shared" si="52"/>
        <v>0</v>
      </c>
      <c r="Q1678" s="282">
        <f t="shared" si="53"/>
        <v>0</v>
      </c>
    </row>
    <row r="1679" spans="1:17" ht="13" x14ac:dyDescent="0.35">
      <c r="A1679" s="84" t="s">
        <v>809</v>
      </c>
      <c r="B1679" s="10" t="s">
        <v>827</v>
      </c>
      <c r="C1679" s="284"/>
      <c r="D1679" s="365"/>
      <c r="E1679" s="365"/>
      <c r="F1679" s="283"/>
      <c r="G1679" s="283"/>
      <c r="H1679" s="292" t="s">
        <v>248</v>
      </c>
      <c r="I1679" s="44"/>
      <c r="J1679" s="45"/>
      <c r="K1679" s="289"/>
      <c r="L1679" s="281"/>
      <c r="M1679" s="46"/>
      <c r="N1679" s="46"/>
      <c r="O1679" s="431"/>
      <c r="P1679" s="282">
        <f t="shared" si="52"/>
        <v>0</v>
      </c>
      <c r="Q1679" s="282">
        <f t="shared" si="53"/>
        <v>0</v>
      </c>
    </row>
    <row r="1680" spans="1:17" ht="13" x14ac:dyDescent="0.35">
      <c r="A1680" s="84" t="s">
        <v>809</v>
      </c>
      <c r="B1680" s="10" t="s">
        <v>827</v>
      </c>
      <c r="C1680" s="284"/>
      <c r="D1680" s="365"/>
      <c r="E1680" s="365"/>
      <c r="F1680" s="283"/>
      <c r="G1680" s="283"/>
      <c r="H1680" s="294" t="s">
        <v>100</v>
      </c>
      <c r="I1680" s="44"/>
      <c r="J1680" s="45"/>
      <c r="K1680" s="289"/>
      <c r="L1680" s="281"/>
      <c r="M1680" s="46"/>
      <c r="N1680" s="46"/>
      <c r="O1680" s="431"/>
      <c r="P1680" s="282">
        <f t="shared" si="52"/>
        <v>0</v>
      </c>
      <c r="Q1680" s="282">
        <f t="shared" si="53"/>
        <v>0</v>
      </c>
    </row>
    <row r="1681" spans="1:17" x14ac:dyDescent="0.35">
      <c r="A1681" s="84" t="s">
        <v>809</v>
      </c>
      <c r="B1681" s="10" t="s">
        <v>827</v>
      </c>
      <c r="C1681" s="284"/>
      <c r="D1681" s="365"/>
      <c r="E1681" s="365"/>
      <c r="F1681" s="283"/>
      <c r="G1681" s="283"/>
      <c r="H1681" s="298" t="s">
        <v>101</v>
      </c>
      <c r="I1681" s="44"/>
      <c r="J1681" s="45"/>
      <c r="K1681" s="289"/>
      <c r="L1681" s="281"/>
      <c r="M1681" s="46"/>
      <c r="N1681" s="46"/>
      <c r="O1681" s="431"/>
      <c r="P1681" s="282">
        <f t="shared" si="52"/>
        <v>0</v>
      </c>
      <c r="Q1681" s="282">
        <f t="shared" si="53"/>
        <v>0</v>
      </c>
    </row>
    <row r="1682" spans="1:17" ht="13" x14ac:dyDescent="0.35">
      <c r="A1682" s="84" t="s">
        <v>809</v>
      </c>
      <c r="B1682" s="10" t="s">
        <v>827</v>
      </c>
      <c r="C1682" s="284"/>
      <c r="D1682" s="365"/>
      <c r="E1682" s="365"/>
      <c r="F1682" s="283"/>
      <c r="G1682" s="283"/>
      <c r="H1682" s="294" t="s">
        <v>102</v>
      </c>
      <c r="I1682" s="44"/>
      <c r="J1682" s="45"/>
      <c r="K1682" s="289"/>
      <c r="L1682" s="281"/>
      <c r="M1682" s="46"/>
      <c r="N1682" s="46"/>
      <c r="O1682" s="431"/>
      <c r="P1682" s="282">
        <f t="shared" si="52"/>
        <v>0</v>
      </c>
      <c r="Q1682" s="282">
        <f t="shared" si="53"/>
        <v>0</v>
      </c>
    </row>
    <row r="1683" spans="1:17" x14ac:dyDescent="0.35">
      <c r="A1683" s="84" t="s">
        <v>809</v>
      </c>
      <c r="B1683" s="10" t="s">
        <v>827</v>
      </c>
      <c r="C1683" s="284"/>
      <c r="D1683" s="365"/>
      <c r="E1683" s="365"/>
      <c r="F1683" s="283"/>
      <c r="G1683" s="283"/>
      <c r="H1683" s="324" t="s">
        <v>249</v>
      </c>
      <c r="I1683" s="44"/>
      <c r="J1683" s="45"/>
      <c r="K1683" s="289"/>
      <c r="L1683" s="281"/>
      <c r="M1683" s="46"/>
      <c r="N1683" s="46"/>
      <c r="O1683" s="431"/>
      <c r="P1683" s="282">
        <f t="shared" si="52"/>
        <v>0</v>
      </c>
      <c r="Q1683" s="282">
        <f t="shared" si="53"/>
        <v>0</v>
      </c>
    </row>
    <row r="1684" spans="1:17" ht="25" x14ac:dyDescent="0.35">
      <c r="A1684" s="84" t="s">
        <v>809</v>
      </c>
      <c r="B1684" s="10" t="s">
        <v>827</v>
      </c>
      <c r="C1684" s="284"/>
      <c r="D1684" s="365"/>
      <c r="E1684" s="365"/>
      <c r="F1684" s="283"/>
      <c r="G1684" s="283"/>
      <c r="H1684" s="298" t="s">
        <v>250</v>
      </c>
      <c r="I1684" s="44"/>
      <c r="J1684" s="45"/>
      <c r="K1684" s="289"/>
      <c r="L1684" s="281"/>
      <c r="M1684" s="46"/>
      <c r="N1684" s="46"/>
      <c r="O1684" s="431"/>
      <c r="P1684" s="282">
        <f t="shared" si="52"/>
        <v>0</v>
      </c>
      <c r="Q1684" s="282">
        <f t="shared" si="53"/>
        <v>0</v>
      </c>
    </row>
    <row r="1685" spans="1:17" ht="37.5" x14ac:dyDescent="0.35">
      <c r="A1685" s="84" t="s">
        <v>809</v>
      </c>
      <c r="B1685" s="10" t="s">
        <v>827</v>
      </c>
      <c r="C1685" s="284"/>
      <c r="D1685" s="365"/>
      <c r="E1685" s="365"/>
      <c r="F1685" s="283"/>
      <c r="G1685" s="283"/>
      <c r="H1685" s="298" t="s">
        <v>251</v>
      </c>
      <c r="I1685" s="44"/>
      <c r="J1685" s="45"/>
      <c r="K1685" s="289"/>
      <c r="L1685" s="281"/>
      <c r="M1685" s="46"/>
      <c r="N1685" s="46"/>
      <c r="O1685" s="431"/>
      <c r="P1685" s="282">
        <f t="shared" si="52"/>
        <v>0</v>
      </c>
      <c r="Q1685" s="282">
        <f t="shared" si="53"/>
        <v>0</v>
      </c>
    </row>
    <row r="1686" spans="1:17" x14ac:dyDescent="0.35">
      <c r="A1686" s="84" t="s">
        <v>809</v>
      </c>
      <c r="B1686" s="10" t="s">
        <v>827</v>
      </c>
      <c r="C1686" s="284"/>
      <c r="D1686" s="365"/>
      <c r="E1686" s="365"/>
      <c r="F1686" s="283"/>
      <c r="G1686" s="283"/>
      <c r="H1686" s="324" t="s">
        <v>252</v>
      </c>
      <c r="I1686" s="44"/>
      <c r="J1686" s="45"/>
      <c r="K1686" s="289"/>
      <c r="L1686" s="281"/>
      <c r="M1686" s="46"/>
      <c r="N1686" s="46"/>
      <c r="O1686" s="431"/>
      <c r="P1686" s="282">
        <f t="shared" si="52"/>
        <v>0</v>
      </c>
      <c r="Q1686" s="282">
        <f t="shared" si="53"/>
        <v>0</v>
      </c>
    </row>
    <row r="1687" spans="1:17" ht="25" x14ac:dyDescent="0.35">
      <c r="A1687" s="84" t="s">
        <v>809</v>
      </c>
      <c r="B1687" s="10" t="s">
        <v>827</v>
      </c>
      <c r="C1687" s="284"/>
      <c r="D1687" s="365"/>
      <c r="E1687" s="365"/>
      <c r="F1687" s="283"/>
      <c r="G1687" s="283"/>
      <c r="H1687" s="298" t="s">
        <v>253</v>
      </c>
      <c r="I1687" s="44"/>
      <c r="J1687" s="45"/>
      <c r="K1687" s="289"/>
      <c r="L1687" s="281"/>
      <c r="M1687" s="46"/>
      <c r="N1687" s="46"/>
      <c r="O1687" s="431"/>
      <c r="P1687" s="282">
        <f t="shared" si="52"/>
        <v>0</v>
      </c>
      <c r="Q1687" s="282">
        <f t="shared" si="53"/>
        <v>0</v>
      </c>
    </row>
    <row r="1688" spans="1:17" ht="25" x14ac:dyDescent="0.35">
      <c r="A1688" s="84" t="s">
        <v>809</v>
      </c>
      <c r="B1688" s="10" t="s">
        <v>827</v>
      </c>
      <c r="C1688" s="284"/>
      <c r="D1688" s="365"/>
      <c r="E1688" s="365"/>
      <c r="F1688" s="283"/>
      <c r="G1688" s="283"/>
      <c r="H1688" s="298" t="s">
        <v>254</v>
      </c>
      <c r="I1688" s="44"/>
      <c r="J1688" s="45"/>
      <c r="K1688" s="289"/>
      <c r="L1688" s="281"/>
      <c r="M1688" s="46"/>
      <c r="N1688" s="46"/>
      <c r="O1688" s="431"/>
      <c r="P1688" s="282">
        <f t="shared" si="52"/>
        <v>0</v>
      </c>
      <c r="Q1688" s="282">
        <f t="shared" si="53"/>
        <v>0</v>
      </c>
    </row>
    <row r="1689" spans="1:17" x14ac:dyDescent="0.35">
      <c r="A1689" s="84" t="s">
        <v>809</v>
      </c>
      <c r="B1689" s="10" t="s">
        <v>827</v>
      </c>
      <c r="C1689" s="284"/>
      <c r="D1689" s="365"/>
      <c r="E1689" s="365"/>
      <c r="F1689" s="283"/>
      <c r="G1689" s="283"/>
      <c r="H1689" s="324" t="s">
        <v>255</v>
      </c>
      <c r="I1689" s="44"/>
      <c r="J1689" s="45"/>
      <c r="K1689" s="289"/>
      <c r="L1689" s="281"/>
      <c r="M1689" s="46"/>
      <c r="N1689" s="46"/>
      <c r="O1689" s="431"/>
      <c r="P1689" s="282">
        <f t="shared" si="52"/>
        <v>0</v>
      </c>
      <c r="Q1689" s="282">
        <f t="shared" si="53"/>
        <v>0</v>
      </c>
    </row>
    <row r="1690" spans="1:17" ht="25" x14ac:dyDescent="0.35">
      <c r="A1690" s="84" t="s">
        <v>809</v>
      </c>
      <c r="B1690" s="10" t="s">
        <v>827</v>
      </c>
      <c r="C1690" s="284"/>
      <c r="D1690" s="365"/>
      <c r="E1690" s="365"/>
      <c r="F1690" s="283"/>
      <c r="G1690" s="283"/>
      <c r="H1690" s="298" t="s">
        <v>256</v>
      </c>
      <c r="I1690" s="44"/>
      <c r="J1690" s="45"/>
      <c r="K1690" s="289"/>
      <c r="L1690" s="281"/>
      <c r="M1690" s="46"/>
      <c r="N1690" s="46"/>
      <c r="O1690" s="431"/>
      <c r="P1690" s="282">
        <f t="shared" si="52"/>
        <v>0</v>
      </c>
      <c r="Q1690" s="282">
        <f t="shared" si="53"/>
        <v>0</v>
      </c>
    </row>
    <row r="1691" spans="1:17" ht="37.5" x14ac:dyDescent="0.35">
      <c r="A1691" s="84" t="s">
        <v>809</v>
      </c>
      <c r="B1691" s="10" t="s">
        <v>827</v>
      </c>
      <c r="C1691" s="284"/>
      <c r="D1691" s="365"/>
      <c r="E1691" s="365"/>
      <c r="F1691" s="283"/>
      <c r="G1691" s="283"/>
      <c r="H1691" s="298" t="s">
        <v>257</v>
      </c>
      <c r="I1691" s="44"/>
      <c r="J1691" s="45"/>
      <c r="K1691" s="289"/>
      <c r="L1691" s="281"/>
      <c r="M1691" s="46"/>
      <c r="N1691" s="46"/>
      <c r="O1691" s="431"/>
      <c r="P1691" s="282">
        <f t="shared" si="52"/>
        <v>0</v>
      </c>
      <c r="Q1691" s="282">
        <f t="shared" si="53"/>
        <v>0</v>
      </c>
    </row>
    <row r="1692" spans="1:17" ht="13" x14ac:dyDescent="0.35">
      <c r="A1692" s="84" t="s">
        <v>809</v>
      </c>
      <c r="B1692" s="10" t="s">
        <v>827</v>
      </c>
      <c r="C1692" s="284"/>
      <c r="D1692" s="365"/>
      <c r="E1692" s="365"/>
      <c r="F1692" s="283"/>
      <c r="G1692" s="283"/>
      <c r="H1692" s="294" t="s">
        <v>258</v>
      </c>
      <c r="I1692" s="44"/>
      <c r="J1692" s="45"/>
      <c r="K1692" s="289"/>
      <c r="L1692" s="281"/>
      <c r="M1692" s="46"/>
      <c r="N1692" s="46"/>
      <c r="O1692" s="431"/>
      <c r="P1692" s="282">
        <f t="shared" si="52"/>
        <v>0</v>
      </c>
      <c r="Q1692" s="282">
        <f t="shared" si="53"/>
        <v>0</v>
      </c>
    </row>
    <row r="1693" spans="1:17" ht="26" x14ac:dyDescent="0.35">
      <c r="A1693" s="84" t="s">
        <v>809</v>
      </c>
      <c r="B1693" s="10" t="s">
        <v>827</v>
      </c>
      <c r="C1693" s="284"/>
      <c r="D1693" s="365"/>
      <c r="E1693" s="365"/>
      <c r="F1693" s="283"/>
      <c r="G1693" s="325"/>
      <c r="H1693" s="294" t="s">
        <v>259</v>
      </c>
      <c r="I1693" s="44"/>
      <c r="J1693" s="326"/>
      <c r="K1693" s="289"/>
      <c r="L1693" s="281"/>
      <c r="M1693" s="327"/>
      <c r="N1693" s="327"/>
      <c r="O1693" s="431"/>
      <c r="P1693" s="282">
        <f t="shared" si="52"/>
        <v>0</v>
      </c>
      <c r="Q1693" s="282">
        <f t="shared" si="53"/>
        <v>0</v>
      </c>
    </row>
    <row r="1694" spans="1:17" x14ac:dyDescent="0.35">
      <c r="A1694" s="84" t="s">
        <v>809</v>
      </c>
      <c r="B1694" s="10" t="s">
        <v>827</v>
      </c>
      <c r="C1694" s="284"/>
      <c r="D1694" s="365"/>
      <c r="E1694" s="365"/>
      <c r="F1694" s="283" t="s">
        <v>20</v>
      </c>
      <c r="G1694" s="325"/>
      <c r="H1694" s="298" t="s">
        <v>260</v>
      </c>
      <c r="I1694" s="44" t="s">
        <v>186</v>
      </c>
      <c r="J1694" s="326">
        <f>55*5</f>
        <v>275</v>
      </c>
      <c r="K1694" s="289">
        <v>95</v>
      </c>
      <c r="L1694" s="281">
        <f>J1694*K1694</f>
        <v>26125</v>
      </c>
      <c r="M1694" s="327">
        <f>55*5</f>
        <v>275</v>
      </c>
      <c r="N1694" s="327">
        <f>55*5</f>
        <v>275</v>
      </c>
      <c r="O1694" s="431">
        <v>95</v>
      </c>
      <c r="P1694" s="282">
        <f t="shared" si="52"/>
        <v>26125</v>
      </c>
      <c r="Q1694" s="282">
        <f t="shared" si="53"/>
        <v>26125</v>
      </c>
    </row>
    <row r="1695" spans="1:17" ht="13" x14ac:dyDescent="0.35">
      <c r="A1695" s="84" t="s">
        <v>809</v>
      </c>
      <c r="B1695" s="10" t="s">
        <v>827</v>
      </c>
      <c r="C1695" s="284"/>
      <c r="D1695" s="365"/>
      <c r="E1695" s="365"/>
      <c r="F1695" s="283"/>
      <c r="G1695" s="283"/>
      <c r="H1695" s="294" t="s">
        <v>261</v>
      </c>
      <c r="I1695" s="44"/>
      <c r="J1695" s="45"/>
      <c r="K1695" s="289"/>
      <c r="L1695" s="281"/>
      <c r="M1695" s="46"/>
      <c r="N1695" s="46"/>
      <c r="O1695" s="431"/>
      <c r="P1695" s="282">
        <f t="shared" si="52"/>
        <v>0</v>
      </c>
      <c r="Q1695" s="282">
        <f t="shared" si="53"/>
        <v>0</v>
      </c>
    </row>
    <row r="1696" spans="1:17" ht="13" x14ac:dyDescent="0.35">
      <c r="A1696" s="84" t="s">
        <v>809</v>
      </c>
      <c r="B1696" s="10" t="s">
        <v>827</v>
      </c>
      <c r="C1696" s="284"/>
      <c r="D1696" s="365"/>
      <c r="E1696" s="365"/>
      <c r="F1696" s="283"/>
      <c r="G1696" s="283"/>
      <c r="H1696" s="294" t="s">
        <v>262</v>
      </c>
      <c r="I1696" s="44"/>
      <c r="J1696" s="58"/>
      <c r="K1696" s="289"/>
      <c r="L1696" s="281"/>
      <c r="M1696" s="59"/>
      <c r="N1696" s="59"/>
      <c r="O1696" s="431"/>
      <c r="P1696" s="282">
        <f t="shared" si="52"/>
        <v>0</v>
      </c>
      <c r="Q1696" s="282">
        <f t="shared" si="53"/>
        <v>0</v>
      </c>
    </row>
    <row r="1697" spans="1:17" ht="25" x14ac:dyDescent="0.35">
      <c r="A1697" s="84" t="s">
        <v>809</v>
      </c>
      <c r="B1697" s="10" t="s">
        <v>827</v>
      </c>
      <c r="C1697" s="284"/>
      <c r="D1697" s="365"/>
      <c r="E1697" s="365"/>
      <c r="F1697" s="283" t="s">
        <v>26</v>
      </c>
      <c r="G1697" s="283"/>
      <c r="H1697" s="298" t="s">
        <v>828</v>
      </c>
      <c r="I1697" s="44" t="s">
        <v>175</v>
      </c>
      <c r="J1697" s="58">
        <v>18</v>
      </c>
      <c r="K1697" s="289">
        <v>2500</v>
      </c>
      <c r="L1697" s="281">
        <f>J1697*K1697</f>
        <v>45000</v>
      </c>
      <c r="M1697" s="59">
        <v>18</v>
      </c>
      <c r="N1697" s="59">
        <v>18</v>
      </c>
      <c r="O1697" s="431">
        <v>2500</v>
      </c>
      <c r="P1697" s="282">
        <f t="shared" si="52"/>
        <v>45000</v>
      </c>
      <c r="Q1697" s="282">
        <f t="shared" si="53"/>
        <v>45000</v>
      </c>
    </row>
    <row r="1698" spans="1:17" ht="13" x14ac:dyDescent="0.35">
      <c r="A1698" s="84" t="s">
        <v>809</v>
      </c>
      <c r="B1698" s="10" t="s">
        <v>829</v>
      </c>
      <c r="C1698" s="284"/>
      <c r="D1698" s="365"/>
      <c r="E1698" s="365"/>
      <c r="F1698" s="283"/>
      <c r="G1698" s="283"/>
      <c r="H1698" s="292" t="s">
        <v>810</v>
      </c>
      <c r="I1698" s="44"/>
      <c r="J1698" s="45"/>
      <c r="K1698" s="289"/>
      <c r="L1698" s="281"/>
      <c r="M1698" s="46"/>
      <c r="N1698" s="46"/>
      <c r="O1698" s="431"/>
      <c r="P1698" s="282">
        <f t="shared" si="52"/>
        <v>0</v>
      </c>
      <c r="Q1698" s="282">
        <f t="shared" si="53"/>
        <v>0</v>
      </c>
    </row>
    <row r="1699" spans="1:17" ht="13" x14ac:dyDescent="0.35">
      <c r="A1699" s="84" t="s">
        <v>809</v>
      </c>
      <c r="B1699" s="10" t="s">
        <v>829</v>
      </c>
      <c r="C1699" s="284"/>
      <c r="D1699" s="365"/>
      <c r="E1699" s="365"/>
      <c r="F1699" s="283"/>
      <c r="G1699" s="283"/>
      <c r="H1699" s="292" t="s">
        <v>811</v>
      </c>
      <c r="I1699" s="44"/>
      <c r="J1699" s="45"/>
      <c r="K1699" s="289"/>
      <c r="L1699" s="281"/>
      <c r="M1699" s="46"/>
      <c r="N1699" s="46"/>
      <c r="O1699" s="431"/>
      <c r="P1699" s="282">
        <f t="shared" si="52"/>
        <v>0</v>
      </c>
      <c r="Q1699" s="282">
        <f t="shared" si="53"/>
        <v>0</v>
      </c>
    </row>
    <row r="1700" spans="1:17" ht="13" x14ac:dyDescent="0.35">
      <c r="A1700" s="84" t="s">
        <v>809</v>
      </c>
      <c r="B1700" s="10" t="s">
        <v>829</v>
      </c>
      <c r="C1700" s="284"/>
      <c r="D1700" s="365"/>
      <c r="E1700" s="365"/>
      <c r="F1700" s="283"/>
      <c r="G1700" s="283"/>
      <c r="H1700" s="292" t="s">
        <v>225</v>
      </c>
      <c r="I1700" s="44"/>
      <c r="J1700" s="45"/>
      <c r="K1700" s="289"/>
      <c r="L1700" s="281"/>
      <c r="M1700" s="46"/>
      <c r="N1700" s="46"/>
      <c r="O1700" s="431"/>
      <c r="P1700" s="282">
        <f t="shared" si="52"/>
        <v>0</v>
      </c>
      <c r="Q1700" s="282">
        <f t="shared" si="53"/>
        <v>0</v>
      </c>
    </row>
    <row r="1701" spans="1:17" ht="13" x14ac:dyDescent="0.35">
      <c r="A1701" s="84" t="s">
        <v>809</v>
      </c>
      <c r="B1701" s="10" t="s">
        <v>829</v>
      </c>
      <c r="C1701" s="284"/>
      <c r="D1701" s="365"/>
      <c r="E1701" s="365"/>
      <c r="F1701" s="283"/>
      <c r="G1701" s="283"/>
      <c r="H1701" s="292" t="s">
        <v>279</v>
      </c>
      <c r="I1701" s="44"/>
      <c r="J1701" s="45"/>
      <c r="K1701" s="289"/>
      <c r="L1701" s="281"/>
      <c r="M1701" s="46"/>
      <c r="N1701" s="46"/>
      <c r="O1701" s="431"/>
      <c r="P1701" s="282">
        <f t="shared" si="52"/>
        <v>0</v>
      </c>
      <c r="Q1701" s="282">
        <f t="shared" si="53"/>
        <v>0</v>
      </c>
    </row>
    <row r="1702" spans="1:17" ht="13" x14ac:dyDescent="0.35">
      <c r="A1702" s="84" t="s">
        <v>809</v>
      </c>
      <c r="B1702" s="10" t="s">
        <v>829</v>
      </c>
      <c r="C1702" s="284"/>
      <c r="D1702" s="365"/>
      <c r="E1702" s="365"/>
      <c r="F1702" s="283"/>
      <c r="G1702" s="283"/>
      <c r="H1702" s="294" t="s">
        <v>100</v>
      </c>
      <c r="I1702" s="44"/>
      <c r="J1702" s="45"/>
      <c r="K1702" s="289"/>
      <c r="L1702" s="281"/>
      <c r="M1702" s="46"/>
      <c r="N1702" s="46"/>
      <c r="O1702" s="431"/>
      <c r="P1702" s="282">
        <f t="shared" si="52"/>
        <v>0</v>
      </c>
      <c r="Q1702" s="282">
        <f t="shared" si="53"/>
        <v>0</v>
      </c>
    </row>
    <row r="1703" spans="1:17" x14ac:dyDescent="0.35">
      <c r="A1703" s="84" t="s">
        <v>809</v>
      </c>
      <c r="B1703" s="10" t="s">
        <v>829</v>
      </c>
      <c r="C1703" s="284"/>
      <c r="D1703" s="365"/>
      <c r="E1703" s="365"/>
      <c r="F1703" s="283"/>
      <c r="G1703" s="283"/>
      <c r="H1703" s="298" t="s">
        <v>101</v>
      </c>
      <c r="I1703" s="44"/>
      <c r="J1703" s="45"/>
      <c r="K1703" s="289"/>
      <c r="L1703" s="281"/>
      <c r="M1703" s="46"/>
      <c r="N1703" s="46"/>
      <c r="O1703" s="431"/>
      <c r="P1703" s="282">
        <f t="shared" si="52"/>
        <v>0</v>
      </c>
      <c r="Q1703" s="282">
        <f t="shared" si="53"/>
        <v>0</v>
      </c>
    </row>
    <row r="1704" spans="1:17" ht="13" x14ac:dyDescent="0.35">
      <c r="A1704" s="84" t="s">
        <v>809</v>
      </c>
      <c r="B1704" s="10" t="s">
        <v>829</v>
      </c>
      <c r="C1704" s="284"/>
      <c r="D1704" s="365"/>
      <c r="E1704" s="365"/>
      <c r="F1704" s="283"/>
      <c r="G1704" s="283"/>
      <c r="H1704" s="294" t="s">
        <v>102</v>
      </c>
      <c r="I1704" s="44"/>
      <c r="J1704" s="45"/>
      <c r="K1704" s="289"/>
      <c r="L1704" s="281"/>
      <c r="M1704" s="46"/>
      <c r="N1704" s="46"/>
      <c r="O1704" s="431"/>
      <c r="P1704" s="282">
        <f t="shared" si="52"/>
        <v>0</v>
      </c>
      <c r="Q1704" s="282">
        <f t="shared" si="53"/>
        <v>0</v>
      </c>
    </row>
    <row r="1705" spans="1:17" x14ac:dyDescent="0.35">
      <c r="A1705" s="84" t="s">
        <v>809</v>
      </c>
      <c r="B1705" s="10" t="s">
        <v>829</v>
      </c>
      <c r="C1705" s="284"/>
      <c r="D1705" s="365"/>
      <c r="E1705" s="365"/>
      <c r="F1705" s="283"/>
      <c r="G1705" s="283"/>
      <c r="H1705" s="324" t="s">
        <v>280</v>
      </c>
      <c r="I1705" s="44"/>
      <c r="J1705" s="45"/>
      <c r="K1705" s="289"/>
      <c r="L1705" s="281"/>
      <c r="M1705" s="46"/>
      <c r="N1705" s="46"/>
      <c r="O1705" s="431"/>
      <c r="P1705" s="282">
        <f t="shared" si="52"/>
        <v>0</v>
      </c>
      <c r="Q1705" s="282">
        <f t="shared" si="53"/>
        <v>0</v>
      </c>
    </row>
    <row r="1706" spans="1:17" ht="25" x14ac:dyDescent="0.35">
      <c r="A1706" s="84" t="s">
        <v>809</v>
      </c>
      <c r="B1706" s="10" t="s">
        <v>829</v>
      </c>
      <c r="C1706" s="284"/>
      <c r="D1706" s="365"/>
      <c r="E1706" s="365"/>
      <c r="F1706" s="283"/>
      <c r="G1706" s="283"/>
      <c r="H1706" s="298" t="s">
        <v>281</v>
      </c>
      <c r="I1706" s="44"/>
      <c r="J1706" s="45"/>
      <c r="K1706" s="289"/>
      <c r="L1706" s="281"/>
      <c r="M1706" s="46"/>
      <c r="N1706" s="46"/>
      <c r="O1706" s="431"/>
      <c r="P1706" s="282">
        <f t="shared" si="52"/>
        <v>0</v>
      </c>
      <c r="Q1706" s="282">
        <f t="shared" si="53"/>
        <v>0</v>
      </c>
    </row>
    <row r="1707" spans="1:17" ht="37.5" x14ac:dyDescent="0.35">
      <c r="A1707" s="84" t="s">
        <v>809</v>
      </c>
      <c r="B1707" s="10" t="s">
        <v>829</v>
      </c>
      <c r="C1707" s="284"/>
      <c r="D1707" s="365"/>
      <c r="E1707" s="365"/>
      <c r="F1707" s="283"/>
      <c r="G1707" s="283"/>
      <c r="H1707" s="298" t="s">
        <v>282</v>
      </c>
      <c r="I1707" s="44"/>
      <c r="J1707" s="45"/>
      <c r="K1707" s="289"/>
      <c r="L1707" s="281"/>
      <c r="M1707" s="46"/>
      <c r="N1707" s="46"/>
      <c r="O1707" s="431"/>
      <c r="P1707" s="282">
        <f t="shared" si="52"/>
        <v>0</v>
      </c>
      <c r="Q1707" s="282">
        <f t="shared" si="53"/>
        <v>0</v>
      </c>
    </row>
    <row r="1708" spans="1:17" x14ac:dyDescent="0.35">
      <c r="A1708" s="84" t="s">
        <v>809</v>
      </c>
      <c r="B1708" s="10" t="s">
        <v>829</v>
      </c>
      <c r="C1708" s="284"/>
      <c r="D1708" s="365"/>
      <c r="E1708" s="365"/>
      <c r="F1708" s="283"/>
      <c r="G1708" s="283"/>
      <c r="H1708" s="324" t="s">
        <v>283</v>
      </c>
      <c r="I1708" s="44"/>
      <c r="J1708" s="45"/>
      <c r="K1708" s="289"/>
      <c r="L1708" s="281"/>
      <c r="M1708" s="46"/>
      <c r="N1708" s="46"/>
      <c r="O1708" s="431"/>
      <c r="P1708" s="282">
        <f t="shared" si="52"/>
        <v>0</v>
      </c>
      <c r="Q1708" s="282">
        <f t="shared" si="53"/>
        <v>0</v>
      </c>
    </row>
    <row r="1709" spans="1:17" x14ac:dyDescent="0.35">
      <c r="A1709" s="84" t="s">
        <v>809</v>
      </c>
      <c r="B1709" s="10" t="s">
        <v>829</v>
      </c>
      <c r="C1709" s="284"/>
      <c r="D1709" s="365"/>
      <c r="E1709" s="365"/>
      <c r="F1709" s="283"/>
      <c r="G1709" s="283"/>
      <c r="H1709" s="298" t="s">
        <v>284</v>
      </c>
      <c r="I1709" s="44"/>
      <c r="J1709" s="45"/>
      <c r="K1709" s="289"/>
      <c r="L1709" s="281"/>
      <c r="M1709" s="46"/>
      <c r="N1709" s="46"/>
      <c r="O1709" s="431"/>
      <c r="P1709" s="282">
        <f t="shared" si="52"/>
        <v>0</v>
      </c>
      <c r="Q1709" s="282">
        <f t="shared" si="53"/>
        <v>0</v>
      </c>
    </row>
    <row r="1710" spans="1:17" ht="62.5" x14ac:dyDescent="0.35">
      <c r="A1710" s="84" t="s">
        <v>809</v>
      </c>
      <c r="B1710" s="10" t="s">
        <v>829</v>
      </c>
      <c r="C1710" s="284"/>
      <c r="D1710" s="365"/>
      <c r="E1710" s="365"/>
      <c r="F1710" s="283"/>
      <c r="G1710" s="283"/>
      <c r="H1710" s="298" t="s">
        <v>285</v>
      </c>
      <c r="I1710" s="44"/>
      <c r="J1710" s="45"/>
      <c r="K1710" s="289"/>
      <c r="L1710" s="281"/>
      <c r="M1710" s="46"/>
      <c r="N1710" s="46"/>
      <c r="O1710" s="431"/>
      <c r="P1710" s="282">
        <f t="shared" si="52"/>
        <v>0</v>
      </c>
      <c r="Q1710" s="282">
        <f t="shared" si="53"/>
        <v>0</v>
      </c>
    </row>
    <row r="1711" spans="1:17" x14ac:dyDescent="0.35">
      <c r="A1711" s="84" t="s">
        <v>809</v>
      </c>
      <c r="B1711" s="10" t="s">
        <v>829</v>
      </c>
      <c r="C1711" s="284"/>
      <c r="D1711" s="365"/>
      <c r="E1711" s="365"/>
      <c r="F1711" s="283"/>
      <c r="G1711" s="283"/>
      <c r="H1711" s="324" t="s">
        <v>286</v>
      </c>
      <c r="I1711" s="44"/>
      <c r="J1711" s="45"/>
      <c r="K1711" s="289"/>
      <c r="L1711" s="281"/>
      <c r="M1711" s="46"/>
      <c r="N1711" s="46"/>
      <c r="O1711" s="431"/>
      <c r="P1711" s="282">
        <f t="shared" si="52"/>
        <v>0</v>
      </c>
      <c r="Q1711" s="282">
        <f t="shared" si="53"/>
        <v>0</v>
      </c>
    </row>
    <row r="1712" spans="1:17" ht="25" x14ac:dyDescent="0.35">
      <c r="A1712" s="84" t="s">
        <v>809</v>
      </c>
      <c r="B1712" s="10" t="s">
        <v>829</v>
      </c>
      <c r="C1712" s="284"/>
      <c r="D1712" s="365"/>
      <c r="E1712" s="365"/>
      <c r="F1712" s="283"/>
      <c r="G1712" s="283"/>
      <c r="H1712" s="298" t="s">
        <v>287</v>
      </c>
      <c r="I1712" s="44"/>
      <c r="J1712" s="45"/>
      <c r="K1712" s="289"/>
      <c r="L1712" s="281"/>
      <c r="M1712" s="46"/>
      <c r="N1712" s="46"/>
      <c r="O1712" s="431"/>
      <c r="P1712" s="282">
        <f t="shared" si="52"/>
        <v>0</v>
      </c>
      <c r="Q1712" s="282">
        <f t="shared" si="53"/>
        <v>0</v>
      </c>
    </row>
    <row r="1713" spans="1:17" ht="13" x14ac:dyDescent="0.35">
      <c r="A1713" s="84" t="s">
        <v>809</v>
      </c>
      <c r="B1713" s="10" t="s">
        <v>829</v>
      </c>
      <c r="C1713" s="284"/>
      <c r="D1713" s="365"/>
      <c r="E1713" s="365"/>
      <c r="F1713" s="283"/>
      <c r="G1713" s="283"/>
      <c r="H1713" s="294" t="s">
        <v>288</v>
      </c>
      <c r="I1713" s="44"/>
      <c r="J1713" s="45"/>
      <c r="K1713" s="289"/>
      <c r="L1713" s="281"/>
      <c r="M1713" s="46"/>
      <c r="N1713" s="46"/>
      <c r="O1713" s="431"/>
      <c r="P1713" s="282">
        <f t="shared" si="52"/>
        <v>0</v>
      </c>
      <c r="Q1713" s="282">
        <f t="shared" si="53"/>
        <v>0</v>
      </c>
    </row>
    <row r="1714" spans="1:17" ht="13" x14ac:dyDescent="0.35">
      <c r="A1714" s="84" t="s">
        <v>809</v>
      </c>
      <c r="B1714" s="10" t="s">
        <v>829</v>
      </c>
      <c r="C1714" s="284"/>
      <c r="D1714" s="365"/>
      <c r="E1714" s="365"/>
      <c r="F1714" s="283"/>
      <c r="G1714" s="283"/>
      <c r="H1714" s="294" t="s">
        <v>289</v>
      </c>
      <c r="I1714" s="44"/>
      <c r="J1714" s="45"/>
      <c r="K1714" s="289"/>
      <c r="L1714" s="281"/>
      <c r="M1714" s="46"/>
      <c r="N1714" s="46"/>
      <c r="O1714" s="431"/>
      <c r="P1714" s="282">
        <f t="shared" si="52"/>
        <v>0</v>
      </c>
      <c r="Q1714" s="282">
        <f t="shared" si="53"/>
        <v>0</v>
      </c>
    </row>
    <row r="1715" spans="1:17" ht="14.5" x14ac:dyDescent="0.35">
      <c r="A1715" s="84" t="s">
        <v>809</v>
      </c>
      <c r="B1715" s="10" t="s">
        <v>829</v>
      </c>
      <c r="C1715" s="284"/>
      <c r="D1715" s="365"/>
      <c r="E1715" s="365"/>
      <c r="F1715" s="283" t="s">
        <v>20</v>
      </c>
      <c r="G1715" s="283"/>
      <c r="H1715" s="298" t="s">
        <v>290</v>
      </c>
      <c r="I1715" s="44" t="s">
        <v>110</v>
      </c>
      <c r="J1715" s="45">
        <v>1038</v>
      </c>
      <c r="K1715" s="289">
        <v>185</v>
      </c>
      <c r="L1715" s="281">
        <f>J1715*K1715</f>
        <v>192030</v>
      </c>
      <c r="M1715" s="46">
        <v>1038</v>
      </c>
      <c r="N1715" s="46">
        <v>1038</v>
      </c>
      <c r="O1715" s="431">
        <v>185</v>
      </c>
      <c r="P1715" s="282">
        <f t="shared" si="52"/>
        <v>192030</v>
      </c>
      <c r="Q1715" s="282">
        <f t="shared" si="53"/>
        <v>192030</v>
      </c>
    </row>
    <row r="1716" spans="1:17" ht="25" x14ac:dyDescent="0.35">
      <c r="A1716" s="84" t="s">
        <v>809</v>
      </c>
      <c r="B1716" s="10" t="s">
        <v>829</v>
      </c>
      <c r="C1716" s="284"/>
      <c r="D1716" s="365"/>
      <c r="E1716" s="365"/>
      <c r="F1716" s="283" t="s">
        <v>26</v>
      </c>
      <c r="G1716" s="283"/>
      <c r="H1716" s="298" t="s">
        <v>830</v>
      </c>
      <c r="I1716" s="44" t="s">
        <v>175</v>
      </c>
      <c r="J1716" s="45">
        <v>18</v>
      </c>
      <c r="K1716" s="289">
        <v>500</v>
      </c>
      <c r="L1716" s="281">
        <f>J1716*K1716</f>
        <v>9000</v>
      </c>
      <c r="M1716" s="46">
        <v>18</v>
      </c>
      <c r="N1716" s="46">
        <v>18</v>
      </c>
      <c r="O1716" s="431">
        <v>500</v>
      </c>
      <c r="P1716" s="282">
        <f t="shared" si="52"/>
        <v>9000</v>
      </c>
      <c r="Q1716" s="282">
        <f t="shared" si="53"/>
        <v>9000</v>
      </c>
    </row>
    <row r="1717" spans="1:17" ht="13" x14ac:dyDescent="0.35">
      <c r="A1717" s="84" t="s">
        <v>809</v>
      </c>
      <c r="B1717" s="10" t="s">
        <v>829</v>
      </c>
      <c r="C1717" s="284"/>
      <c r="D1717" s="365"/>
      <c r="E1717" s="365"/>
      <c r="F1717" s="328"/>
      <c r="G1717" s="328"/>
      <c r="H1717" s="329" t="s">
        <v>292</v>
      </c>
      <c r="I1717" s="91"/>
      <c r="J1717" s="92"/>
      <c r="K1717" s="330"/>
      <c r="L1717" s="331"/>
      <c r="M1717" s="93"/>
      <c r="N1717" s="93"/>
      <c r="O1717" s="437"/>
      <c r="P1717" s="332">
        <f t="shared" si="52"/>
        <v>0</v>
      </c>
      <c r="Q1717" s="332">
        <f t="shared" si="53"/>
        <v>0</v>
      </c>
    </row>
    <row r="1718" spans="1:17" x14ac:dyDescent="0.35">
      <c r="A1718" s="84" t="s">
        <v>809</v>
      </c>
      <c r="B1718" s="10" t="s">
        <v>829</v>
      </c>
      <c r="C1718" s="284"/>
      <c r="D1718" s="365"/>
      <c r="E1718" s="365"/>
      <c r="F1718" s="328" t="s">
        <v>29</v>
      </c>
      <c r="G1718" s="328"/>
      <c r="H1718" s="333" t="s">
        <v>831</v>
      </c>
      <c r="I1718" s="91" t="s">
        <v>186</v>
      </c>
      <c r="J1718" s="92">
        <f>83*6</f>
        <v>498</v>
      </c>
      <c r="K1718" s="330">
        <v>75</v>
      </c>
      <c r="L1718" s="331">
        <f>J1718*K1718</f>
        <v>37350</v>
      </c>
      <c r="M1718" s="93">
        <f>83*6</f>
        <v>498</v>
      </c>
      <c r="N1718" s="93">
        <f>83*6</f>
        <v>498</v>
      </c>
      <c r="O1718" s="437">
        <v>75</v>
      </c>
      <c r="P1718" s="332">
        <f t="shared" si="52"/>
        <v>37350</v>
      </c>
      <c r="Q1718" s="332">
        <f t="shared" si="53"/>
        <v>37350</v>
      </c>
    </row>
    <row r="1719" spans="1:17" ht="13" x14ac:dyDescent="0.35">
      <c r="A1719" s="84" t="s">
        <v>809</v>
      </c>
      <c r="B1719" s="10" t="s">
        <v>829</v>
      </c>
      <c r="C1719" s="284"/>
      <c r="D1719" s="365"/>
      <c r="E1719" s="365"/>
      <c r="F1719" s="283"/>
      <c r="G1719" s="283"/>
      <c r="H1719" s="294" t="s">
        <v>294</v>
      </c>
      <c r="I1719" s="44"/>
      <c r="J1719" s="45"/>
      <c r="K1719" s="289"/>
      <c r="L1719" s="281"/>
      <c r="M1719" s="46"/>
      <c r="N1719" s="46"/>
      <c r="O1719" s="431"/>
      <c r="P1719" s="282">
        <f t="shared" si="52"/>
        <v>0</v>
      </c>
      <c r="Q1719" s="282">
        <f t="shared" si="53"/>
        <v>0</v>
      </c>
    </row>
    <row r="1720" spans="1:17" ht="26" x14ac:dyDescent="0.35">
      <c r="A1720" s="84" t="s">
        <v>809</v>
      </c>
      <c r="B1720" s="10" t="s">
        <v>829</v>
      </c>
      <c r="C1720" s="284"/>
      <c r="D1720" s="365"/>
      <c r="E1720" s="365"/>
      <c r="F1720" s="283"/>
      <c r="G1720" s="283"/>
      <c r="H1720" s="294" t="s">
        <v>295</v>
      </c>
      <c r="I1720" s="44"/>
      <c r="J1720" s="45"/>
      <c r="K1720" s="289"/>
      <c r="L1720" s="281"/>
      <c r="M1720" s="46"/>
      <c r="N1720" s="46"/>
      <c r="O1720" s="431"/>
      <c r="P1720" s="282">
        <f t="shared" si="52"/>
        <v>0</v>
      </c>
      <c r="Q1720" s="282">
        <f t="shared" si="53"/>
        <v>0</v>
      </c>
    </row>
    <row r="1721" spans="1:17" ht="14.5" x14ac:dyDescent="0.35">
      <c r="A1721" s="84" t="s">
        <v>809</v>
      </c>
      <c r="B1721" s="10" t="s">
        <v>829</v>
      </c>
      <c r="C1721" s="284"/>
      <c r="D1721" s="365"/>
      <c r="E1721" s="365"/>
      <c r="F1721" s="283" t="s">
        <v>32</v>
      </c>
      <c r="G1721" s="283"/>
      <c r="H1721" s="298" t="s">
        <v>296</v>
      </c>
      <c r="I1721" s="44" t="s">
        <v>110</v>
      </c>
      <c r="J1721" s="45">
        <f>J1715</f>
        <v>1038</v>
      </c>
      <c r="K1721" s="289">
        <v>145</v>
      </c>
      <c r="L1721" s="281">
        <f>J1721*K1721</f>
        <v>150510</v>
      </c>
      <c r="M1721" s="46">
        <f>M1715</f>
        <v>1038</v>
      </c>
      <c r="N1721" s="46">
        <f>N1715</f>
        <v>1038</v>
      </c>
      <c r="O1721" s="431">
        <v>145</v>
      </c>
      <c r="P1721" s="282">
        <f t="shared" si="52"/>
        <v>150510</v>
      </c>
      <c r="Q1721" s="282">
        <f t="shared" si="53"/>
        <v>150510</v>
      </c>
    </row>
    <row r="1722" spans="1:17" ht="13" x14ac:dyDescent="0.35">
      <c r="A1722" s="84" t="s">
        <v>809</v>
      </c>
      <c r="B1722" s="10" t="s">
        <v>832</v>
      </c>
      <c r="C1722" s="284"/>
      <c r="D1722" s="365"/>
      <c r="E1722" s="365"/>
      <c r="F1722" s="283"/>
      <c r="G1722" s="283"/>
      <c r="H1722" s="292" t="s">
        <v>810</v>
      </c>
      <c r="I1722" s="44"/>
      <c r="J1722" s="45"/>
      <c r="K1722" s="289"/>
      <c r="L1722" s="281"/>
      <c r="M1722" s="46"/>
      <c r="N1722" s="46"/>
      <c r="O1722" s="431"/>
      <c r="P1722" s="282">
        <f t="shared" si="52"/>
        <v>0</v>
      </c>
      <c r="Q1722" s="282">
        <f t="shared" si="53"/>
        <v>0</v>
      </c>
    </row>
    <row r="1723" spans="1:17" ht="13" x14ac:dyDescent="0.35">
      <c r="A1723" s="84" t="s">
        <v>809</v>
      </c>
      <c r="B1723" s="10" t="s">
        <v>832</v>
      </c>
      <c r="C1723" s="284"/>
      <c r="D1723" s="365"/>
      <c r="E1723" s="365"/>
      <c r="F1723" s="283"/>
      <c r="G1723" s="283"/>
      <c r="H1723" s="292" t="s">
        <v>811</v>
      </c>
      <c r="I1723" s="44"/>
      <c r="J1723" s="45"/>
      <c r="K1723" s="289"/>
      <c r="L1723" s="281"/>
      <c r="M1723" s="46"/>
      <c r="N1723" s="46"/>
      <c r="O1723" s="431"/>
      <c r="P1723" s="282">
        <f t="shared" si="52"/>
        <v>0</v>
      </c>
      <c r="Q1723" s="282">
        <f t="shared" si="53"/>
        <v>0</v>
      </c>
    </row>
    <row r="1724" spans="1:17" ht="13" x14ac:dyDescent="0.35">
      <c r="A1724" s="84" t="s">
        <v>809</v>
      </c>
      <c r="B1724" s="10" t="s">
        <v>832</v>
      </c>
      <c r="C1724" s="284"/>
      <c r="D1724" s="365"/>
      <c r="E1724" s="365"/>
      <c r="F1724" s="283"/>
      <c r="G1724" s="283"/>
      <c r="H1724" s="292" t="s">
        <v>236</v>
      </c>
      <c r="I1724" s="44"/>
      <c r="J1724" s="45"/>
      <c r="K1724" s="289"/>
      <c r="L1724" s="281"/>
      <c r="M1724" s="46"/>
      <c r="N1724" s="46"/>
      <c r="O1724" s="431"/>
      <c r="P1724" s="282">
        <f t="shared" si="52"/>
        <v>0</v>
      </c>
      <c r="Q1724" s="282">
        <f t="shared" si="53"/>
        <v>0</v>
      </c>
    </row>
    <row r="1725" spans="1:17" ht="13" x14ac:dyDescent="0.35">
      <c r="A1725" s="84" t="s">
        <v>809</v>
      </c>
      <c r="B1725" s="10" t="s">
        <v>832</v>
      </c>
      <c r="C1725" s="284"/>
      <c r="D1725" s="365"/>
      <c r="E1725" s="365"/>
      <c r="F1725" s="328"/>
      <c r="G1725" s="328"/>
      <c r="H1725" s="334" t="s">
        <v>308</v>
      </c>
      <c r="I1725" s="91"/>
      <c r="J1725" s="92"/>
      <c r="K1725" s="330"/>
      <c r="L1725" s="331"/>
      <c r="M1725" s="93"/>
      <c r="N1725" s="93"/>
      <c r="O1725" s="437"/>
      <c r="P1725" s="332">
        <f t="shared" si="52"/>
        <v>0</v>
      </c>
      <c r="Q1725" s="332">
        <f t="shared" si="53"/>
        <v>0</v>
      </c>
    </row>
    <row r="1726" spans="1:17" ht="13" x14ac:dyDescent="0.35">
      <c r="A1726" s="84" t="s">
        <v>809</v>
      </c>
      <c r="B1726" s="10" t="s">
        <v>832</v>
      </c>
      <c r="C1726" s="284"/>
      <c r="D1726" s="365"/>
      <c r="E1726" s="365"/>
      <c r="F1726" s="328"/>
      <c r="G1726" s="328"/>
      <c r="H1726" s="329" t="s">
        <v>100</v>
      </c>
      <c r="I1726" s="91"/>
      <c r="J1726" s="92"/>
      <c r="K1726" s="330"/>
      <c r="L1726" s="331"/>
      <c r="M1726" s="93"/>
      <c r="N1726" s="93"/>
      <c r="O1726" s="437"/>
      <c r="P1726" s="332">
        <f t="shared" si="52"/>
        <v>0</v>
      </c>
      <c r="Q1726" s="332">
        <f t="shared" si="53"/>
        <v>0</v>
      </c>
    </row>
    <row r="1727" spans="1:17" x14ac:dyDescent="0.35">
      <c r="A1727" s="84" t="s">
        <v>809</v>
      </c>
      <c r="B1727" s="10" t="s">
        <v>832</v>
      </c>
      <c r="C1727" s="284"/>
      <c r="D1727" s="365"/>
      <c r="E1727" s="365"/>
      <c r="F1727" s="328"/>
      <c r="G1727" s="328"/>
      <c r="H1727" s="333" t="s">
        <v>101</v>
      </c>
      <c r="I1727" s="91"/>
      <c r="J1727" s="92"/>
      <c r="K1727" s="330"/>
      <c r="L1727" s="331"/>
      <c r="M1727" s="93"/>
      <c r="N1727" s="93"/>
      <c r="O1727" s="437"/>
      <c r="P1727" s="332">
        <f t="shared" si="52"/>
        <v>0</v>
      </c>
      <c r="Q1727" s="332">
        <f t="shared" si="53"/>
        <v>0</v>
      </c>
    </row>
    <row r="1728" spans="1:17" ht="13" x14ac:dyDescent="0.35">
      <c r="A1728" s="84" t="s">
        <v>809</v>
      </c>
      <c r="B1728" s="10" t="s">
        <v>832</v>
      </c>
      <c r="C1728" s="284"/>
      <c r="D1728" s="365"/>
      <c r="E1728" s="365"/>
      <c r="F1728" s="328"/>
      <c r="G1728" s="328"/>
      <c r="H1728" s="334" t="s">
        <v>309</v>
      </c>
      <c r="I1728" s="91"/>
      <c r="J1728" s="92"/>
      <c r="K1728" s="330"/>
      <c r="L1728" s="331"/>
      <c r="M1728" s="93"/>
      <c r="N1728" s="93"/>
      <c r="O1728" s="437"/>
      <c r="P1728" s="332">
        <f t="shared" si="52"/>
        <v>0</v>
      </c>
      <c r="Q1728" s="332">
        <f t="shared" si="53"/>
        <v>0</v>
      </c>
    </row>
    <row r="1729" spans="1:17" x14ac:dyDescent="0.35">
      <c r="A1729" s="84" t="s">
        <v>809</v>
      </c>
      <c r="B1729" s="10" t="s">
        <v>832</v>
      </c>
      <c r="C1729" s="284"/>
      <c r="D1729" s="365"/>
      <c r="E1729" s="365"/>
      <c r="F1729" s="328" t="s">
        <v>20</v>
      </c>
      <c r="G1729" s="328"/>
      <c r="H1729" s="333" t="s">
        <v>310</v>
      </c>
      <c r="I1729" s="91" t="s">
        <v>175</v>
      </c>
      <c r="J1729" s="92">
        <f>18*2</f>
        <v>36</v>
      </c>
      <c r="K1729" s="330">
        <v>200</v>
      </c>
      <c r="L1729" s="331">
        <f>J1729*K1729</f>
        <v>7200</v>
      </c>
      <c r="M1729" s="93">
        <f>18*2</f>
        <v>36</v>
      </c>
      <c r="N1729" s="93">
        <f>18*2</f>
        <v>36</v>
      </c>
      <c r="O1729" s="437">
        <v>200</v>
      </c>
      <c r="P1729" s="332">
        <f t="shared" si="52"/>
        <v>7200</v>
      </c>
      <c r="Q1729" s="332">
        <f t="shared" si="53"/>
        <v>7200</v>
      </c>
    </row>
    <row r="1730" spans="1:17" x14ac:dyDescent="0.35">
      <c r="A1730" s="84" t="s">
        <v>809</v>
      </c>
      <c r="B1730" s="10" t="s">
        <v>832</v>
      </c>
      <c r="C1730" s="284"/>
      <c r="D1730" s="365"/>
      <c r="E1730" s="365"/>
      <c r="F1730" s="328" t="s">
        <v>26</v>
      </c>
      <c r="G1730" s="328"/>
      <c r="H1730" s="333" t="s">
        <v>311</v>
      </c>
      <c r="I1730" s="91" t="s">
        <v>175</v>
      </c>
      <c r="J1730" s="92">
        <f>18*2</f>
        <v>36</v>
      </c>
      <c r="K1730" s="330">
        <v>200</v>
      </c>
      <c r="L1730" s="331">
        <f>J1730*K1730</f>
        <v>7200</v>
      </c>
      <c r="M1730" s="93">
        <f>18*2</f>
        <v>36</v>
      </c>
      <c r="N1730" s="93">
        <f>18*2</f>
        <v>36</v>
      </c>
      <c r="O1730" s="437">
        <v>200</v>
      </c>
      <c r="P1730" s="332">
        <f t="shared" si="52"/>
        <v>7200</v>
      </c>
      <c r="Q1730" s="332">
        <f t="shared" si="53"/>
        <v>7200</v>
      </c>
    </row>
    <row r="1731" spans="1:17" ht="13" x14ac:dyDescent="0.35">
      <c r="A1731" s="84" t="s">
        <v>809</v>
      </c>
      <c r="B1731" s="10" t="s">
        <v>832</v>
      </c>
      <c r="C1731" s="284"/>
      <c r="D1731" s="365"/>
      <c r="E1731" s="365"/>
      <c r="F1731" s="328"/>
      <c r="G1731" s="328"/>
      <c r="H1731" s="329" t="s">
        <v>312</v>
      </c>
      <c r="I1731" s="91"/>
      <c r="J1731" s="92"/>
      <c r="K1731" s="330"/>
      <c r="L1731" s="331"/>
      <c r="M1731" s="93"/>
      <c r="N1731" s="93"/>
      <c r="O1731" s="437"/>
      <c r="P1731" s="332">
        <f t="shared" si="52"/>
        <v>0</v>
      </c>
      <c r="Q1731" s="332">
        <f t="shared" si="53"/>
        <v>0</v>
      </c>
    </row>
    <row r="1732" spans="1:17" x14ac:dyDescent="0.35">
      <c r="A1732" s="84" t="s">
        <v>809</v>
      </c>
      <c r="B1732" s="10" t="s">
        <v>832</v>
      </c>
      <c r="C1732" s="284"/>
      <c r="D1732" s="365"/>
      <c r="E1732" s="365"/>
      <c r="F1732" s="328" t="s">
        <v>29</v>
      </c>
      <c r="G1732" s="328"/>
      <c r="H1732" s="98" t="s">
        <v>313</v>
      </c>
      <c r="I1732" s="112" t="s">
        <v>175</v>
      </c>
      <c r="J1732" s="45">
        <v>18</v>
      </c>
      <c r="K1732" s="330">
        <v>450</v>
      </c>
      <c r="L1732" s="331">
        <f>J1732*K1732</f>
        <v>8100</v>
      </c>
      <c r="M1732" s="46">
        <v>18</v>
      </c>
      <c r="N1732" s="46">
        <v>18</v>
      </c>
      <c r="O1732" s="437">
        <v>450</v>
      </c>
      <c r="P1732" s="332">
        <f t="shared" si="52"/>
        <v>8100</v>
      </c>
      <c r="Q1732" s="332">
        <f t="shared" si="53"/>
        <v>8100</v>
      </c>
    </row>
    <row r="1733" spans="1:17" x14ac:dyDescent="0.35">
      <c r="A1733" s="84" t="s">
        <v>809</v>
      </c>
      <c r="B1733" s="10" t="s">
        <v>832</v>
      </c>
      <c r="C1733" s="284"/>
      <c r="D1733" s="365"/>
      <c r="E1733" s="365"/>
      <c r="F1733" s="328" t="s">
        <v>32</v>
      </c>
      <c r="G1733" s="328"/>
      <c r="H1733" s="333" t="s">
        <v>314</v>
      </c>
      <c r="I1733" s="112" t="s">
        <v>175</v>
      </c>
      <c r="J1733" s="45">
        <v>18</v>
      </c>
      <c r="K1733" s="330">
        <v>450</v>
      </c>
      <c r="L1733" s="331">
        <f>J1733*K1733</f>
        <v>8100</v>
      </c>
      <c r="M1733" s="46">
        <v>18</v>
      </c>
      <c r="N1733" s="46">
        <v>18</v>
      </c>
      <c r="O1733" s="437">
        <v>450</v>
      </c>
      <c r="P1733" s="332">
        <f t="shared" si="52"/>
        <v>8100</v>
      </c>
      <c r="Q1733" s="332">
        <f t="shared" si="53"/>
        <v>8100</v>
      </c>
    </row>
    <row r="1734" spans="1:17" ht="13" x14ac:dyDescent="0.35">
      <c r="A1734" s="84" t="s">
        <v>809</v>
      </c>
      <c r="B1734" s="10" t="s">
        <v>832</v>
      </c>
      <c r="C1734" s="284"/>
      <c r="D1734" s="365"/>
      <c r="E1734" s="365"/>
      <c r="F1734" s="328"/>
      <c r="G1734" s="328"/>
      <c r="H1734" s="329" t="s">
        <v>319</v>
      </c>
      <c r="I1734" s="112"/>
      <c r="J1734" s="45"/>
      <c r="K1734" s="330"/>
      <c r="L1734" s="331"/>
      <c r="M1734" s="46"/>
      <c r="N1734" s="46"/>
      <c r="O1734" s="437"/>
      <c r="P1734" s="332">
        <f t="shared" si="52"/>
        <v>0</v>
      </c>
      <c r="Q1734" s="332">
        <f t="shared" si="53"/>
        <v>0</v>
      </c>
    </row>
    <row r="1735" spans="1:17" x14ac:dyDescent="0.35">
      <c r="A1735" s="84" t="s">
        <v>809</v>
      </c>
      <c r="B1735" s="10" t="s">
        <v>832</v>
      </c>
      <c r="C1735" s="284"/>
      <c r="D1735" s="365"/>
      <c r="E1735" s="365"/>
      <c r="F1735" s="328" t="s">
        <v>36</v>
      </c>
      <c r="G1735" s="328"/>
      <c r="H1735" s="333" t="s">
        <v>320</v>
      </c>
      <c r="I1735" s="112" t="s">
        <v>175</v>
      </c>
      <c r="J1735" s="45">
        <v>18</v>
      </c>
      <c r="K1735" s="330">
        <v>80</v>
      </c>
      <c r="L1735" s="331">
        <f>J1735*K1735</f>
        <v>1440</v>
      </c>
      <c r="M1735" s="46">
        <v>18</v>
      </c>
      <c r="N1735" s="46">
        <v>18</v>
      </c>
      <c r="O1735" s="437">
        <v>80</v>
      </c>
      <c r="P1735" s="332">
        <f t="shared" si="52"/>
        <v>1440</v>
      </c>
      <c r="Q1735" s="332">
        <f t="shared" si="53"/>
        <v>1440</v>
      </c>
    </row>
    <row r="1736" spans="1:17" ht="26" x14ac:dyDescent="0.35">
      <c r="A1736" s="84" t="s">
        <v>809</v>
      </c>
      <c r="B1736" s="10" t="s">
        <v>832</v>
      </c>
      <c r="C1736" s="284"/>
      <c r="D1736" s="365"/>
      <c r="E1736" s="365"/>
      <c r="F1736" s="328"/>
      <c r="G1736" s="328"/>
      <c r="H1736" s="329" t="s">
        <v>652</v>
      </c>
      <c r="I1736" s="112"/>
      <c r="J1736" s="45"/>
      <c r="K1736" s="330"/>
      <c r="L1736" s="331"/>
      <c r="M1736" s="46"/>
      <c r="N1736" s="46"/>
      <c r="O1736" s="437"/>
      <c r="P1736" s="332">
        <f t="shared" si="52"/>
        <v>0</v>
      </c>
      <c r="Q1736" s="332">
        <f t="shared" si="53"/>
        <v>0</v>
      </c>
    </row>
    <row r="1737" spans="1:17" x14ac:dyDescent="0.35">
      <c r="A1737" s="84" t="s">
        <v>809</v>
      </c>
      <c r="B1737" s="10" t="s">
        <v>832</v>
      </c>
      <c r="C1737" s="284"/>
      <c r="D1737" s="365"/>
      <c r="E1737" s="365"/>
      <c r="F1737" s="328"/>
      <c r="G1737" s="328"/>
      <c r="H1737" s="335" t="s">
        <v>653</v>
      </c>
      <c r="I1737" s="112"/>
      <c r="J1737" s="45"/>
      <c r="K1737" s="330"/>
      <c r="L1737" s="331"/>
      <c r="M1737" s="46"/>
      <c r="N1737" s="46"/>
      <c r="O1737" s="437"/>
      <c r="P1737" s="332">
        <f t="shared" si="52"/>
        <v>0</v>
      </c>
      <c r="Q1737" s="332">
        <f t="shared" si="53"/>
        <v>0</v>
      </c>
    </row>
    <row r="1738" spans="1:17" x14ac:dyDescent="0.35">
      <c r="A1738" s="84" t="s">
        <v>809</v>
      </c>
      <c r="B1738" s="10" t="s">
        <v>832</v>
      </c>
      <c r="C1738" s="284"/>
      <c r="D1738" s="365"/>
      <c r="E1738" s="365"/>
      <c r="F1738" s="328" t="s">
        <v>39</v>
      </c>
      <c r="G1738" s="328"/>
      <c r="H1738" s="333" t="s">
        <v>654</v>
      </c>
      <c r="I1738" s="112" t="s">
        <v>175</v>
      </c>
      <c r="J1738" s="45">
        <v>18</v>
      </c>
      <c r="K1738" s="330">
        <v>4000</v>
      </c>
      <c r="L1738" s="331">
        <f>J1738*K1738</f>
        <v>72000</v>
      </c>
      <c r="M1738" s="46">
        <v>18</v>
      </c>
      <c r="N1738" s="46">
        <v>18</v>
      </c>
      <c r="O1738" s="437">
        <v>4000</v>
      </c>
      <c r="P1738" s="332">
        <f t="shared" ref="P1738:P1801" si="54">O1738*M1738</f>
        <v>72000</v>
      </c>
      <c r="Q1738" s="332">
        <f t="shared" ref="Q1738:Q1801" si="55">O1738*N1738</f>
        <v>72000</v>
      </c>
    </row>
    <row r="1739" spans="1:17" x14ac:dyDescent="0.35">
      <c r="A1739" s="84" t="s">
        <v>809</v>
      </c>
      <c r="B1739" s="10" t="s">
        <v>832</v>
      </c>
      <c r="C1739" s="284"/>
      <c r="D1739" s="365"/>
      <c r="E1739" s="365"/>
      <c r="F1739" s="328" t="s">
        <v>42</v>
      </c>
      <c r="G1739" s="328"/>
      <c r="H1739" s="333" t="s">
        <v>833</v>
      </c>
      <c r="I1739" s="112" t="s">
        <v>175</v>
      </c>
      <c r="J1739" s="45">
        <v>18</v>
      </c>
      <c r="K1739" s="330">
        <v>6000</v>
      </c>
      <c r="L1739" s="331">
        <f>J1739*K1739</f>
        <v>108000</v>
      </c>
      <c r="M1739" s="46">
        <v>18</v>
      </c>
      <c r="N1739" s="46">
        <v>18</v>
      </c>
      <c r="O1739" s="437">
        <v>6000</v>
      </c>
      <c r="P1739" s="332">
        <f t="shared" si="54"/>
        <v>108000</v>
      </c>
      <c r="Q1739" s="332">
        <f t="shared" si="55"/>
        <v>108000</v>
      </c>
    </row>
    <row r="1740" spans="1:17" x14ac:dyDescent="0.35">
      <c r="A1740" s="84" t="s">
        <v>809</v>
      </c>
      <c r="B1740" s="10" t="s">
        <v>832</v>
      </c>
      <c r="C1740" s="284"/>
      <c r="D1740" s="365"/>
      <c r="E1740" s="365"/>
      <c r="F1740" s="328" t="s">
        <v>45</v>
      </c>
      <c r="G1740" s="328"/>
      <c r="H1740" s="333" t="s">
        <v>834</v>
      </c>
      <c r="I1740" s="112" t="s">
        <v>175</v>
      </c>
      <c r="J1740" s="45">
        <v>18</v>
      </c>
      <c r="K1740" s="330">
        <v>8000</v>
      </c>
      <c r="L1740" s="331">
        <f>J1740*K1740</f>
        <v>144000</v>
      </c>
      <c r="M1740" s="46">
        <v>18</v>
      </c>
      <c r="N1740" s="46">
        <v>18</v>
      </c>
      <c r="O1740" s="437">
        <v>8000</v>
      </c>
      <c r="P1740" s="332">
        <f t="shared" si="54"/>
        <v>144000</v>
      </c>
      <c r="Q1740" s="332">
        <f t="shared" si="55"/>
        <v>144000</v>
      </c>
    </row>
    <row r="1741" spans="1:17" ht="13" x14ac:dyDescent="0.35">
      <c r="A1741" s="84" t="s">
        <v>809</v>
      </c>
      <c r="B1741" s="10" t="s">
        <v>835</v>
      </c>
      <c r="C1741" s="284"/>
      <c r="D1741" s="365"/>
      <c r="E1741" s="365"/>
      <c r="F1741" s="336"/>
      <c r="G1741" s="114"/>
      <c r="H1741" s="292" t="s">
        <v>810</v>
      </c>
      <c r="I1741" s="44"/>
      <c r="J1741" s="116"/>
      <c r="K1741" s="289"/>
      <c r="L1741" s="281"/>
      <c r="M1741" s="46"/>
      <c r="N1741" s="46"/>
      <c r="O1741" s="431"/>
      <c r="P1741" s="282">
        <f t="shared" si="54"/>
        <v>0</v>
      </c>
      <c r="Q1741" s="282">
        <f t="shared" si="55"/>
        <v>0</v>
      </c>
    </row>
    <row r="1742" spans="1:17" ht="13" x14ac:dyDescent="0.35">
      <c r="A1742" s="84" t="s">
        <v>809</v>
      </c>
      <c r="B1742" s="10" t="s">
        <v>835</v>
      </c>
      <c r="C1742" s="284"/>
      <c r="D1742" s="365"/>
      <c r="E1742" s="365"/>
      <c r="F1742" s="336"/>
      <c r="G1742" s="114"/>
      <c r="H1742" s="292" t="s">
        <v>811</v>
      </c>
      <c r="I1742" s="44"/>
      <c r="J1742" s="116"/>
      <c r="K1742" s="289"/>
      <c r="L1742" s="281"/>
      <c r="M1742" s="46"/>
      <c r="N1742" s="46"/>
      <c r="O1742" s="431"/>
      <c r="P1742" s="282">
        <f t="shared" si="54"/>
        <v>0</v>
      </c>
      <c r="Q1742" s="282">
        <f t="shared" si="55"/>
        <v>0</v>
      </c>
    </row>
    <row r="1743" spans="1:17" ht="13" x14ac:dyDescent="0.35">
      <c r="A1743" s="84" t="s">
        <v>809</v>
      </c>
      <c r="B1743" s="10" t="s">
        <v>835</v>
      </c>
      <c r="C1743" s="284"/>
      <c r="D1743" s="365"/>
      <c r="E1743" s="365"/>
      <c r="F1743" s="336"/>
      <c r="G1743" s="114"/>
      <c r="H1743" s="334" t="s">
        <v>247</v>
      </c>
      <c r="I1743" s="44"/>
      <c r="J1743" s="116"/>
      <c r="K1743" s="289"/>
      <c r="L1743" s="281"/>
      <c r="M1743" s="46"/>
      <c r="N1743" s="46"/>
      <c r="O1743" s="431"/>
      <c r="P1743" s="282">
        <f t="shared" si="54"/>
        <v>0</v>
      </c>
      <c r="Q1743" s="282">
        <f t="shared" si="55"/>
        <v>0</v>
      </c>
    </row>
    <row r="1744" spans="1:17" ht="13" x14ac:dyDescent="0.35">
      <c r="A1744" s="84" t="s">
        <v>809</v>
      </c>
      <c r="B1744" s="10" t="s">
        <v>835</v>
      </c>
      <c r="C1744" s="284"/>
      <c r="D1744" s="365"/>
      <c r="E1744" s="365"/>
      <c r="F1744" s="336"/>
      <c r="G1744" s="114"/>
      <c r="H1744" s="292" t="s">
        <v>332</v>
      </c>
      <c r="I1744" s="44"/>
      <c r="J1744" s="116"/>
      <c r="K1744" s="289"/>
      <c r="L1744" s="281"/>
      <c r="M1744" s="46"/>
      <c r="N1744" s="46"/>
      <c r="O1744" s="431"/>
      <c r="P1744" s="282">
        <f t="shared" si="54"/>
        <v>0</v>
      </c>
      <c r="Q1744" s="282">
        <f t="shared" si="55"/>
        <v>0</v>
      </c>
    </row>
    <row r="1745" spans="1:17" ht="13" x14ac:dyDescent="0.35">
      <c r="A1745" s="84" t="s">
        <v>809</v>
      </c>
      <c r="B1745" s="10" t="s">
        <v>835</v>
      </c>
      <c r="C1745" s="284"/>
      <c r="D1745" s="365"/>
      <c r="E1745" s="365"/>
      <c r="F1745" s="336"/>
      <c r="G1745" s="114"/>
      <c r="H1745" s="294" t="s">
        <v>100</v>
      </c>
      <c r="I1745" s="44"/>
      <c r="J1745" s="116"/>
      <c r="K1745" s="289"/>
      <c r="L1745" s="281"/>
      <c r="M1745" s="46"/>
      <c r="N1745" s="46"/>
      <c r="O1745" s="431"/>
      <c r="P1745" s="282">
        <f t="shared" si="54"/>
        <v>0</v>
      </c>
      <c r="Q1745" s="282">
        <f t="shared" si="55"/>
        <v>0</v>
      </c>
    </row>
    <row r="1746" spans="1:17" ht="13" x14ac:dyDescent="0.35">
      <c r="A1746" s="84" t="s">
        <v>809</v>
      </c>
      <c r="B1746" s="10" t="s">
        <v>835</v>
      </c>
      <c r="C1746" s="284"/>
      <c r="D1746" s="365"/>
      <c r="E1746" s="365"/>
      <c r="F1746" s="336"/>
      <c r="G1746" s="114"/>
      <c r="H1746" s="298" t="s">
        <v>101</v>
      </c>
      <c r="I1746" s="44"/>
      <c r="J1746" s="116"/>
      <c r="K1746" s="289"/>
      <c r="L1746" s="281"/>
      <c r="M1746" s="46"/>
      <c r="N1746" s="46"/>
      <c r="O1746" s="431"/>
      <c r="P1746" s="282">
        <f t="shared" si="54"/>
        <v>0</v>
      </c>
      <c r="Q1746" s="282">
        <f t="shared" si="55"/>
        <v>0</v>
      </c>
    </row>
    <row r="1747" spans="1:17" ht="13" x14ac:dyDescent="0.35">
      <c r="A1747" s="84" t="s">
        <v>809</v>
      </c>
      <c r="B1747" s="10" t="s">
        <v>835</v>
      </c>
      <c r="C1747" s="284"/>
      <c r="D1747" s="365"/>
      <c r="E1747" s="365"/>
      <c r="F1747" s="336"/>
      <c r="G1747" s="114"/>
      <c r="H1747" s="294" t="s">
        <v>333</v>
      </c>
      <c r="I1747" s="44"/>
      <c r="J1747" s="116"/>
      <c r="K1747" s="289"/>
      <c r="L1747" s="281"/>
      <c r="M1747" s="46"/>
      <c r="N1747" s="46"/>
      <c r="O1747" s="431"/>
      <c r="P1747" s="282">
        <f t="shared" si="54"/>
        <v>0</v>
      </c>
      <c r="Q1747" s="282">
        <f t="shared" si="55"/>
        <v>0</v>
      </c>
    </row>
    <row r="1748" spans="1:17" ht="25" x14ac:dyDescent="0.35">
      <c r="A1748" s="84" t="s">
        <v>809</v>
      </c>
      <c r="B1748" s="10" t="s">
        <v>835</v>
      </c>
      <c r="C1748" s="284"/>
      <c r="D1748" s="365"/>
      <c r="E1748" s="365"/>
      <c r="F1748" s="336"/>
      <c r="G1748" s="114"/>
      <c r="H1748" s="298" t="s">
        <v>334</v>
      </c>
      <c r="I1748" s="44"/>
      <c r="J1748" s="117"/>
      <c r="K1748" s="289"/>
      <c r="L1748" s="281"/>
      <c r="M1748" s="118"/>
      <c r="N1748" s="118"/>
      <c r="O1748" s="431"/>
      <c r="P1748" s="282">
        <f t="shared" si="54"/>
        <v>0</v>
      </c>
      <c r="Q1748" s="282">
        <f t="shared" si="55"/>
        <v>0</v>
      </c>
    </row>
    <row r="1749" spans="1:17" ht="13" x14ac:dyDescent="0.35">
      <c r="A1749" s="84" t="s">
        <v>809</v>
      </c>
      <c r="B1749" s="10" t="s">
        <v>835</v>
      </c>
      <c r="C1749" s="284"/>
      <c r="D1749" s="365"/>
      <c r="E1749" s="365"/>
      <c r="F1749" s="336"/>
      <c r="G1749" s="114"/>
      <c r="H1749" s="324" t="s">
        <v>335</v>
      </c>
      <c r="I1749" s="44"/>
      <c r="J1749" s="116"/>
      <c r="K1749" s="289"/>
      <c r="L1749" s="281"/>
      <c r="M1749" s="46"/>
      <c r="N1749" s="46"/>
      <c r="O1749" s="431"/>
      <c r="P1749" s="282">
        <f t="shared" si="54"/>
        <v>0</v>
      </c>
      <c r="Q1749" s="282">
        <f t="shared" si="55"/>
        <v>0</v>
      </c>
    </row>
    <row r="1750" spans="1:17" ht="37.5" x14ac:dyDescent="0.35">
      <c r="A1750" s="84" t="s">
        <v>809</v>
      </c>
      <c r="B1750" s="10" t="s">
        <v>835</v>
      </c>
      <c r="C1750" s="284"/>
      <c r="D1750" s="365"/>
      <c r="E1750" s="365"/>
      <c r="F1750" s="336"/>
      <c r="G1750" s="114"/>
      <c r="H1750" s="324" t="s">
        <v>336</v>
      </c>
      <c r="I1750" s="44"/>
      <c r="J1750" s="116"/>
      <c r="K1750" s="289"/>
      <c r="L1750" s="281"/>
      <c r="M1750" s="46"/>
      <c r="N1750" s="46"/>
      <c r="O1750" s="431"/>
      <c r="P1750" s="282">
        <f t="shared" si="54"/>
        <v>0</v>
      </c>
      <c r="Q1750" s="282">
        <f t="shared" si="55"/>
        <v>0</v>
      </c>
    </row>
    <row r="1751" spans="1:17" ht="13" x14ac:dyDescent="0.35">
      <c r="A1751" s="84" t="s">
        <v>809</v>
      </c>
      <c r="B1751" s="10" t="s">
        <v>835</v>
      </c>
      <c r="C1751" s="284"/>
      <c r="D1751" s="365"/>
      <c r="E1751" s="365"/>
      <c r="F1751" s="336"/>
      <c r="G1751" s="114"/>
      <c r="H1751" s="294" t="s">
        <v>337</v>
      </c>
      <c r="I1751" s="44"/>
      <c r="J1751" s="119"/>
      <c r="K1751" s="337"/>
      <c r="L1751" s="281"/>
      <c r="M1751" s="120"/>
      <c r="N1751" s="120"/>
      <c r="O1751" s="438"/>
      <c r="P1751" s="282">
        <f t="shared" si="54"/>
        <v>0</v>
      </c>
      <c r="Q1751" s="282">
        <f t="shared" si="55"/>
        <v>0</v>
      </c>
    </row>
    <row r="1752" spans="1:17" ht="37.5" x14ac:dyDescent="0.35">
      <c r="A1752" s="84" t="s">
        <v>809</v>
      </c>
      <c r="B1752" s="10" t="s">
        <v>835</v>
      </c>
      <c r="C1752" s="284"/>
      <c r="D1752" s="365"/>
      <c r="E1752" s="365"/>
      <c r="F1752" s="336" t="s">
        <v>20</v>
      </c>
      <c r="G1752" s="114"/>
      <c r="H1752" s="298" t="s">
        <v>836</v>
      </c>
      <c r="I1752" s="44" t="s">
        <v>110</v>
      </c>
      <c r="J1752" s="122">
        <v>1104</v>
      </c>
      <c r="K1752" s="337">
        <v>665</v>
      </c>
      <c r="L1752" s="281">
        <f>J1752*K1752</f>
        <v>734160</v>
      </c>
      <c r="M1752" s="120">
        <v>1104</v>
      </c>
      <c r="N1752" s="120">
        <v>1104</v>
      </c>
      <c r="O1752" s="438">
        <v>665</v>
      </c>
      <c r="P1752" s="282">
        <f t="shared" si="54"/>
        <v>734160</v>
      </c>
      <c r="Q1752" s="282">
        <f t="shared" si="55"/>
        <v>734160</v>
      </c>
    </row>
    <row r="1753" spans="1:17" ht="13" x14ac:dyDescent="0.35">
      <c r="A1753" s="84" t="s">
        <v>809</v>
      </c>
      <c r="B1753" s="123" t="s">
        <v>837</v>
      </c>
      <c r="C1753" s="376"/>
      <c r="D1753" s="381"/>
      <c r="E1753" s="381"/>
      <c r="F1753" s="328"/>
      <c r="G1753" s="328"/>
      <c r="H1753" s="292" t="s">
        <v>810</v>
      </c>
      <c r="I1753" s="91"/>
      <c r="J1753" s="92"/>
      <c r="K1753" s="330"/>
      <c r="L1753" s="338"/>
      <c r="M1753" s="93"/>
      <c r="N1753" s="93"/>
      <c r="O1753" s="437"/>
      <c r="P1753" s="339">
        <f t="shared" si="54"/>
        <v>0</v>
      </c>
      <c r="Q1753" s="339">
        <f t="shared" si="55"/>
        <v>0</v>
      </c>
    </row>
    <row r="1754" spans="1:17" ht="13" x14ac:dyDescent="0.35">
      <c r="A1754" s="84" t="s">
        <v>809</v>
      </c>
      <c r="B1754" s="123" t="s">
        <v>837</v>
      </c>
      <c r="C1754" s="284"/>
      <c r="D1754" s="365"/>
      <c r="E1754" s="365"/>
      <c r="F1754" s="328"/>
      <c r="G1754" s="328"/>
      <c r="H1754" s="292" t="s">
        <v>811</v>
      </c>
      <c r="I1754" s="91"/>
      <c r="J1754" s="92"/>
      <c r="K1754" s="330"/>
      <c r="L1754" s="331"/>
      <c r="M1754" s="93"/>
      <c r="N1754" s="93"/>
      <c r="O1754" s="437"/>
      <c r="P1754" s="332">
        <f t="shared" si="54"/>
        <v>0</v>
      </c>
      <c r="Q1754" s="332">
        <f t="shared" si="55"/>
        <v>0</v>
      </c>
    </row>
    <row r="1755" spans="1:17" ht="13" x14ac:dyDescent="0.35">
      <c r="A1755" s="84" t="s">
        <v>809</v>
      </c>
      <c r="B1755" s="123" t="s">
        <v>837</v>
      </c>
      <c r="C1755" s="284"/>
      <c r="D1755" s="365"/>
      <c r="E1755" s="365"/>
      <c r="F1755" s="328"/>
      <c r="G1755" s="328"/>
      <c r="H1755" s="334" t="s">
        <v>278</v>
      </c>
      <c r="I1755" s="91"/>
      <c r="J1755" s="92"/>
      <c r="K1755" s="330"/>
      <c r="L1755" s="331"/>
      <c r="M1755" s="93"/>
      <c r="N1755" s="93"/>
      <c r="O1755" s="437"/>
      <c r="P1755" s="332">
        <f t="shared" si="54"/>
        <v>0</v>
      </c>
      <c r="Q1755" s="332">
        <f t="shared" si="55"/>
        <v>0</v>
      </c>
    </row>
    <row r="1756" spans="1:17" ht="13" x14ac:dyDescent="0.35">
      <c r="A1756" s="84" t="s">
        <v>809</v>
      </c>
      <c r="B1756" s="123" t="s">
        <v>837</v>
      </c>
      <c r="C1756" s="284"/>
      <c r="D1756" s="365"/>
      <c r="E1756" s="365"/>
      <c r="F1756" s="328"/>
      <c r="G1756" s="328"/>
      <c r="H1756" s="334" t="s">
        <v>341</v>
      </c>
      <c r="I1756" s="91"/>
      <c r="J1756" s="92"/>
      <c r="K1756" s="330"/>
      <c r="L1756" s="331"/>
      <c r="M1756" s="93"/>
      <c r="N1756" s="93"/>
      <c r="O1756" s="437"/>
      <c r="P1756" s="332">
        <f t="shared" si="54"/>
        <v>0</v>
      </c>
      <c r="Q1756" s="332">
        <f t="shared" si="55"/>
        <v>0</v>
      </c>
    </row>
    <row r="1757" spans="1:17" ht="13" x14ac:dyDescent="0.35">
      <c r="A1757" s="84" t="s">
        <v>809</v>
      </c>
      <c r="B1757" s="123" t="s">
        <v>837</v>
      </c>
      <c r="C1757" s="284"/>
      <c r="D1757" s="365"/>
      <c r="E1757" s="365"/>
      <c r="F1757" s="328"/>
      <c r="G1757" s="328"/>
      <c r="H1757" s="329" t="s">
        <v>100</v>
      </c>
      <c r="I1757" s="91"/>
      <c r="J1757" s="92"/>
      <c r="K1757" s="330"/>
      <c r="L1757" s="331"/>
      <c r="M1757" s="93"/>
      <c r="N1757" s="93"/>
      <c r="O1757" s="437"/>
      <c r="P1757" s="332">
        <f t="shared" si="54"/>
        <v>0</v>
      </c>
      <c r="Q1757" s="332">
        <f t="shared" si="55"/>
        <v>0</v>
      </c>
    </row>
    <row r="1758" spans="1:17" x14ac:dyDescent="0.35">
      <c r="A1758" s="84" t="s">
        <v>809</v>
      </c>
      <c r="B1758" s="123" t="s">
        <v>837</v>
      </c>
      <c r="C1758" s="284"/>
      <c r="D1758" s="365"/>
      <c r="E1758" s="365"/>
      <c r="F1758" s="328"/>
      <c r="G1758" s="328"/>
      <c r="H1758" s="333" t="s">
        <v>101</v>
      </c>
      <c r="I1758" s="91"/>
      <c r="J1758" s="92"/>
      <c r="K1758" s="330"/>
      <c r="L1758" s="331"/>
      <c r="M1758" s="93"/>
      <c r="N1758" s="93"/>
      <c r="O1758" s="437"/>
      <c r="P1758" s="332">
        <f t="shared" si="54"/>
        <v>0</v>
      </c>
      <c r="Q1758" s="332">
        <f t="shared" si="55"/>
        <v>0</v>
      </c>
    </row>
    <row r="1759" spans="1:17" ht="13" x14ac:dyDescent="0.35">
      <c r="A1759" s="84" t="s">
        <v>809</v>
      </c>
      <c r="B1759" s="123" t="s">
        <v>837</v>
      </c>
      <c r="C1759" s="284"/>
      <c r="D1759" s="365"/>
      <c r="E1759" s="365"/>
      <c r="F1759" s="328"/>
      <c r="G1759" s="328"/>
      <c r="H1759" s="329" t="s">
        <v>102</v>
      </c>
      <c r="I1759" s="91"/>
      <c r="J1759" s="92"/>
      <c r="K1759" s="330"/>
      <c r="L1759" s="331"/>
      <c r="M1759" s="93"/>
      <c r="N1759" s="93"/>
      <c r="O1759" s="437"/>
      <c r="P1759" s="332">
        <f t="shared" si="54"/>
        <v>0</v>
      </c>
      <c r="Q1759" s="332">
        <f t="shared" si="55"/>
        <v>0</v>
      </c>
    </row>
    <row r="1760" spans="1:17" x14ac:dyDescent="0.35">
      <c r="A1760" s="84" t="s">
        <v>809</v>
      </c>
      <c r="B1760" s="123" t="s">
        <v>837</v>
      </c>
      <c r="C1760" s="284"/>
      <c r="D1760" s="365"/>
      <c r="E1760" s="365"/>
      <c r="F1760" s="328"/>
      <c r="G1760" s="340"/>
      <c r="H1760" s="333" t="s">
        <v>342</v>
      </c>
      <c r="I1760" s="91"/>
      <c r="J1760" s="45"/>
      <c r="K1760" s="341"/>
      <c r="L1760" s="281"/>
      <c r="M1760" s="46"/>
      <c r="N1760" s="46"/>
      <c r="O1760" s="439"/>
      <c r="P1760" s="282">
        <f t="shared" si="54"/>
        <v>0</v>
      </c>
      <c r="Q1760" s="282">
        <f t="shared" si="55"/>
        <v>0</v>
      </c>
    </row>
    <row r="1761" spans="1:17" ht="37.5" x14ac:dyDescent="0.35">
      <c r="A1761" s="84" t="s">
        <v>809</v>
      </c>
      <c r="B1761" s="123" t="s">
        <v>837</v>
      </c>
      <c r="C1761" s="284"/>
      <c r="D1761" s="365"/>
      <c r="E1761" s="365"/>
      <c r="F1761" s="328"/>
      <c r="G1761" s="340"/>
      <c r="H1761" s="333" t="s">
        <v>343</v>
      </c>
      <c r="I1761" s="91"/>
      <c r="J1761" s="45"/>
      <c r="K1761" s="341"/>
      <c r="L1761" s="281"/>
      <c r="M1761" s="46"/>
      <c r="N1761" s="46"/>
      <c r="O1761" s="439"/>
      <c r="P1761" s="282">
        <f t="shared" si="54"/>
        <v>0</v>
      </c>
      <c r="Q1761" s="282">
        <f t="shared" si="55"/>
        <v>0</v>
      </c>
    </row>
    <row r="1762" spans="1:17" ht="25" x14ac:dyDescent="0.35">
      <c r="A1762" s="84" t="s">
        <v>809</v>
      </c>
      <c r="B1762" s="123" t="s">
        <v>837</v>
      </c>
      <c r="C1762" s="284"/>
      <c r="D1762" s="365"/>
      <c r="E1762" s="365"/>
      <c r="F1762" s="328"/>
      <c r="G1762" s="340"/>
      <c r="H1762" s="333" t="s">
        <v>344</v>
      </c>
      <c r="I1762" s="91"/>
      <c r="J1762" s="45"/>
      <c r="K1762" s="341"/>
      <c r="L1762" s="281"/>
      <c r="M1762" s="46"/>
      <c r="N1762" s="46"/>
      <c r="O1762" s="439"/>
      <c r="P1762" s="282">
        <f t="shared" si="54"/>
        <v>0</v>
      </c>
      <c r="Q1762" s="282">
        <f t="shared" si="55"/>
        <v>0</v>
      </c>
    </row>
    <row r="1763" spans="1:17" ht="13" x14ac:dyDescent="0.35">
      <c r="A1763" s="84" t="s">
        <v>809</v>
      </c>
      <c r="B1763" s="123" t="s">
        <v>837</v>
      </c>
      <c r="C1763" s="284"/>
      <c r="D1763" s="365"/>
      <c r="E1763" s="365"/>
      <c r="F1763" s="328"/>
      <c r="G1763" s="328"/>
      <c r="H1763" s="329" t="s">
        <v>346</v>
      </c>
      <c r="I1763" s="91"/>
      <c r="J1763" s="58"/>
      <c r="K1763" s="330"/>
      <c r="L1763" s="331"/>
      <c r="M1763" s="59"/>
      <c r="N1763" s="59"/>
      <c r="O1763" s="437"/>
      <c r="P1763" s="332">
        <f t="shared" si="54"/>
        <v>0</v>
      </c>
      <c r="Q1763" s="332">
        <f t="shared" si="55"/>
        <v>0</v>
      </c>
    </row>
    <row r="1764" spans="1:17" ht="13" x14ac:dyDescent="0.35">
      <c r="A1764" s="84" t="s">
        <v>809</v>
      </c>
      <c r="B1764" s="123" t="s">
        <v>837</v>
      </c>
      <c r="C1764" s="284"/>
      <c r="D1764" s="365"/>
      <c r="E1764" s="365"/>
      <c r="F1764" s="328"/>
      <c r="G1764" s="328"/>
      <c r="H1764" s="329" t="s">
        <v>347</v>
      </c>
      <c r="I1764" s="91"/>
      <c r="J1764" s="117"/>
      <c r="K1764" s="330"/>
      <c r="L1764" s="331"/>
      <c r="M1764" s="118"/>
      <c r="N1764" s="118"/>
      <c r="O1764" s="437"/>
      <c r="P1764" s="332">
        <f t="shared" si="54"/>
        <v>0</v>
      </c>
      <c r="Q1764" s="332">
        <f t="shared" si="55"/>
        <v>0</v>
      </c>
    </row>
    <row r="1765" spans="1:17" x14ac:dyDescent="0.35">
      <c r="A1765" s="84" t="s">
        <v>809</v>
      </c>
      <c r="B1765" s="123" t="s">
        <v>837</v>
      </c>
      <c r="C1765" s="284"/>
      <c r="D1765" s="365"/>
      <c r="E1765" s="365"/>
      <c r="F1765" s="328" t="s">
        <v>20</v>
      </c>
      <c r="G1765" s="328"/>
      <c r="H1765" s="333" t="s">
        <v>656</v>
      </c>
      <c r="I1765" s="91" t="s">
        <v>175</v>
      </c>
      <c r="J1765" s="117">
        <v>18</v>
      </c>
      <c r="K1765" s="342">
        <v>1450</v>
      </c>
      <c r="L1765" s="331">
        <f>K1765*J1765</f>
        <v>26100</v>
      </c>
      <c r="M1765" s="118">
        <v>18</v>
      </c>
      <c r="N1765" s="118">
        <v>18</v>
      </c>
      <c r="O1765" s="440">
        <v>1450</v>
      </c>
      <c r="P1765" s="332">
        <f t="shared" si="54"/>
        <v>26100</v>
      </c>
      <c r="Q1765" s="332">
        <f t="shared" si="55"/>
        <v>26100</v>
      </c>
    </row>
    <row r="1766" spans="1:17" ht="13" x14ac:dyDescent="0.35">
      <c r="A1766" s="84" t="s">
        <v>809</v>
      </c>
      <c r="B1766" s="123" t="s">
        <v>837</v>
      </c>
      <c r="C1766" s="284"/>
      <c r="D1766" s="365"/>
      <c r="E1766" s="365"/>
      <c r="F1766" s="328"/>
      <c r="G1766" s="328"/>
      <c r="H1766" s="126" t="s">
        <v>355</v>
      </c>
      <c r="I1766" s="91"/>
      <c r="J1766" s="128"/>
      <c r="K1766" s="342"/>
      <c r="L1766" s="331"/>
      <c r="M1766" s="129"/>
      <c r="N1766" s="129"/>
      <c r="O1766" s="440"/>
      <c r="P1766" s="332">
        <f t="shared" si="54"/>
        <v>0</v>
      </c>
      <c r="Q1766" s="332">
        <f t="shared" si="55"/>
        <v>0</v>
      </c>
    </row>
    <row r="1767" spans="1:17" ht="26" x14ac:dyDescent="0.35">
      <c r="A1767" s="84" t="s">
        <v>809</v>
      </c>
      <c r="B1767" s="123" t="s">
        <v>837</v>
      </c>
      <c r="C1767" s="284"/>
      <c r="D1767" s="365"/>
      <c r="E1767" s="365"/>
      <c r="F1767" s="328"/>
      <c r="G1767" s="328"/>
      <c r="H1767" s="126" t="s">
        <v>356</v>
      </c>
      <c r="I1767" s="91"/>
      <c r="J1767" s="128"/>
      <c r="K1767" s="342"/>
      <c r="L1767" s="331"/>
      <c r="M1767" s="129"/>
      <c r="N1767" s="129"/>
      <c r="O1767" s="440"/>
      <c r="P1767" s="332">
        <f t="shared" si="54"/>
        <v>0</v>
      </c>
      <c r="Q1767" s="332">
        <f t="shared" si="55"/>
        <v>0</v>
      </c>
    </row>
    <row r="1768" spans="1:17" ht="25" x14ac:dyDescent="0.35">
      <c r="A1768" s="84" t="s">
        <v>809</v>
      </c>
      <c r="B1768" s="123" t="s">
        <v>837</v>
      </c>
      <c r="C1768" s="284"/>
      <c r="D1768" s="365"/>
      <c r="E1768" s="365"/>
      <c r="F1768" s="328" t="s">
        <v>26</v>
      </c>
      <c r="G1768" s="328"/>
      <c r="H1768" s="333" t="s">
        <v>838</v>
      </c>
      <c r="I1768" s="91" t="s">
        <v>175</v>
      </c>
      <c r="J1768" s="128">
        <v>18</v>
      </c>
      <c r="K1768" s="341">
        <v>7500</v>
      </c>
      <c r="L1768" s="281">
        <f>J1768*K1768</f>
        <v>135000</v>
      </c>
      <c r="M1768" s="129">
        <v>18</v>
      </c>
      <c r="N1768" s="129">
        <v>18</v>
      </c>
      <c r="O1768" s="439">
        <v>7500</v>
      </c>
      <c r="P1768" s="282">
        <f t="shared" si="54"/>
        <v>135000</v>
      </c>
      <c r="Q1768" s="282">
        <f t="shared" si="55"/>
        <v>135000</v>
      </c>
    </row>
    <row r="1769" spans="1:17" ht="13" x14ac:dyDescent="0.35">
      <c r="A1769" s="84" t="s">
        <v>809</v>
      </c>
      <c r="B1769" s="10" t="s">
        <v>839</v>
      </c>
      <c r="C1769" s="284"/>
      <c r="D1769" s="365"/>
      <c r="E1769" s="365"/>
      <c r="F1769" s="283"/>
      <c r="G1769" s="283"/>
      <c r="H1769" s="292" t="s">
        <v>810</v>
      </c>
      <c r="I1769" s="44"/>
      <c r="J1769" s="117"/>
      <c r="K1769" s="287"/>
      <c r="L1769" s="281"/>
      <c r="M1769" s="118"/>
      <c r="N1769" s="118"/>
      <c r="O1769" s="430"/>
      <c r="P1769" s="282">
        <f t="shared" si="54"/>
        <v>0</v>
      </c>
      <c r="Q1769" s="282">
        <f t="shared" si="55"/>
        <v>0</v>
      </c>
    </row>
    <row r="1770" spans="1:17" ht="13" x14ac:dyDescent="0.35">
      <c r="A1770" s="84" t="s">
        <v>809</v>
      </c>
      <c r="B1770" s="10" t="s">
        <v>839</v>
      </c>
      <c r="C1770" s="284"/>
      <c r="D1770" s="365"/>
      <c r="E1770" s="365"/>
      <c r="F1770" s="283"/>
      <c r="G1770" s="283"/>
      <c r="H1770" s="292" t="s">
        <v>811</v>
      </c>
      <c r="I1770" s="44"/>
      <c r="J1770" s="117"/>
      <c r="K1770" s="287"/>
      <c r="L1770" s="281"/>
      <c r="M1770" s="118"/>
      <c r="N1770" s="118"/>
      <c r="O1770" s="430"/>
      <c r="P1770" s="282">
        <f t="shared" si="54"/>
        <v>0</v>
      </c>
      <c r="Q1770" s="282">
        <f t="shared" si="55"/>
        <v>0</v>
      </c>
    </row>
    <row r="1771" spans="1:17" ht="13" x14ac:dyDescent="0.35">
      <c r="A1771" s="84" t="s">
        <v>809</v>
      </c>
      <c r="B1771" s="10" t="s">
        <v>839</v>
      </c>
      <c r="C1771" s="284"/>
      <c r="D1771" s="365"/>
      <c r="E1771" s="365"/>
      <c r="F1771" s="283"/>
      <c r="G1771" s="283"/>
      <c r="H1771" s="292" t="s">
        <v>298</v>
      </c>
      <c r="I1771" s="44"/>
      <c r="J1771" s="117"/>
      <c r="K1771" s="287"/>
      <c r="L1771" s="281"/>
      <c r="M1771" s="118"/>
      <c r="N1771" s="118"/>
      <c r="O1771" s="430"/>
      <c r="P1771" s="282">
        <f t="shared" si="54"/>
        <v>0</v>
      </c>
      <c r="Q1771" s="282">
        <f t="shared" si="55"/>
        <v>0</v>
      </c>
    </row>
    <row r="1772" spans="1:17" ht="13" x14ac:dyDescent="0.35">
      <c r="A1772" s="84" t="s">
        <v>809</v>
      </c>
      <c r="B1772" s="10" t="s">
        <v>839</v>
      </c>
      <c r="C1772" s="284"/>
      <c r="D1772" s="365"/>
      <c r="E1772" s="365"/>
      <c r="F1772" s="283"/>
      <c r="G1772" s="283"/>
      <c r="H1772" s="292" t="s">
        <v>360</v>
      </c>
      <c r="I1772" s="44"/>
      <c r="J1772" s="117"/>
      <c r="K1772" s="287"/>
      <c r="L1772" s="281"/>
      <c r="M1772" s="118"/>
      <c r="N1772" s="118"/>
      <c r="O1772" s="430"/>
      <c r="P1772" s="282">
        <f t="shared" si="54"/>
        <v>0</v>
      </c>
      <c r="Q1772" s="282">
        <f t="shared" si="55"/>
        <v>0</v>
      </c>
    </row>
    <row r="1773" spans="1:17" ht="13" x14ac:dyDescent="0.35">
      <c r="A1773" s="84" t="s">
        <v>809</v>
      </c>
      <c r="B1773" s="10" t="s">
        <v>839</v>
      </c>
      <c r="C1773" s="284"/>
      <c r="D1773" s="365"/>
      <c r="E1773" s="365"/>
      <c r="F1773" s="286"/>
      <c r="G1773" s="286"/>
      <c r="H1773" s="294" t="s">
        <v>100</v>
      </c>
      <c r="I1773" s="51"/>
      <c r="J1773" s="72"/>
      <c r="K1773" s="343"/>
      <c r="L1773" s="290"/>
      <c r="M1773" s="73"/>
      <c r="N1773" s="73"/>
      <c r="O1773" s="441"/>
      <c r="P1773" s="291">
        <f t="shared" si="54"/>
        <v>0</v>
      </c>
      <c r="Q1773" s="291">
        <f t="shared" si="55"/>
        <v>0</v>
      </c>
    </row>
    <row r="1774" spans="1:17" ht="13" x14ac:dyDescent="0.35">
      <c r="A1774" s="84" t="s">
        <v>809</v>
      </c>
      <c r="B1774" s="10" t="s">
        <v>839</v>
      </c>
      <c r="C1774" s="284"/>
      <c r="D1774" s="365"/>
      <c r="E1774" s="365"/>
      <c r="F1774" s="286"/>
      <c r="G1774" s="286"/>
      <c r="H1774" s="298" t="s">
        <v>101</v>
      </c>
      <c r="I1774" s="51"/>
      <c r="J1774" s="72"/>
      <c r="K1774" s="343"/>
      <c r="L1774" s="290"/>
      <c r="M1774" s="73"/>
      <c r="N1774" s="73"/>
      <c r="O1774" s="441"/>
      <c r="P1774" s="291">
        <f t="shared" si="54"/>
        <v>0</v>
      </c>
      <c r="Q1774" s="291">
        <f t="shared" si="55"/>
        <v>0</v>
      </c>
    </row>
    <row r="1775" spans="1:17" ht="13" x14ac:dyDescent="0.35">
      <c r="A1775" s="84" t="s">
        <v>809</v>
      </c>
      <c r="B1775" s="10" t="s">
        <v>839</v>
      </c>
      <c r="C1775" s="284"/>
      <c r="D1775" s="365"/>
      <c r="E1775" s="365"/>
      <c r="F1775" s="283"/>
      <c r="G1775" s="344"/>
      <c r="H1775" s="294" t="s">
        <v>361</v>
      </c>
      <c r="I1775" s="44"/>
      <c r="J1775" s="117"/>
      <c r="K1775" s="287"/>
      <c r="L1775" s="281"/>
      <c r="M1775" s="118"/>
      <c r="N1775" s="118"/>
      <c r="O1775" s="430"/>
      <c r="P1775" s="282">
        <f t="shared" si="54"/>
        <v>0</v>
      </c>
      <c r="Q1775" s="282">
        <f t="shared" si="55"/>
        <v>0</v>
      </c>
    </row>
    <row r="1776" spans="1:17" ht="13" x14ac:dyDescent="0.35">
      <c r="A1776" s="84" t="s">
        <v>809</v>
      </c>
      <c r="B1776" s="10" t="s">
        <v>839</v>
      </c>
      <c r="C1776" s="284"/>
      <c r="D1776" s="365"/>
      <c r="E1776" s="365"/>
      <c r="F1776" s="283"/>
      <c r="G1776" s="344"/>
      <c r="H1776" s="294" t="s">
        <v>362</v>
      </c>
      <c r="I1776" s="44"/>
      <c r="J1776" s="117"/>
      <c r="K1776" s="287"/>
      <c r="L1776" s="281"/>
      <c r="M1776" s="118"/>
      <c r="N1776" s="118"/>
      <c r="O1776" s="430"/>
      <c r="P1776" s="282">
        <f t="shared" si="54"/>
        <v>0</v>
      </c>
      <c r="Q1776" s="282">
        <f t="shared" si="55"/>
        <v>0</v>
      </c>
    </row>
    <row r="1777" spans="1:17" ht="14.5" x14ac:dyDescent="0.35">
      <c r="A1777" s="84" t="s">
        <v>809</v>
      </c>
      <c r="B1777" s="10" t="s">
        <v>839</v>
      </c>
      <c r="C1777" s="284"/>
      <c r="D1777" s="365"/>
      <c r="E1777" s="365"/>
      <c r="F1777" s="283" t="s">
        <v>20</v>
      </c>
      <c r="G1777" s="344"/>
      <c r="H1777" s="298" t="s">
        <v>363</v>
      </c>
      <c r="I1777" s="44" t="s">
        <v>110</v>
      </c>
      <c r="J1777" s="135">
        <f>245*6</f>
        <v>1470</v>
      </c>
      <c r="K1777" s="287">
        <v>145</v>
      </c>
      <c r="L1777" s="281">
        <f>J1777*K1777</f>
        <v>213150</v>
      </c>
      <c r="M1777" s="136">
        <f>245*6</f>
        <v>1470</v>
      </c>
      <c r="N1777" s="136">
        <f>245*6</f>
        <v>1470</v>
      </c>
      <c r="O1777" s="430">
        <v>145</v>
      </c>
      <c r="P1777" s="282">
        <f t="shared" si="54"/>
        <v>213150</v>
      </c>
      <c r="Q1777" s="282">
        <f t="shared" si="55"/>
        <v>213150</v>
      </c>
    </row>
    <row r="1778" spans="1:17" ht="13" x14ac:dyDescent="0.35">
      <c r="A1778" s="84" t="s">
        <v>809</v>
      </c>
      <c r="B1778" s="10" t="s">
        <v>840</v>
      </c>
      <c r="C1778" s="284"/>
      <c r="D1778" s="365"/>
      <c r="E1778" s="365"/>
      <c r="F1778" s="283"/>
      <c r="G1778" s="283"/>
      <c r="H1778" s="292" t="s">
        <v>810</v>
      </c>
      <c r="I1778" s="44"/>
      <c r="J1778" s="45"/>
      <c r="K1778" s="289"/>
      <c r="L1778" s="281"/>
      <c r="M1778" s="46"/>
      <c r="N1778" s="46"/>
      <c r="O1778" s="431"/>
      <c r="P1778" s="282">
        <f t="shared" si="54"/>
        <v>0</v>
      </c>
      <c r="Q1778" s="282">
        <f t="shared" si="55"/>
        <v>0</v>
      </c>
    </row>
    <row r="1779" spans="1:17" ht="13" x14ac:dyDescent="0.35">
      <c r="A1779" s="84" t="s">
        <v>809</v>
      </c>
      <c r="B1779" s="10" t="s">
        <v>840</v>
      </c>
      <c r="C1779" s="284"/>
      <c r="D1779" s="365"/>
      <c r="E1779" s="365"/>
      <c r="F1779" s="283"/>
      <c r="G1779" s="283"/>
      <c r="H1779" s="292" t="s">
        <v>811</v>
      </c>
      <c r="I1779" s="44"/>
      <c r="J1779" s="45"/>
      <c r="K1779" s="289"/>
      <c r="L1779" s="281"/>
      <c r="M1779" s="46"/>
      <c r="N1779" s="46"/>
      <c r="O1779" s="431"/>
      <c r="P1779" s="282">
        <f t="shared" si="54"/>
        <v>0</v>
      </c>
      <c r="Q1779" s="282">
        <f t="shared" si="55"/>
        <v>0</v>
      </c>
    </row>
    <row r="1780" spans="1:17" ht="13" x14ac:dyDescent="0.35">
      <c r="A1780" s="84" t="s">
        <v>809</v>
      </c>
      <c r="B1780" s="10" t="s">
        <v>840</v>
      </c>
      <c r="C1780" s="284"/>
      <c r="D1780" s="365"/>
      <c r="E1780" s="365"/>
      <c r="F1780" s="283"/>
      <c r="G1780" s="283"/>
      <c r="H1780" s="292" t="s">
        <v>307</v>
      </c>
      <c r="I1780" s="44"/>
      <c r="J1780" s="45"/>
      <c r="K1780" s="289"/>
      <c r="L1780" s="281"/>
      <c r="M1780" s="46"/>
      <c r="N1780" s="46"/>
      <c r="O1780" s="431"/>
      <c r="P1780" s="282">
        <f t="shared" si="54"/>
        <v>0</v>
      </c>
      <c r="Q1780" s="282">
        <f t="shared" si="55"/>
        <v>0</v>
      </c>
    </row>
    <row r="1781" spans="1:17" ht="13" x14ac:dyDescent="0.35">
      <c r="A1781" s="84" t="s">
        <v>809</v>
      </c>
      <c r="B1781" s="10" t="s">
        <v>840</v>
      </c>
      <c r="C1781" s="284"/>
      <c r="D1781" s="365"/>
      <c r="E1781" s="365"/>
      <c r="F1781" s="283"/>
      <c r="G1781" s="283"/>
      <c r="H1781" s="292" t="s">
        <v>371</v>
      </c>
      <c r="I1781" s="44"/>
      <c r="J1781" s="45"/>
      <c r="K1781" s="345"/>
      <c r="L1781" s="281"/>
      <c r="M1781" s="46"/>
      <c r="N1781" s="46"/>
      <c r="O1781" s="442"/>
      <c r="P1781" s="282">
        <f t="shared" si="54"/>
        <v>0</v>
      </c>
      <c r="Q1781" s="282">
        <f t="shared" si="55"/>
        <v>0</v>
      </c>
    </row>
    <row r="1782" spans="1:17" ht="13" x14ac:dyDescent="0.35">
      <c r="A1782" s="84" t="s">
        <v>809</v>
      </c>
      <c r="B1782" s="10" t="s">
        <v>840</v>
      </c>
      <c r="C1782" s="284"/>
      <c r="D1782" s="365"/>
      <c r="E1782" s="365"/>
      <c r="F1782" s="283"/>
      <c r="G1782" s="283"/>
      <c r="H1782" s="294" t="s">
        <v>100</v>
      </c>
      <c r="I1782" s="44"/>
      <c r="J1782" s="45"/>
      <c r="K1782" s="345"/>
      <c r="L1782" s="281"/>
      <c r="M1782" s="46"/>
      <c r="N1782" s="46"/>
      <c r="O1782" s="442"/>
      <c r="P1782" s="282">
        <f t="shared" si="54"/>
        <v>0</v>
      </c>
      <c r="Q1782" s="282">
        <f t="shared" si="55"/>
        <v>0</v>
      </c>
    </row>
    <row r="1783" spans="1:17" x14ac:dyDescent="0.35">
      <c r="A1783" s="84" t="s">
        <v>809</v>
      </c>
      <c r="B1783" s="10" t="s">
        <v>840</v>
      </c>
      <c r="C1783" s="284"/>
      <c r="D1783" s="365"/>
      <c r="E1783" s="365"/>
      <c r="F1783" s="283"/>
      <c r="G1783" s="283"/>
      <c r="H1783" s="298" t="s">
        <v>101</v>
      </c>
      <c r="I1783" s="44"/>
      <c r="J1783" s="45"/>
      <c r="K1783" s="345"/>
      <c r="L1783" s="281"/>
      <c r="M1783" s="46"/>
      <c r="N1783" s="46"/>
      <c r="O1783" s="442"/>
      <c r="P1783" s="282">
        <f t="shared" si="54"/>
        <v>0</v>
      </c>
      <c r="Q1783" s="282">
        <f t="shared" si="55"/>
        <v>0</v>
      </c>
    </row>
    <row r="1784" spans="1:17" ht="13" x14ac:dyDescent="0.35">
      <c r="A1784" s="84" t="s">
        <v>809</v>
      </c>
      <c r="B1784" s="10" t="s">
        <v>840</v>
      </c>
      <c r="C1784" s="284"/>
      <c r="D1784" s="365"/>
      <c r="E1784" s="365"/>
      <c r="F1784" s="283"/>
      <c r="G1784" s="283"/>
      <c r="H1784" s="294" t="s">
        <v>841</v>
      </c>
      <c r="I1784" s="44"/>
      <c r="J1784" s="58"/>
      <c r="K1784" s="289"/>
      <c r="L1784" s="281"/>
      <c r="M1784" s="59"/>
      <c r="N1784" s="59"/>
      <c r="O1784" s="431"/>
      <c r="P1784" s="282">
        <f t="shared" si="54"/>
        <v>0</v>
      </c>
      <c r="Q1784" s="282">
        <f t="shared" si="55"/>
        <v>0</v>
      </c>
    </row>
    <row r="1785" spans="1:17" ht="13" x14ac:dyDescent="0.35">
      <c r="A1785" s="84" t="s">
        <v>809</v>
      </c>
      <c r="B1785" s="10" t="s">
        <v>840</v>
      </c>
      <c r="C1785" s="284"/>
      <c r="D1785" s="365"/>
      <c r="E1785" s="365"/>
      <c r="F1785" s="283"/>
      <c r="G1785" s="283"/>
      <c r="H1785" s="294" t="s">
        <v>406</v>
      </c>
      <c r="I1785" s="44"/>
      <c r="J1785" s="58"/>
      <c r="K1785" s="289"/>
      <c r="L1785" s="281"/>
      <c r="M1785" s="59"/>
      <c r="N1785" s="59"/>
      <c r="O1785" s="431"/>
      <c r="P1785" s="282">
        <f t="shared" si="54"/>
        <v>0</v>
      </c>
      <c r="Q1785" s="282">
        <f t="shared" si="55"/>
        <v>0</v>
      </c>
    </row>
    <row r="1786" spans="1:17" ht="25" x14ac:dyDescent="0.35">
      <c r="A1786" s="84" t="s">
        <v>809</v>
      </c>
      <c r="B1786" s="10" t="s">
        <v>840</v>
      </c>
      <c r="C1786" s="284"/>
      <c r="D1786" s="365"/>
      <c r="E1786" s="365"/>
      <c r="F1786" s="283" t="s">
        <v>20</v>
      </c>
      <c r="G1786" s="283"/>
      <c r="H1786" s="298" t="s">
        <v>407</v>
      </c>
      <c r="I1786" s="44" t="s">
        <v>186</v>
      </c>
      <c r="J1786" s="58">
        <v>450</v>
      </c>
      <c r="K1786" s="289">
        <v>135</v>
      </c>
      <c r="L1786" s="281">
        <f>J1786*K1786</f>
        <v>60750</v>
      </c>
      <c r="M1786" s="59">
        <v>450</v>
      </c>
      <c r="N1786" s="59">
        <v>450</v>
      </c>
      <c r="O1786" s="431">
        <v>135</v>
      </c>
      <c r="P1786" s="282">
        <f t="shared" si="54"/>
        <v>60750</v>
      </c>
      <c r="Q1786" s="282">
        <f t="shared" si="55"/>
        <v>60750</v>
      </c>
    </row>
    <row r="1787" spans="1:17" x14ac:dyDescent="0.35">
      <c r="A1787" s="84" t="s">
        <v>809</v>
      </c>
      <c r="B1787" s="10" t="s">
        <v>840</v>
      </c>
      <c r="C1787" s="284"/>
      <c r="D1787" s="365"/>
      <c r="E1787" s="365"/>
      <c r="F1787" s="283" t="s">
        <v>26</v>
      </c>
      <c r="G1787" s="283"/>
      <c r="H1787" s="298" t="s">
        <v>408</v>
      </c>
      <c r="I1787" s="44" t="s">
        <v>175</v>
      </c>
      <c r="J1787" s="85">
        <v>48</v>
      </c>
      <c r="K1787" s="289">
        <v>200</v>
      </c>
      <c r="L1787" s="281">
        <f>K1787*J1787</f>
        <v>9600</v>
      </c>
      <c r="M1787" s="86">
        <v>48</v>
      </c>
      <c r="N1787" s="86">
        <v>48</v>
      </c>
      <c r="O1787" s="431">
        <v>200</v>
      </c>
      <c r="P1787" s="282">
        <f t="shared" si="54"/>
        <v>9600</v>
      </c>
      <c r="Q1787" s="282">
        <f t="shared" si="55"/>
        <v>9600</v>
      </c>
    </row>
    <row r="1788" spans="1:17" ht="25" x14ac:dyDescent="0.35">
      <c r="A1788" s="84" t="s">
        <v>809</v>
      </c>
      <c r="B1788" s="10" t="s">
        <v>840</v>
      </c>
      <c r="C1788" s="284"/>
      <c r="D1788" s="365"/>
      <c r="E1788" s="365"/>
      <c r="F1788" s="283" t="s">
        <v>29</v>
      </c>
      <c r="G1788" s="325"/>
      <c r="H1788" s="298" t="s">
        <v>409</v>
      </c>
      <c r="I1788" s="44" t="s">
        <v>175</v>
      </c>
      <c r="J1788" s="326">
        <v>48</v>
      </c>
      <c r="K1788" s="289">
        <v>200</v>
      </c>
      <c r="L1788" s="281">
        <f>J1788*K1788</f>
        <v>9600</v>
      </c>
      <c r="M1788" s="327">
        <v>48</v>
      </c>
      <c r="N1788" s="327">
        <v>48</v>
      </c>
      <c r="O1788" s="431">
        <v>200</v>
      </c>
      <c r="P1788" s="282">
        <f t="shared" si="54"/>
        <v>9600</v>
      </c>
      <c r="Q1788" s="282">
        <f t="shared" si="55"/>
        <v>9600</v>
      </c>
    </row>
    <row r="1789" spans="1:17" ht="25" x14ac:dyDescent="0.35">
      <c r="A1789" s="84" t="s">
        <v>809</v>
      </c>
      <c r="B1789" s="10" t="s">
        <v>840</v>
      </c>
      <c r="C1789" s="284"/>
      <c r="D1789" s="365"/>
      <c r="E1789" s="365"/>
      <c r="F1789" s="283" t="s">
        <v>32</v>
      </c>
      <c r="G1789" s="283"/>
      <c r="H1789" s="298" t="s">
        <v>410</v>
      </c>
      <c r="I1789" s="44" t="s">
        <v>186</v>
      </c>
      <c r="J1789" s="58">
        <v>132</v>
      </c>
      <c r="K1789" s="289">
        <v>135</v>
      </c>
      <c r="L1789" s="281">
        <f>J1789*K1789</f>
        <v>17820</v>
      </c>
      <c r="M1789" s="59">
        <v>132</v>
      </c>
      <c r="N1789" s="59">
        <v>132</v>
      </c>
      <c r="O1789" s="431">
        <v>135</v>
      </c>
      <c r="P1789" s="282">
        <f t="shared" si="54"/>
        <v>17820</v>
      </c>
      <c r="Q1789" s="282">
        <f t="shared" si="55"/>
        <v>17820</v>
      </c>
    </row>
    <row r="1790" spans="1:17" x14ac:dyDescent="0.35">
      <c r="A1790" s="84" t="s">
        <v>809</v>
      </c>
      <c r="B1790" s="10" t="s">
        <v>840</v>
      </c>
      <c r="C1790" s="284"/>
      <c r="D1790" s="365"/>
      <c r="E1790" s="365"/>
      <c r="F1790" s="283" t="s">
        <v>36</v>
      </c>
      <c r="G1790" s="283"/>
      <c r="H1790" s="298" t="s">
        <v>411</v>
      </c>
      <c r="I1790" s="44" t="s">
        <v>175</v>
      </c>
      <c r="J1790" s="85">
        <v>48</v>
      </c>
      <c r="K1790" s="289">
        <v>200</v>
      </c>
      <c r="L1790" s="281">
        <f>K1790*J1790</f>
        <v>9600</v>
      </c>
      <c r="M1790" s="86">
        <v>48</v>
      </c>
      <c r="N1790" s="86">
        <v>48</v>
      </c>
      <c r="O1790" s="431">
        <v>200</v>
      </c>
      <c r="P1790" s="282">
        <f t="shared" si="54"/>
        <v>9600</v>
      </c>
      <c r="Q1790" s="282">
        <f t="shared" si="55"/>
        <v>9600</v>
      </c>
    </row>
    <row r="1791" spans="1:17" ht="13" x14ac:dyDescent="0.35">
      <c r="A1791" s="84" t="s">
        <v>809</v>
      </c>
      <c r="B1791" s="10" t="s">
        <v>842</v>
      </c>
      <c r="C1791" s="284"/>
      <c r="D1791" s="365"/>
      <c r="E1791" s="365"/>
      <c r="F1791" s="283"/>
      <c r="G1791" s="283"/>
      <c r="H1791" s="292" t="s">
        <v>810</v>
      </c>
      <c r="I1791" s="44"/>
      <c r="J1791" s="45"/>
      <c r="K1791" s="289"/>
      <c r="L1791" s="281"/>
      <c r="M1791" s="46"/>
      <c r="N1791" s="46"/>
      <c r="O1791" s="431"/>
      <c r="P1791" s="282">
        <f t="shared" si="54"/>
        <v>0</v>
      </c>
      <c r="Q1791" s="282">
        <f t="shared" si="55"/>
        <v>0</v>
      </c>
    </row>
    <row r="1792" spans="1:17" ht="13" x14ac:dyDescent="0.35">
      <c r="A1792" s="84" t="s">
        <v>809</v>
      </c>
      <c r="B1792" s="10" t="s">
        <v>842</v>
      </c>
      <c r="C1792" s="284"/>
      <c r="D1792" s="365"/>
      <c r="E1792" s="365"/>
      <c r="F1792" s="283"/>
      <c r="G1792" s="283"/>
      <c r="H1792" s="292" t="s">
        <v>811</v>
      </c>
      <c r="I1792" s="44"/>
      <c r="J1792" s="45"/>
      <c r="K1792" s="289"/>
      <c r="L1792" s="281"/>
      <c r="M1792" s="46"/>
      <c r="N1792" s="46"/>
      <c r="O1792" s="431"/>
      <c r="P1792" s="282">
        <f t="shared" si="54"/>
        <v>0</v>
      </c>
      <c r="Q1792" s="282">
        <f t="shared" si="55"/>
        <v>0</v>
      </c>
    </row>
    <row r="1793" spans="1:17" ht="13" x14ac:dyDescent="0.35">
      <c r="A1793" s="84" t="s">
        <v>809</v>
      </c>
      <c r="B1793" s="10" t="s">
        <v>842</v>
      </c>
      <c r="C1793" s="284"/>
      <c r="D1793" s="365"/>
      <c r="E1793" s="365"/>
      <c r="F1793" s="283"/>
      <c r="G1793" s="283"/>
      <c r="H1793" s="292" t="s">
        <v>331</v>
      </c>
      <c r="I1793" s="44"/>
      <c r="J1793" s="45"/>
      <c r="K1793" s="289"/>
      <c r="L1793" s="281"/>
      <c r="M1793" s="46"/>
      <c r="N1793" s="46"/>
      <c r="O1793" s="431"/>
      <c r="P1793" s="282">
        <f t="shared" si="54"/>
        <v>0</v>
      </c>
      <c r="Q1793" s="282">
        <f t="shared" si="55"/>
        <v>0</v>
      </c>
    </row>
    <row r="1794" spans="1:17" ht="13" x14ac:dyDescent="0.35">
      <c r="A1794" s="84" t="s">
        <v>809</v>
      </c>
      <c r="B1794" s="10" t="s">
        <v>842</v>
      </c>
      <c r="C1794" s="284"/>
      <c r="D1794" s="365"/>
      <c r="E1794" s="365"/>
      <c r="F1794" s="283"/>
      <c r="G1794" s="283"/>
      <c r="H1794" s="292" t="s">
        <v>414</v>
      </c>
      <c r="I1794" s="44"/>
      <c r="J1794" s="45"/>
      <c r="K1794" s="289"/>
      <c r="L1794" s="281"/>
      <c r="M1794" s="46"/>
      <c r="N1794" s="46"/>
      <c r="O1794" s="431"/>
      <c r="P1794" s="282">
        <f t="shared" si="54"/>
        <v>0</v>
      </c>
      <c r="Q1794" s="282">
        <f t="shared" si="55"/>
        <v>0</v>
      </c>
    </row>
    <row r="1795" spans="1:17" ht="13" x14ac:dyDescent="0.35">
      <c r="A1795" s="84" t="s">
        <v>809</v>
      </c>
      <c r="B1795" s="10" t="s">
        <v>842</v>
      </c>
      <c r="C1795" s="284"/>
      <c r="D1795" s="365"/>
      <c r="E1795" s="365"/>
      <c r="F1795" s="283"/>
      <c r="G1795" s="283"/>
      <c r="H1795" s="294" t="s">
        <v>100</v>
      </c>
      <c r="I1795" s="44"/>
      <c r="J1795" s="45"/>
      <c r="K1795" s="289"/>
      <c r="L1795" s="281"/>
      <c r="M1795" s="46"/>
      <c r="N1795" s="46"/>
      <c r="O1795" s="431"/>
      <c r="P1795" s="282">
        <f t="shared" si="54"/>
        <v>0</v>
      </c>
      <c r="Q1795" s="282">
        <f t="shared" si="55"/>
        <v>0</v>
      </c>
    </row>
    <row r="1796" spans="1:17" x14ac:dyDescent="0.35">
      <c r="A1796" s="84" t="s">
        <v>809</v>
      </c>
      <c r="B1796" s="10" t="s">
        <v>842</v>
      </c>
      <c r="C1796" s="284"/>
      <c r="D1796" s="365"/>
      <c r="E1796" s="365"/>
      <c r="F1796" s="283"/>
      <c r="G1796" s="283"/>
      <c r="H1796" s="298" t="s">
        <v>101</v>
      </c>
      <c r="I1796" s="44"/>
      <c r="J1796" s="45"/>
      <c r="K1796" s="289"/>
      <c r="L1796" s="281"/>
      <c r="M1796" s="46"/>
      <c r="N1796" s="46"/>
      <c r="O1796" s="431"/>
      <c r="P1796" s="282">
        <f t="shared" si="54"/>
        <v>0</v>
      </c>
      <c r="Q1796" s="282">
        <f t="shared" si="55"/>
        <v>0</v>
      </c>
    </row>
    <row r="1797" spans="1:17" ht="13" x14ac:dyDescent="0.35">
      <c r="A1797" s="84" t="s">
        <v>809</v>
      </c>
      <c r="B1797" s="10" t="s">
        <v>842</v>
      </c>
      <c r="C1797" s="284"/>
      <c r="D1797" s="365"/>
      <c r="E1797" s="365"/>
      <c r="F1797" s="283"/>
      <c r="G1797" s="283"/>
      <c r="H1797" s="346" t="s">
        <v>415</v>
      </c>
      <c r="I1797" s="44"/>
      <c r="J1797" s="45"/>
      <c r="K1797" s="289"/>
      <c r="L1797" s="281"/>
      <c r="M1797" s="46"/>
      <c r="N1797" s="46"/>
      <c r="O1797" s="431"/>
      <c r="P1797" s="282">
        <f t="shared" si="54"/>
        <v>0</v>
      </c>
      <c r="Q1797" s="282">
        <f t="shared" si="55"/>
        <v>0</v>
      </c>
    </row>
    <row r="1798" spans="1:17" ht="13" x14ac:dyDescent="0.35">
      <c r="A1798" s="84" t="s">
        <v>809</v>
      </c>
      <c r="B1798" s="10" t="s">
        <v>842</v>
      </c>
      <c r="C1798" s="284"/>
      <c r="D1798" s="365"/>
      <c r="E1798" s="365"/>
      <c r="F1798" s="283"/>
      <c r="G1798" s="283"/>
      <c r="H1798" s="346" t="s">
        <v>843</v>
      </c>
      <c r="I1798" s="44"/>
      <c r="J1798" s="45"/>
      <c r="K1798" s="289"/>
      <c r="L1798" s="281"/>
      <c r="M1798" s="46"/>
      <c r="N1798" s="46"/>
      <c r="O1798" s="431"/>
      <c r="P1798" s="282">
        <f t="shared" si="54"/>
        <v>0</v>
      </c>
      <c r="Q1798" s="282">
        <f t="shared" si="55"/>
        <v>0</v>
      </c>
    </row>
    <row r="1799" spans="1:17" ht="25" x14ac:dyDescent="0.35">
      <c r="A1799" s="84" t="s">
        <v>809</v>
      </c>
      <c r="B1799" s="10" t="s">
        <v>842</v>
      </c>
      <c r="C1799" s="284"/>
      <c r="D1799" s="365"/>
      <c r="E1799" s="365"/>
      <c r="F1799" s="283" t="s">
        <v>20</v>
      </c>
      <c r="G1799" s="283"/>
      <c r="H1799" s="347" t="s">
        <v>844</v>
      </c>
      <c r="I1799" s="44" t="s">
        <v>110</v>
      </c>
      <c r="J1799" s="45">
        <v>172</v>
      </c>
      <c r="K1799" s="289">
        <v>450</v>
      </c>
      <c r="L1799" s="281">
        <f>J1799*K1799</f>
        <v>77400</v>
      </c>
      <c r="M1799" s="46">
        <v>172</v>
      </c>
      <c r="N1799" s="46">
        <v>172</v>
      </c>
      <c r="O1799" s="431">
        <v>450</v>
      </c>
      <c r="P1799" s="282">
        <f t="shared" si="54"/>
        <v>77400</v>
      </c>
      <c r="Q1799" s="282">
        <f t="shared" si="55"/>
        <v>77400</v>
      </c>
    </row>
    <row r="1800" spans="1:17" ht="13" x14ac:dyDescent="0.35">
      <c r="A1800" s="84" t="s">
        <v>809</v>
      </c>
      <c r="B1800" s="10" t="s">
        <v>845</v>
      </c>
      <c r="C1800" s="284"/>
      <c r="D1800" s="365"/>
      <c r="E1800" s="365"/>
      <c r="F1800" s="283"/>
      <c r="G1800" s="283"/>
      <c r="H1800" s="292" t="s">
        <v>810</v>
      </c>
      <c r="I1800" s="44"/>
      <c r="J1800" s="45"/>
      <c r="K1800" s="289"/>
      <c r="L1800" s="281"/>
      <c r="M1800" s="46"/>
      <c r="N1800" s="46"/>
      <c r="O1800" s="431"/>
      <c r="P1800" s="282">
        <f t="shared" si="54"/>
        <v>0</v>
      </c>
      <c r="Q1800" s="282">
        <f t="shared" si="55"/>
        <v>0</v>
      </c>
    </row>
    <row r="1801" spans="1:17" ht="13" x14ac:dyDescent="0.35">
      <c r="A1801" s="84" t="s">
        <v>809</v>
      </c>
      <c r="B1801" s="10" t="s">
        <v>845</v>
      </c>
      <c r="C1801" s="284"/>
      <c r="D1801" s="365"/>
      <c r="E1801" s="365"/>
      <c r="F1801" s="283"/>
      <c r="G1801" s="283"/>
      <c r="H1801" s="292" t="s">
        <v>811</v>
      </c>
      <c r="I1801" s="44"/>
      <c r="J1801" s="45"/>
      <c r="K1801" s="289"/>
      <c r="L1801" s="281"/>
      <c r="M1801" s="46"/>
      <c r="N1801" s="46"/>
      <c r="O1801" s="431"/>
      <c r="P1801" s="282">
        <f t="shared" si="54"/>
        <v>0</v>
      </c>
      <c r="Q1801" s="282">
        <f t="shared" si="55"/>
        <v>0</v>
      </c>
    </row>
    <row r="1802" spans="1:17" ht="13" x14ac:dyDescent="0.35">
      <c r="A1802" s="84" t="s">
        <v>809</v>
      </c>
      <c r="B1802" s="10" t="s">
        <v>845</v>
      </c>
      <c r="C1802" s="284"/>
      <c r="D1802" s="365"/>
      <c r="E1802" s="365"/>
      <c r="F1802" s="283"/>
      <c r="G1802" s="283"/>
      <c r="H1802" s="292" t="s">
        <v>340</v>
      </c>
      <c r="I1802" s="44"/>
      <c r="J1802" s="45"/>
      <c r="K1802" s="289"/>
      <c r="L1802" s="281"/>
      <c r="M1802" s="46"/>
      <c r="N1802" s="46"/>
      <c r="O1802" s="431"/>
      <c r="P1802" s="282">
        <f t="shared" ref="P1802:P1865" si="56">O1802*M1802</f>
        <v>0</v>
      </c>
      <c r="Q1802" s="282">
        <f t="shared" ref="Q1802:Q1865" si="57">O1802*N1802</f>
        <v>0</v>
      </c>
    </row>
    <row r="1803" spans="1:17" ht="13" x14ac:dyDescent="0.35">
      <c r="A1803" s="84" t="s">
        <v>809</v>
      </c>
      <c r="B1803" s="10" t="s">
        <v>845</v>
      </c>
      <c r="C1803" s="284"/>
      <c r="D1803" s="365"/>
      <c r="E1803" s="365"/>
      <c r="F1803" s="283"/>
      <c r="G1803" s="283"/>
      <c r="H1803" s="292" t="s">
        <v>420</v>
      </c>
      <c r="I1803" s="44"/>
      <c r="J1803" s="45"/>
      <c r="K1803" s="289"/>
      <c r="L1803" s="281"/>
      <c r="M1803" s="46"/>
      <c r="N1803" s="46"/>
      <c r="O1803" s="431"/>
      <c r="P1803" s="282">
        <f t="shared" si="56"/>
        <v>0</v>
      </c>
      <c r="Q1803" s="282">
        <f t="shared" si="57"/>
        <v>0</v>
      </c>
    </row>
    <row r="1804" spans="1:17" ht="13" x14ac:dyDescent="0.35">
      <c r="A1804" s="84" t="s">
        <v>809</v>
      </c>
      <c r="B1804" s="10" t="s">
        <v>845</v>
      </c>
      <c r="C1804" s="284"/>
      <c r="D1804" s="365"/>
      <c r="E1804" s="365"/>
      <c r="F1804" s="283"/>
      <c r="G1804" s="283"/>
      <c r="H1804" s="294" t="s">
        <v>100</v>
      </c>
      <c r="I1804" s="44"/>
      <c r="J1804" s="45"/>
      <c r="K1804" s="289"/>
      <c r="L1804" s="281"/>
      <c r="M1804" s="46"/>
      <c r="N1804" s="46"/>
      <c r="O1804" s="431"/>
      <c r="P1804" s="282">
        <f t="shared" si="56"/>
        <v>0</v>
      </c>
      <c r="Q1804" s="282">
        <f t="shared" si="57"/>
        <v>0</v>
      </c>
    </row>
    <row r="1805" spans="1:17" x14ac:dyDescent="0.35">
      <c r="A1805" s="84" t="s">
        <v>809</v>
      </c>
      <c r="B1805" s="10" t="s">
        <v>845</v>
      </c>
      <c r="C1805" s="284"/>
      <c r="D1805" s="365"/>
      <c r="E1805" s="365"/>
      <c r="F1805" s="283"/>
      <c r="G1805" s="283"/>
      <c r="H1805" s="298" t="s">
        <v>101</v>
      </c>
      <c r="I1805" s="44"/>
      <c r="J1805" s="45"/>
      <c r="K1805" s="289"/>
      <c r="L1805" s="281"/>
      <c r="M1805" s="46"/>
      <c r="N1805" s="46"/>
      <c r="O1805" s="431"/>
      <c r="P1805" s="282">
        <f t="shared" si="56"/>
        <v>0</v>
      </c>
      <c r="Q1805" s="282">
        <f t="shared" si="57"/>
        <v>0</v>
      </c>
    </row>
    <row r="1806" spans="1:17" ht="13" x14ac:dyDescent="0.35">
      <c r="A1806" s="84" t="s">
        <v>809</v>
      </c>
      <c r="B1806" s="10" t="s">
        <v>845</v>
      </c>
      <c r="C1806" s="284"/>
      <c r="D1806" s="365"/>
      <c r="E1806" s="365"/>
      <c r="F1806" s="283"/>
      <c r="G1806" s="283"/>
      <c r="H1806" s="294" t="s">
        <v>333</v>
      </c>
      <c r="I1806" s="44"/>
      <c r="J1806" s="45"/>
      <c r="K1806" s="289"/>
      <c r="L1806" s="281"/>
      <c r="M1806" s="46"/>
      <c r="N1806" s="46"/>
      <c r="O1806" s="431"/>
      <c r="P1806" s="282">
        <f t="shared" si="56"/>
        <v>0</v>
      </c>
      <c r="Q1806" s="282">
        <f t="shared" si="57"/>
        <v>0</v>
      </c>
    </row>
    <row r="1807" spans="1:17" ht="112.5" x14ac:dyDescent="0.35">
      <c r="A1807" s="84" t="s">
        <v>809</v>
      </c>
      <c r="B1807" s="10" t="s">
        <v>845</v>
      </c>
      <c r="C1807" s="284"/>
      <c r="D1807" s="365"/>
      <c r="E1807" s="365"/>
      <c r="F1807" s="283"/>
      <c r="G1807" s="283"/>
      <c r="H1807" s="298" t="s">
        <v>421</v>
      </c>
      <c r="I1807" s="44"/>
      <c r="J1807" s="117"/>
      <c r="K1807" s="289"/>
      <c r="L1807" s="281"/>
      <c r="M1807" s="118"/>
      <c r="N1807" s="118"/>
      <c r="O1807" s="431"/>
      <c r="P1807" s="282">
        <f t="shared" si="56"/>
        <v>0</v>
      </c>
      <c r="Q1807" s="282">
        <f t="shared" si="57"/>
        <v>0</v>
      </c>
    </row>
    <row r="1808" spans="1:17" x14ac:dyDescent="0.35">
      <c r="A1808" s="84" t="s">
        <v>809</v>
      </c>
      <c r="B1808" s="10" t="s">
        <v>845</v>
      </c>
      <c r="C1808" s="284"/>
      <c r="D1808" s="365"/>
      <c r="E1808" s="365"/>
      <c r="F1808" s="283"/>
      <c r="G1808" s="283"/>
      <c r="H1808" s="324" t="s">
        <v>422</v>
      </c>
      <c r="I1808" s="44"/>
      <c r="J1808" s="45"/>
      <c r="K1808" s="289"/>
      <c r="L1808" s="281"/>
      <c r="M1808" s="46"/>
      <c r="N1808" s="46"/>
      <c r="O1808" s="431"/>
      <c r="P1808" s="282">
        <f t="shared" si="56"/>
        <v>0</v>
      </c>
      <c r="Q1808" s="282">
        <f t="shared" si="57"/>
        <v>0</v>
      </c>
    </row>
    <row r="1809" spans="1:17" x14ac:dyDescent="0.35">
      <c r="A1809" s="84" t="s">
        <v>809</v>
      </c>
      <c r="B1809" s="10" t="s">
        <v>845</v>
      </c>
      <c r="C1809" s="284"/>
      <c r="D1809" s="365"/>
      <c r="E1809" s="365"/>
      <c r="F1809" s="283"/>
      <c r="G1809" s="283"/>
      <c r="H1809" s="324" t="s">
        <v>423</v>
      </c>
      <c r="I1809" s="44"/>
      <c r="J1809" s="45"/>
      <c r="K1809" s="289"/>
      <c r="L1809" s="281"/>
      <c r="M1809" s="46"/>
      <c r="N1809" s="46"/>
      <c r="O1809" s="431"/>
      <c r="P1809" s="282">
        <f t="shared" si="56"/>
        <v>0</v>
      </c>
      <c r="Q1809" s="282">
        <f t="shared" si="57"/>
        <v>0</v>
      </c>
    </row>
    <row r="1810" spans="1:17" ht="50" x14ac:dyDescent="0.35">
      <c r="A1810" s="84" t="s">
        <v>809</v>
      </c>
      <c r="B1810" s="10" t="s">
        <v>845</v>
      </c>
      <c r="C1810" s="284"/>
      <c r="D1810" s="365"/>
      <c r="E1810" s="365"/>
      <c r="F1810" s="283"/>
      <c r="G1810" s="283"/>
      <c r="H1810" s="298" t="s">
        <v>424</v>
      </c>
      <c r="I1810" s="44"/>
      <c r="J1810" s="45"/>
      <c r="K1810" s="289"/>
      <c r="L1810" s="281"/>
      <c r="M1810" s="46"/>
      <c r="N1810" s="46"/>
      <c r="O1810" s="431"/>
      <c r="P1810" s="282">
        <f t="shared" si="56"/>
        <v>0</v>
      </c>
      <c r="Q1810" s="282">
        <f t="shared" si="57"/>
        <v>0</v>
      </c>
    </row>
    <row r="1811" spans="1:17" x14ac:dyDescent="0.35">
      <c r="A1811" s="84" t="s">
        <v>809</v>
      </c>
      <c r="B1811" s="10" t="s">
        <v>845</v>
      </c>
      <c r="C1811" s="284"/>
      <c r="D1811" s="365"/>
      <c r="E1811" s="365"/>
      <c r="F1811" s="283"/>
      <c r="G1811" s="283"/>
      <c r="H1811" s="324" t="s">
        <v>425</v>
      </c>
      <c r="I1811" s="44"/>
      <c r="J1811" s="45"/>
      <c r="K1811" s="289"/>
      <c r="L1811" s="281"/>
      <c r="M1811" s="46"/>
      <c r="N1811" s="46"/>
      <c r="O1811" s="431"/>
      <c r="P1811" s="282">
        <f t="shared" si="56"/>
        <v>0</v>
      </c>
      <c r="Q1811" s="282">
        <f t="shared" si="57"/>
        <v>0</v>
      </c>
    </row>
    <row r="1812" spans="1:17" ht="25" x14ac:dyDescent="0.35">
      <c r="A1812" s="84" t="s">
        <v>809</v>
      </c>
      <c r="B1812" s="10" t="s">
        <v>845</v>
      </c>
      <c r="C1812" s="284"/>
      <c r="D1812" s="365"/>
      <c r="E1812" s="365"/>
      <c r="F1812" s="283"/>
      <c r="G1812" s="283"/>
      <c r="H1812" s="348" t="s">
        <v>426</v>
      </c>
      <c r="I1812" s="44"/>
      <c r="J1812" s="45"/>
      <c r="K1812" s="289"/>
      <c r="L1812" s="281"/>
      <c r="M1812" s="46"/>
      <c r="N1812" s="46"/>
      <c r="O1812" s="431"/>
      <c r="P1812" s="282">
        <f t="shared" si="56"/>
        <v>0</v>
      </c>
      <c r="Q1812" s="282">
        <f t="shared" si="57"/>
        <v>0</v>
      </c>
    </row>
    <row r="1813" spans="1:17" ht="25" x14ac:dyDescent="0.35">
      <c r="A1813" s="84" t="s">
        <v>809</v>
      </c>
      <c r="B1813" s="10" t="s">
        <v>845</v>
      </c>
      <c r="C1813" s="284"/>
      <c r="D1813" s="365"/>
      <c r="E1813" s="365"/>
      <c r="F1813" s="283"/>
      <c r="G1813" s="283"/>
      <c r="H1813" s="348" t="s">
        <v>427</v>
      </c>
      <c r="I1813" s="44"/>
      <c r="J1813" s="45"/>
      <c r="K1813" s="289"/>
      <c r="L1813" s="281"/>
      <c r="M1813" s="46"/>
      <c r="N1813" s="46"/>
      <c r="O1813" s="431"/>
      <c r="P1813" s="282">
        <f t="shared" si="56"/>
        <v>0</v>
      </c>
      <c r="Q1813" s="282">
        <f t="shared" si="57"/>
        <v>0</v>
      </c>
    </row>
    <row r="1814" spans="1:17" x14ac:dyDescent="0.35">
      <c r="A1814" s="84" t="s">
        <v>809</v>
      </c>
      <c r="B1814" s="10" t="s">
        <v>845</v>
      </c>
      <c r="C1814" s="284"/>
      <c r="D1814" s="365"/>
      <c r="E1814" s="365"/>
      <c r="F1814" s="283"/>
      <c r="G1814" s="283"/>
      <c r="H1814" s="324" t="s">
        <v>428</v>
      </c>
      <c r="I1814" s="44"/>
      <c r="J1814" s="45"/>
      <c r="K1814" s="289"/>
      <c r="L1814" s="281"/>
      <c r="M1814" s="46"/>
      <c r="N1814" s="46"/>
      <c r="O1814" s="431"/>
      <c r="P1814" s="282">
        <f t="shared" si="56"/>
        <v>0</v>
      </c>
      <c r="Q1814" s="282">
        <f t="shared" si="57"/>
        <v>0</v>
      </c>
    </row>
    <row r="1815" spans="1:17" ht="37.5" x14ac:dyDescent="0.35">
      <c r="A1815" s="84" t="s">
        <v>809</v>
      </c>
      <c r="B1815" s="10" t="s">
        <v>845</v>
      </c>
      <c r="C1815" s="284"/>
      <c r="D1815" s="365"/>
      <c r="E1815" s="365"/>
      <c r="F1815" s="283"/>
      <c r="G1815" s="283"/>
      <c r="H1815" s="348" t="s">
        <v>429</v>
      </c>
      <c r="I1815" s="44"/>
      <c r="J1815" s="45"/>
      <c r="K1815" s="289"/>
      <c r="L1815" s="281"/>
      <c r="M1815" s="46"/>
      <c r="N1815" s="46"/>
      <c r="O1815" s="431"/>
      <c r="P1815" s="282">
        <f t="shared" si="56"/>
        <v>0</v>
      </c>
      <c r="Q1815" s="282">
        <f t="shared" si="57"/>
        <v>0</v>
      </c>
    </row>
    <row r="1816" spans="1:17" ht="13" x14ac:dyDescent="0.35">
      <c r="A1816" s="84" t="s">
        <v>809</v>
      </c>
      <c r="B1816" s="10" t="s">
        <v>845</v>
      </c>
      <c r="C1816" s="284"/>
      <c r="D1816" s="365"/>
      <c r="E1816" s="365"/>
      <c r="F1816" s="283"/>
      <c r="G1816" s="283"/>
      <c r="H1816" s="294" t="s">
        <v>430</v>
      </c>
      <c r="I1816" s="44"/>
      <c r="J1816" s="45"/>
      <c r="K1816" s="289"/>
      <c r="L1816" s="281"/>
      <c r="M1816" s="46"/>
      <c r="N1816" s="46"/>
      <c r="O1816" s="431"/>
      <c r="P1816" s="282">
        <f t="shared" si="56"/>
        <v>0</v>
      </c>
      <c r="Q1816" s="282">
        <f t="shared" si="57"/>
        <v>0</v>
      </c>
    </row>
    <row r="1817" spans="1:17" ht="13" x14ac:dyDescent="0.35">
      <c r="A1817" s="84" t="s">
        <v>809</v>
      </c>
      <c r="B1817" s="10" t="s">
        <v>845</v>
      </c>
      <c r="C1817" s="284"/>
      <c r="D1817" s="365"/>
      <c r="E1817" s="365"/>
      <c r="F1817" s="283"/>
      <c r="G1817" s="283"/>
      <c r="H1817" s="294" t="s">
        <v>435</v>
      </c>
      <c r="I1817" s="44"/>
      <c r="J1817" s="45"/>
      <c r="K1817" s="289"/>
      <c r="L1817" s="281"/>
      <c r="M1817" s="46"/>
      <c r="N1817" s="46"/>
      <c r="O1817" s="431"/>
      <c r="P1817" s="282">
        <f t="shared" si="56"/>
        <v>0</v>
      </c>
      <c r="Q1817" s="282">
        <f t="shared" si="57"/>
        <v>0</v>
      </c>
    </row>
    <row r="1818" spans="1:17" ht="26" x14ac:dyDescent="0.35">
      <c r="A1818" s="84" t="s">
        <v>809</v>
      </c>
      <c r="B1818" s="10" t="s">
        <v>845</v>
      </c>
      <c r="C1818" s="284"/>
      <c r="D1818" s="365"/>
      <c r="E1818" s="365"/>
      <c r="F1818" s="283"/>
      <c r="G1818" s="283"/>
      <c r="H1818" s="294" t="s">
        <v>436</v>
      </c>
      <c r="I1818" s="44"/>
      <c r="J1818" s="45"/>
      <c r="K1818" s="289"/>
      <c r="L1818" s="281"/>
      <c r="M1818" s="46"/>
      <c r="N1818" s="46"/>
      <c r="O1818" s="431"/>
      <c r="P1818" s="282">
        <f t="shared" si="56"/>
        <v>0</v>
      </c>
      <c r="Q1818" s="282">
        <f t="shared" si="57"/>
        <v>0</v>
      </c>
    </row>
    <row r="1819" spans="1:17" ht="14.5" x14ac:dyDescent="0.35">
      <c r="A1819" s="84" t="s">
        <v>809</v>
      </c>
      <c r="B1819" s="10" t="s">
        <v>845</v>
      </c>
      <c r="C1819" s="284"/>
      <c r="D1819" s="365"/>
      <c r="E1819" s="365"/>
      <c r="F1819" s="283" t="s">
        <v>20</v>
      </c>
      <c r="G1819" s="283"/>
      <c r="H1819" s="298" t="s">
        <v>437</v>
      </c>
      <c r="I1819" s="44" t="s">
        <v>110</v>
      </c>
      <c r="J1819" s="45">
        <v>1038</v>
      </c>
      <c r="K1819" s="289">
        <v>85</v>
      </c>
      <c r="L1819" s="281">
        <f>J1819*K1819</f>
        <v>88230</v>
      </c>
      <c r="M1819" s="46">
        <v>1038</v>
      </c>
      <c r="N1819" s="46">
        <v>1038</v>
      </c>
      <c r="O1819" s="431">
        <v>85</v>
      </c>
      <c r="P1819" s="282">
        <f t="shared" si="56"/>
        <v>88230</v>
      </c>
      <c r="Q1819" s="282">
        <f t="shared" si="57"/>
        <v>88230</v>
      </c>
    </row>
    <row r="1820" spans="1:17" ht="14.5" x14ac:dyDescent="0.35">
      <c r="A1820" s="84" t="s">
        <v>809</v>
      </c>
      <c r="B1820" s="10" t="s">
        <v>845</v>
      </c>
      <c r="C1820" s="284"/>
      <c r="D1820" s="365"/>
      <c r="E1820" s="365"/>
      <c r="F1820" s="283" t="s">
        <v>26</v>
      </c>
      <c r="G1820" s="283"/>
      <c r="H1820" s="298" t="s">
        <v>438</v>
      </c>
      <c r="I1820" s="44" t="s">
        <v>110</v>
      </c>
      <c r="J1820" s="45">
        <v>270</v>
      </c>
      <c r="K1820" s="289">
        <v>85</v>
      </c>
      <c r="L1820" s="281">
        <f>J1820*K1820</f>
        <v>22950</v>
      </c>
      <c r="M1820" s="46">
        <v>270</v>
      </c>
      <c r="N1820" s="46">
        <v>270</v>
      </c>
      <c r="O1820" s="431">
        <v>85</v>
      </c>
      <c r="P1820" s="282">
        <f t="shared" si="56"/>
        <v>22950</v>
      </c>
      <c r="Q1820" s="282">
        <f t="shared" si="57"/>
        <v>22950</v>
      </c>
    </row>
    <row r="1821" spans="1:17" x14ac:dyDescent="0.35">
      <c r="A1821" s="84" t="s">
        <v>809</v>
      </c>
      <c r="B1821" s="10" t="s">
        <v>845</v>
      </c>
      <c r="C1821" s="284"/>
      <c r="D1821" s="365"/>
      <c r="E1821" s="365"/>
      <c r="F1821" s="283" t="s">
        <v>29</v>
      </c>
      <c r="G1821" s="283"/>
      <c r="H1821" s="298" t="s">
        <v>439</v>
      </c>
      <c r="I1821" s="44" t="s">
        <v>186</v>
      </c>
      <c r="J1821" s="45">
        <v>432</v>
      </c>
      <c r="K1821" s="289">
        <v>75</v>
      </c>
      <c r="L1821" s="281">
        <f>J1821*K1821</f>
        <v>32400</v>
      </c>
      <c r="M1821" s="46">
        <v>432</v>
      </c>
      <c r="N1821" s="46">
        <v>432</v>
      </c>
      <c r="O1821" s="431">
        <v>75</v>
      </c>
      <c r="P1821" s="282">
        <f t="shared" si="56"/>
        <v>32400</v>
      </c>
      <c r="Q1821" s="282">
        <f t="shared" si="57"/>
        <v>32400</v>
      </c>
    </row>
    <row r="1822" spans="1:17" ht="13" x14ac:dyDescent="0.35">
      <c r="A1822" s="84" t="s">
        <v>809</v>
      </c>
      <c r="B1822" s="10" t="s">
        <v>845</v>
      </c>
      <c r="C1822" s="284"/>
      <c r="D1822" s="365"/>
      <c r="E1822" s="365"/>
      <c r="F1822" s="283"/>
      <c r="G1822" s="344"/>
      <c r="H1822" s="294" t="s">
        <v>440</v>
      </c>
      <c r="I1822" s="44"/>
      <c r="J1822" s="122"/>
      <c r="K1822" s="337"/>
      <c r="L1822" s="281"/>
      <c r="M1822" s="120"/>
      <c r="N1822" s="120"/>
      <c r="O1822" s="438"/>
      <c r="P1822" s="282">
        <f t="shared" si="56"/>
        <v>0</v>
      </c>
      <c r="Q1822" s="282">
        <f t="shared" si="57"/>
        <v>0</v>
      </c>
    </row>
    <row r="1823" spans="1:17" ht="26" x14ac:dyDescent="0.35">
      <c r="A1823" s="84" t="s">
        <v>809</v>
      </c>
      <c r="B1823" s="10" t="s">
        <v>845</v>
      </c>
      <c r="C1823" s="284"/>
      <c r="D1823" s="365"/>
      <c r="E1823" s="365"/>
      <c r="F1823" s="283"/>
      <c r="G1823" s="344"/>
      <c r="H1823" s="294" t="s">
        <v>441</v>
      </c>
      <c r="I1823" s="44"/>
      <c r="J1823" s="122"/>
      <c r="K1823" s="337"/>
      <c r="L1823" s="281"/>
      <c r="M1823" s="120"/>
      <c r="N1823" s="120"/>
      <c r="O1823" s="438"/>
      <c r="P1823" s="282">
        <f t="shared" si="56"/>
        <v>0</v>
      </c>
      <c r="Q1823" s="282">
        <f t="shared" si="57"/>
        <v>0</v>
      </c>
    </row>
    <row r="1824" spans="1:17" ht="14.5" x14ac:dyDescent="0.35">
      <c r="A1824" s="84" t="s">
        <v>809</v>
      </c>
      <c r="B1824" s="10" t="s">
        <v>845</v>
      </c>
      <c r="C1824" s="284"/>
      <c r="D1824" s="365"/>
      <c r="E1824" s="365"/>
      <c r="F1824" s="283" t="s">
        <v>32</v>
      </c>
      <c r="G1824" s="344"/>
      <c r="H1824" s="298" t="s">
        <v>442</v>
      </c>
      <c r="I1824" s="44" t="s">
        <v>110</v>
      </c>
      <c r="J1824" s="122">
        <v>108</v>
      </c>
      <c r="K1824" s="337">
        <v>85</v>
      </c>
      <c r="L1824" s="281">
        <f>J1824*K1824</f>
        <v>9180</v>
      </c>
      <c r="M1824" s="120">
        <v>108</v>
      </c>
      <c r="N1824" s="120">
        <v>108</v>
      </c>
      <c r="O1824" s="438">
        <v>85</v>
      </c>
      <c r="P1824" s="282">
        <f t="shared" si="56"/>
        <v>9180</v>
      </c>
      <c r="Q1824" s="282">
        <f t="shared" si="57"/>
        <v>9180</v>
      </c>
    </row>
    <row r="1825" spans="1:17" ht="13" x14ac:dyDescent="0.35">
      <c r="A1825" s="84" t="s">
        <v>809</v>
      </c>
      <c r="B1825" s="10" t="s">
        <v>845</v>
      </c>
      <c r="C1825" s="284"/>
      <c r="D1825" s="365"/>
      <c r="E1825" s="365"/>
      <c r="F1825" s="283"/>
      <c r="G1825" s="344"/>
      <c r="H1825" s="294" t="s">
        <v>846</v>
      </c>
      <c r="I1825" s="44"/>
      <c r="J1825" s="122"/>
      <c r="K1825" s="337"/>
      <c r="L1825" s="281"/>
      <c r="M1825" s="120"/>
      <c r="N1825" s="120"/>
      <c r="O1825" s="438"/>
      <c r="P1825" s="282">
        <f t="shared" si="56"/>
        <v>0</v>
      </c>
      <c r="Q1825" s="282">
        <f t="shared" si="57"/>
        <v>0</v>
      </c>
    </row>
    <row r="1826" spans="1:17" ht="39" x14ac:dyDescent="0.35">
      <c r="A1826" s="84" t="s">
        <v>809</v>
      </c>
      <c r="B1826" s="10" t="s">
        <v>845</v>
      </c>
      <c r="C1826" s="284"/>
      <c r="D1826" s="365"/>
      <c r="E1826" s="365"/>
      <c r="F1826" s="283"/>
      <c r="G1826" s="344"/>
      <c r="H1826" s="294" t="s">
        <v>847</v>
      </c>
      <c r="I1826" s="44"/>
      <c r="J1826" s="122"/>
      <c r="K1826" s="337"/>
      <c r="L1826" s="281"/>
      <c r="M1826" s="120"/>
      <c r="N1826" s="120"/>
      <c r="O1826" s="438"/>
      <c r="P1826" s="282">
        <f t="shared" si="56"/>
        <v>0</v>
      </c>
      <c r="Q1826" s="282">
        <f t="shared" si="57"/>
        <v>0</v>
      </c>
    </row>
    <row r="1827" spans="1:17" ht="14.5" x14ac:dyDescent="0.35">
      <c r="A1827" s="84" t="s">
        <v>809</v>
      </c>
      <c r="B1827" s="10" t="s">
        <v>845</v>
      </c>
      <c r="C1827" s="284"/>
      <c r="D1827" s="365"/>
      <c r="E1827" s="365"/>
      <c r="F1827" s="144" t="s">
        <v>36</v>
      </c>
      <c r="G1827" s="145"/>
      <c r="H1827" s="146" t="s">
        <v>446</v>
      </c>
      <c r="I1827" s="147" t="s">
        <v>110</v>
      </c>
      <c r="J1827" s="148">
        <v>80</v>
      </c>
      <c r="K1827" s="150">
        <v>85</v>
      </c>
      <c r="L1827" s="151">
        <f>J1827*K1827</f>
        <v>6800</v>
      </c>
      <c r="M1827" s="149">
        <v>80</v>
      </c>
      <c r="N1827" s="149">
        <v>80</v>
      </c>
      <c r="O1827" s="418">
        <v>85</v>
      </c>
      <c r="P1827" s="152">
        <f t="shared" si="56"/>
        <v>6800</v>
      </c>
      <c r="Q1827" s="152">
        <f t="shared" si="57"/>
        <v>6800</v>
      </c>
    </row>
    <row r="1828" spans="1:17" ht="26" x14ac:dyDescent="0.35">
      <c r="A1828" s="84" t="s">
        <v>809</v>
      </c>
      <c r="B1828" s="10" t="s">
        <v>845</v>
      </c>
      <c r="C1828" s="284"/>
      <c r="D1828" s="365"/>
      <c r="E1828" s="365"/>
      <c r="F1828" s="283"/>
      <c r="G1828" s="283"/>
      <c r="H1828" s="294" t="s">
        <v>848</v>
      </c>
      <c r="I1828" s="44"/>
      <c r="J1828" s="45"/>
      <c r="K1828" s="289"/>
      <c r="L1828" s="281"/>
      <c r="M1828" s="46"/>
      <c r="N1828" s="46"/>
      <c r="O1828" s="431"/>
      <c r="P1828" s="282">
        <f t="shared" si="56"/>
        <v>0</v>
      </c>
      <c r="Q1828" s="282">
        <f t="shared" si="57"/>
        <v>0</v>
      </c>
    </row>
    <row r="1829" spans="1:17" ht="13" x14ac:dyDescent="0.35">
      <c r="A1829" s="84" t="s">
        <v>809</v>
      </c>
      <c r="B1829" s="10" t="s">
        <v>845</v>
      </c>
      <c r="C1829" s="284"/>
      <c r="D1829" s="365"/>
      <c r="E1829" s="365"/>
      <c r="F1829" s="283"/>
      <c r="G1829" s="283"/>
      <c r="H1829" s="294" t="s">
        <v>431</v>
      </c>
      <c r="I1829" s="44"/>
      <c r="J1829" s="45"/>
      <c r="K1829" s="289"/>
      <c r="L1829" s="281"/>
      <c r="M1829" s="46"/>
      <c r="N1829" s="46"/>
      <c r="O1829" s="431"/>
      <c r="P1829" s="282">
        <f t="shared" si="56"/>
        <v>0</v>
      </c>
      <c r="Q1829" s="282">
        <f t="shared" si="57"/>
        <v>0</v>
      </c>
    </row>
    <row r="1830" spans="1:17" ht="26" x14ac:dyDescent="0.35">
      <c r="A1830" s="84" t="s">
        <v>809</v>
      </c>
      <c r="B1830" s="10" t="s">
        <v>845</v>
      </c>
      <c r="C1830" s="284"/>
      <c r="D1830" s="365"/>
      <c r="E1830" s="365"/>
      <c r="F1830" s="283"/>
      <c r="G1830" s="283"/>
      <c r="H1830" s="294" t="s">
        <v>432</v>
      </c>
      <c r="I1830" s="44"/>
      <c r="J1830" s="45"/>
      <c r="K1830" s="289"/>
      <c r="L1830" s="281"/>
      <c r="M1830" s="46"/>
      <c r="N1830" s="46"/>
      <c r="O1830" s="431"/>
      <c r="P1830" s="282">
        <f t="shared" si="56"/>
        <v>0</v>
      </c>
      <c r="Q1830" s="282">
        <f t="shared" si="57"/>
        <v>0</v>
      </c>
    </row>
    <row r="1831" spans="1:17" ht="14.5" x14ac:dyDescent="0.35">
      <c r="A1831" s="84" t="s">
        <v>809</v>
      </c>
      <c r="B1831" s="10" t="s">
        <v>845</v>
      </c>
      <c r="C1831" s="284"/>
      <c r="D1831" s="365"/>
      <c r="E1831" s="365"/>
      <c r="F1831" s="283" t="s">
        <v>39</v>
      </c>
      <c r="G1831" s="283"/>
      <c r="H1831" s="298" t="s">
        <v>849</v>
      </c>
      <c r="I1831" s="44" t="s">
        <v>110</v>
      </c>
      <c r="J1831" s="45">
        <v>1900</v>
      </c>
      <c r="K1831" s="289">
        <v>85</v>
      </c>
      <c r="L1831" s="281">
        <f>J1831*K1831</f>
        <v>161500</v>
      </c>
      <c r="M1831" s="46">
        <v>1900</v>
      </c>
      <c r="N1831" s="46">
        <v>1900</v>
      </c>
      <c r="O1831" s="431">
        <v>85</v>
      </c>
      <c r="P1831" s="282">
        <f t="shared" si="56"/>
        <v>161500</v>
      </c>
      <c r="Q1831" s="282">
        <f t="shared" si="57"/>
        <v>161500</v>
      </c>
    </row>
    <row r="1832" spans="1:17" ht="14.5" x14ac:dyDescent="0.35">
      <c r="A1832" s="84" t="s">
        <v>809</v>
      </c>
      <c r="B1832" s="10" t="s">
        <v>845</v>
      </c>
      <c r="C1832" s="284"/>
      <c r="D1832" s="365"/>
      <c r="E1832" s="365"/>
      <c r="F1832" s="283" t="s">
        <v>42</v>
      </c>
      <c r="G1832" s="283"/>
      <c r="H1832" s="298" t="s">
        <v>850</v>
      </c>
      <c r="I1832" s="44" t="s">
        <v>110</v>
      </c>
      <c r="J1832" s="45">
        <f>307*6</f>
        <v>1842</v>
      </c>
      <c r="K1832" s="289">
        <v>85</v>
      </c>
      <c r="L1832" s="281">
        <f>J1832*K1832</f>
        <v>156570</v>
      </c>
      <c r="M1832" s="46">
        <f>307*6</f>
        <v>1842</v>
      </c>
      <c r="N1832" s="46">
        <f>307*6</f>
        <v>1842</v>
      </c>
      <c r="O1832" s="431">
        <v>85</v>
      </c>
      <c r="P1832" s="282">
        <f t="shared" si="56"/>
        <v>156570</v>
      </c>
      <c r="Q1832" s="282">
        <f t="shared" si="57"/>
        <v>156570</v>
      </c>
    </row>
    <row r="1833" spans="1:17" ht="14.5" x14ac:dyDescent="0.35">
      <c r="A1833" s="84" t="s">
        <v>809</v>
      </c>
      <c r="B1833" s="10" t="s">
        <v>845</v>
      </c>
      <c r="C1833" s="284"/>
      <c r="D1833" s="365"/>
      <c r="E1833" s="365"/>
      <c r="F1833" s="283" t="s">
        <v>45</v>
      </c>
      <c r="G1833" s="283"/>
      <c r="H1833" s="298" t="s">
        <v>434</v>
      </c>
      <c r="I1833" s="44" t="s">
        <v>110</v>
      </c>
      <c r="J1833" s="45">
        <f>(J1832+J1831)*0.08</f>
        <v>299.36</v>
      </c>
      <c r="K1833" s="289">
        <v>85</v>
      </c>
      <c r="L1833" s="281">
        <f>J1833*K1833</f>
        <v>25445.600000000002</v>
      </c>
      <c r="M1833" s="46">
        <f>(M1832+M1831)*0.08</f>
        <v>299.36</v>
      </c>
      <c r="N1833" s="46">
        <f>(N1832+N1831)*0.08</f>
        <v>299.36</v>
      </c>
      <c r="O1833" s="431">
        <v>85</v>
      </c>
      <c r="P1833" s="282">
        <f t="shared" si="56"/>
        <v>25445.600000000002</v>
      </c>
      <c r="Q1833" s="282">
        <f t="shared" si="57"/>
        <v>25445.600000000002</v>
      </c>
    </row>
    <row r="1834" spans="1:17" ht="13" x14ac:dyDescent="0.35">
      <c r="A1834" s="84" t="s">
        <v>809</v>
      </c>
      <c r="B1834" s="10" t="s">
        <v>845</v>
      </c>
      <c r="C1834" s="284"/>
      <c r="D1834" s="365"/>
      <c r="E1834" s="365"/>
      <c r="F1834" s="283"/>
      <c r="G1834" s="344"/>
      <c r="H1834" s="294" t="s">
        <v>440</v>
      </c>
      <c r="I1834" s="44"/>
      <c r="J1834" s="122"/>
      <c r="K1834" s="337"/>
      <c r="L1834" s="281"/>
      <c r="M1834" s="120"/>
      <c r="N1834" s="120"/>
      <c r="O1834" s="438"/>
      <c r="P1834" s="282">
        <f t="shared" si="56"/>
        <v>0</v>
      </c>
      <c r="Q1834" s="282">
        <f t="shared" si="57"/>
        <v>0</v>
      </c>
    </row>
    <row r="1835" spans="1:17" ht="26" x14ac:dyDescent="0.35">
      <c r="A1835" s="84" t="s">
        <v>809</v>
      </c>
      <c r="B1835" s="10" t="s">
        <v>845</v>
      </c>
      <c r="C1835" s="284"/>
      <c r="D1835" s="365"/>
      <c r="E1835" s="365"/>
      <c r="F1835" s="283"/>
      <c r="G1835" s="344"/>
      <c r="H1835" s="294" t="s">
        <v>441</v>
      </c>
      <c r="I1835" s="44"/>
      <c r="J1835" s="122"/>
      <c r="K1835" s="337"/>
      <c r="L1835" s="281"/>
      <c r="M1835" s="120"/>
      <c r="N1835" s="120"/>
      <c r="O1835" s="438"/>
      <c r="P1835" s="282">
        <f t="shared" si="56"/>
        <v>0</v>
      </c>
      <c r="Q1835" s="282">
        <f t="shared" si="57"/>
        <v>0</v>
      </c>
    </row>
    <row r="1836" spans="1:17" ht="14.5" x14ac:dyDescent="0.35">
      <c r="A1836" s="84" t="s">
        <v>809</v>
      </c>
      <c r="B1836" s="10" t="s">
        <v>845</v>
      </c>
      <c r="C1836" s="284"/>
      <c r="D1836" s="365"/>
      <c r="E1836" s="365"/>
      <c r="F1836" s="283" t="s">
        <v>48</v>
      </c>
      <c r="G1836" s="344"/>
      <c r="H1836" s="298" t="s">
        <v>443</v>
      </c>
      <c r="I1836" s="44" t="s">
        <v>110</v>
      </c>
      <c r="J1836" s="122">
        <v>120</v>
      </c>
      <c r="K1836" s="337">
        <v>85</v>
      </c>
      <c r="L1836" s="281">
        <f>J1836*K1836</f>
        <v>10200</v>
      </c>
      <c r="M1836" s="120">
        <v>120</v>
      </c>
      <c r="N1836" s="120">
        <v>120</v>
      </c>
      <c r="O1836" s="438">
        <v>85</v>
      </c>
      <c r="P1836" s="282">
        <f t="shared" si="56"/>
        <v>10200</v>
      </c>
      <c r="Q1836" s="282">
        <f t="shared" si="57"/>
        <v>10200</v>
      </c>
    </row>
    <row r="1837" spans="1:17" ht="13" x14ac:dyDescent="0.35">
      <c r="A1837" s="84" t="s">
        <v>809</v>
      </c>
      <c r="B1837" s="10" t="s">
        <v>851</v>
      </c>
      <c r="C1837" s="284"/>
      <c r="D1837" s="365"/>
      <c r="E1837" s="365"/>
      <c r="F1837" s="283"/>
      <c r="G1837" s="283"/>
      <c r="H1837" s="292" t="s">
        <v>810</v>
      </c>
      <c r="I1837" s="44"/>
      <c r="J1837" s="45"/>
      <c r="K1837" s="289"/>
      <c r="L1837" s="290"/>
      <c r="M1837" s="46"/>
      <c r="N1837" s="46"/>
      <c r="O1837" s="431"/>
      <c r="P1837" s="291">
        <f t="shared" si="56"/>
        <v>0</v>
      </c>
      <c r="Q1837" s="291">
        <f t="shared" si="57"/>
        <v>0</v>
      </c>
    </row>
    <row r="1838" spans="1:17" ht="13" x14ac:dyDescent="0.35">
      <c r="A1838" s="84" t="s">
        <v>809</v>
      </c>
      <c r="B1838" s="10" t="s">
        <v>851</v>
      </c>
      <c r="C1838" s="284"/>
      <c r="D1838" s="365"/>
      <c r="E1838" s="365"/>
      <c r="F1838" s="283"/>
      <c r="G1838" s="283"/>
      <c r="H1838" s="292" t="s">
        <v>811</v>
      </c>
      <c r="I1838" s="44"/>
      <c r="J1838" s="45"/>
      <c r="K1838" s="289"/>
      <c r="L1838" s="290"/>
      <c r="M1838" s="46"/>
      <c r="N1838" s="46"/>
      <c r="O1838" s="431"/>
      <c r="P1838" s="291">
        <f t="shared" si="56"/>
        <v>0</v>
      </c>
      <c r="Q1838" s="291">
        <f t="shared" si="57"/>
        <v>0</v>
      </c>
    </row>
    <row r="1839" spans="1:17" ht="13" x14ac:dyDescent="0.35">
      <c r="A1839" s="84" t="s">
        <v>809</v>
      </c>
      <c r="B1839" s="10" t="s">
        <v>851</v>
      </c>
      <c r="C1839" s="284"/>
      <c r="D1839" s="365"/>
      <c r="E1839" s="365"/>
      <c r="F1839" s="283"/>
      <c r="G1839" s="283"/>
      <c r="H1839" s="292" t="s">
        <v>359</v>
      </c>
      <c r="I1839" s="44"/>
      <c r="J1839" s="45"/>
      <c r="K1839" s="289"/>
      <c r="L1839" s="290"/>
      <c r="M1839" s="46"/>
      <c r="N1839" s="46"/>
      <c r="O1839" s="431"/>
      <c r="P1839" s="291">
        <f t="shared" si="56"/>
        <v>0</v>
      </c>
      <c r="Q1839" s="291">
        <f t="shared" si="57"/>
        <v>0</v>
      </c>
    </row>
    <row r="1840" spans="1:17" ht="13" x14ac:dyDescent="0.35">
      <c r="A1840" s="84" t="s">
        <v>809</v>
      </c>
      <c r="B1840" s="10" t="s">
        <v>851</v>
      </c>
      <c r="C1840" s="284"/>
      <c r="D1840" s="365"/>
      <c r="E1840" s="365"/>
      <c r="F1840" s="283"/>
      <c r="G1840" s="283"/>
      <c r="H1840" s="153" t="s">
        <v>450</v>
      </c>
      <c r="I1840" s="44"/>
      <c r="J1840" s="45"/>
      <c r="K1840" s="289"/>
      <c r="L1840" s="290"/>
      <c r="M1840" s="46"/>
      <c r="N1840" s="46"/>
      <c r="O1840" s="431"/>
      <c r="P1840" s="291">
        <f t="shared" si="56"/>
        <v>0</v>
      </c>
      <c r="Q1840" s="291">
        <f t="shared" si="57"/>
        <v>0</v>
      </c>
    </row>
    <row r="1841" spans="1:17" ht="13" x14ac:dyDescent="0.35">
      <c r="A1841" s="84" t="s">
        <v>809</v>
      </c>
      <c r="B1841" s="10" t="s">
        <v>851</v>
      </c>
      <c r="C1841" s="284"/>
      <c r="D1841" s="365"/>
      <c r="E1841" s="365"/>
      <c r="F1841" s="283"/>
      <c r="G1841" s="283"/>
      <c r="H1841" s="154" t="s">
        <v>100</v>
      </c>
      <c r="I1841" s="44"/>
      <c r="J1841" s="45"/>
      <c r="K1841" s="289"/>
      <c r="L1841" s="290"/>
      <c r="M1841" s="46"/>
      <c r="N1841" s="46"/>
      <c r="O1841" s="431"/>
      <c r="P1841" s="291">
        <f t="shared" si="56"/>
        <v>0</v>
      </c>
      <c r="Q1841" s="291">
        <f t="shared" si="57"/>
        <v>0</v>
      </c>
    </row>
    <row r="1842" spans="1:17" ht="13" x14ac:dyDescent="0.35">
      <c r="A1842" s="84" t="s">
        <v>809</v>
      </c>
      <c r="B1842" s="10" t="s">
        <v>851</v>
      </c>
      <c r="C1842" s="284"/>
      <c r="D1842" s="365"/>
      <c r="E1842" s="365"/>
      <c r="F1842" s="283"/>
      <c r="G1842" s="283"/>
      <c r="H1842" s="155" t="s">
        <v>101</v>
      </c>
      <c r="I1842" s="44"/>
      <c r="J1842" s="45"/>
      <c r="K1842" s="289"/>
      <c r="L1842" s="290"/>
      <c r="M1842" s="46"/>
      <c r="N1842" s="46"/>
      <c r="O1842" s="431"/>
      <c r="P1842" s="291">
        <f t="shared" si="56"/>
        <v>0</v>
      </c>
      <c r="Q1842" s="291">
        <f t="shared" si="57"/>
        <v>0</v>
      </c>
    </row>
    <row r="1843" spans="1:17" ht="13" x14ac:dyDescent="0.35">
      <c r="A1843" s="84" t="s">
        <v>809</v>
      </c>
      <c r="B1843" s="10" t="s">
        <v>851</v>
      </c>
      <c r="C1843" s="284"/>
      <c r="D1843" s="365"/>
      <c r="E1843" s="365"/>
      <c r="F1843" s="283"/>
      <c r="G1843" s="283"/>
      <c r="H1843" s="153" t="s">
        <v>451</v>
      </c>
      <c r="I1843" s="44"/>
      <c r="J1843" s="45"/>
      <c r="K1843" s="289"/>
      <c r="L1843" s="281"/>
      <c r="M1843" s="46"/>
      <c r="N1843" s="46"/>
      <c r="O1843" s="431"/>
      <c r="P1843" s="282">
        <f t="shared" si="56"/>
        <v>0</v>
      </c>
      <c r="Q1843" s="282">
        <f t="shared" si="57"/>
        <v>0</v>
      </c>
    </row>
    <row r="1844" spans="1:17" ht="26" x14ac:dyDescent="0.35">
      <c r="A1844" s="84" t="s">
        <v>809</v>
      </c>
      <c r="B1844" s="10" t="s">
        <v>851</v>
      </c>
      <c r="C1844" s="284"/>
      <c r="D1844" s="365"/>
      <c r="E1844" s="365"/>
      <c r="F1844" s="283"/>
      <c r="G1844" s="283"/>
      <c r="H1844" s="156" t="s">
        <v>452</v>
      </c>
      <c r="I1844" s="44"/>
      <c r="J1844" s="45"/>
      <c r="K1844" s="289"/>
      <c r="L1844" s="281"/>
      <c r="M1844" s="46"/>
      <c r="N1844" s="46"/>
      <c r="O1844" s="431"/>
      <c r="P1844" s="282">
        <f t="shared" si="56"/>
        <v>0</v>
      </c>
      <c r="Q1844" s="282">
        <f t="shared" si="57"/>
        <v>0</v>
      </c>
    </row>
    <row r="1845" spans="1:17" ht="52" x14ac:dyDescent="0.35">
      <c r="A1845" s="84" t="s">
        <v>809</v>
      </c>
      <c r="B1845" s="10" t="s">
        <v>851</v>
      </c>
      <c r="C1845" s="284"/>
      <c r="D1845" s="365"/>
      <c r="E1845" s="365"/>
      <c r="F1845" s="283"/>
      <c r="G1845" s="283"/>
      <c r="H1845" s="156" t="s">
        <v>453</v>
      </c>
      <c r="I1845" s="44"/>
      <c r="J1845" s="45"/>
      <c r="K1845" s="289"/>
      <c r="L1845" s="281"/>
      <c r="M1845" s="46"/>
      <c r="N1845" s="46"/>
      <c r="O1845" s="431"/>
      <c r="P1845" s="282">
        <f t="shared" si="56"/>
        <v>0</v>
      </c>
      <c r="Q1845" s="282">
        <f t="shared" si="57"/>
        <v>0</v>
      </c>
    </row>
    <row r="1846" spans="1:17" ht="13" x14ac:dyDescent="0.3">
      <c r="A1846" s="84" t="s">
        <v>809</v>
      </c>
      <c r="B1846" s="10" t="s">
        <v>851</v>
      </c>
      <c r="C1846" s="284"/>
      <c r="D1846" s="365"/>
      <c r="E1846" s="365"/>
      <c r="F1846" s="283"/>
      <c r="G1846" s="283"/>
      <c r="H1846" s="349" t="s">
        <v>852</v>
      </c>
      <c r="I1846" s="44"/>
      <c r="J1846" s="45"/>
      <c r="K1846" s="289"/>
      <c r="L1846" s="281"/>
      <c r="M1846" s="46"/>
      <c r="N1846" s="46"/>
      <c r="O1846" s="431"/>
      <c r="P1846" s="282">
        <f t="shared" si="56"/>
        <v>0</v>
      </c>
      <c r="Q1846" s="282">
        <f t="shared" si="57"/>
        <v>0</v>
      </c>
    </row>
    <row r="1847" spans="1:17" ht="62.5" x14ac:dyDescent="0.35">
      <c r="A1847" s="84" t="s">
        <v>809</v>
      </c>
      <c r="B1847" s="10" t="s">
        <v>851</v>
      </c>
      <c r="C1847" s="284"/>
      <c r="D1847" s="365"/>
      <c r="E1847" s="365"/>
      <c r="F1847" s="283" t="s">
        <v>20</v>
      </c>
      <c r="G1847" s="283"/>
      <c r="H1847" s="159" t="s">
        <v>455</v>
      </c>
      <c r="I1847" s="44" t="s">
        <v>456</v>
      </c>
      <c r="J1847" s="45">
        <v>6</v>
      </c>
      <c r="K1847" s="289">
        <v>4000</v>
      </c>
      <c r="L1847" s="281">
        <f>J1847*K1847</f>
        <v>24000</v>
      </c>
      <c r="M1847" s="46">
        <v>6</v>
      </c>
      <c r="N1847" s="46">
        <v>6</v>
      </c>
      <c r="O1847" s="431">
        <v>4000</v>
      </c>
      <c r="P1847" s="282">
        <f t="shared" si="56"/>
        <v>24000</v>
      </c>
      <c r="Q1847" s="282">
        <f t="shared" si="57"/>
        <v>24000</v>
      </c>
    </row>
    <row r="1848" spans="1:17" x14ac:dyDescent="0.35">
      <c r="A1848" s="84" t="s">
        <v>809</v>
      </c>
      <c r="B1848" s="10" t="s">
        <v>851</v>
      </c>
      <c r="C1848" s="284"/>
      <c r="D1848" s="365"/>
      <c r="E1848" s="365"/>
      <c r="F1848" s="283"/>
      <c r="G1848" s="283"/>
      <c r="H1848" s="159" t="s">
        <v>701</v>
      </c>
      <c r="I1848" s="44"/>
      <c r="J1848" s="45"/>
      <c r="K1848" s="289"/>
      <c r="L1848" s="281"/>
      <c r="M1848" s="46"/>
      <c r="N1848" s="46"/>
      <c r="O1848" s="431"/>
      <c r="P1848" s="282">
        <f t="shared" si="56"/>
        <v>0</v>
      </c>
      <c r="Q1848" s="282">
        <f t="shared" si="57"/>
        <v>0</v>
      </c>
    </row>
    <row r="1849" spans="1:17" ht="13" x14ac:dyDescent="0.35">
      <c r="A1849" s="84" t="s">
        <v>809</v>
      </c>
      <c r="B1849" s="10" t="s">
        <v>851</v>
      </c>
      <c r="C1849" s="284"/>
      <c r="D1849" s="365"/>
      <c r="E1849" s="365"/>
      <c r="F1849" s="283"/>
      <c r="G1849" s="283"/>
      <c r="H1849" s="157" t="s">
        <v>457</v>
      </c>
      <c r="I1849" s="44"/>
      <c r="J1849" s="45"/>
      <c r="K1849" s="289"/>
      <c r="L1849" s="281"/>
      <c r="M1849" s="46"/>
      <c r="N1849" s="46"/>
      <c r="O1849" s="431"/>
      <c r="P1849" s="282">
        <f t="shared" si="56"/>
        <v>0</v>
      </c>
      <c r="Q1849" s="282">
        <f t="shared" si="57"/>
        <v>0</v>
      </c>
    </row>
    <row r="1850" spans="1:17" x14ac:dyDescent="0.35">
      <c r="A1850" s="84" t="s">
        <v>809</v>
      </c>
      <c r="B1850" s="10" t="s">
        <v>851</v>
      </c>
      <c r="C1850" s="284"/>
      <c r="D1850" s="365"/>
      <c r="E1850" s="365"/>
      <c r="F1850" s="283" t="s">
        <v>26</v>
      </c>
      <c r="G1850" s="283"/>
      <c r="H1850" s="159" t="s">
        <v>458</v>
      </c>
      <c r="I1850" s="44" t="s">
        <v>456</v>
      </c>
      <c r="J1850" s="45">
        <v>24</v>
      </c>
      <c r="K1850" s="289">
        <v>300</v>
      </c>
      <c r="L1850" s="281">
        <f>J1850*K1850</f>
        <v>7200</v>
      </c>
      <c r="M1850" s="46">
        <v>24</v>
      </c>
      <c r="N1850" s="46">
        <v>24</v>
      </c>
      <c r="O1850" s="431">
        <v>300</v>
      </c>
      <c r="P1850" s="282">
        <f t="shared" si="56"/>
        <v>7200</v>
      </c>
      <c r="Q1850" s="282">
        <f t="shared" si="57"/>
        <v>7200</v>
      </c>
    </row>
    <row r="1851" spans="1:17" x14ac:dyDescent="0.35">
      <c r="A1851" s="84" t="s">
        <v>809</v>
      </c>
      <c r="B1851" s="10" t="s">
        <v>851</v>
      </c>
      <c r="C1851" s="284"/>
      <c r="D1851" s="365"/>
      <c r="E1851" s="365"/>
      <c r="F1851" s="283" t="s">
        <v>29</v>
      </c>
      <c r="G1851" s="283"/>
      <c r="H1851" s="159" t="s">
        <v>459</v>
      </c>
      <c r="I1851" s="44" t="s">
        <v>456</v>
      </c>
      <c r="J1851" s="45">
        <v>18</v>
      </c>
      <c r="K1851" s="289">
        <v>400</v>
      </c>
      <c r="L1851" s="281">
        <f>J1851*K1851</f>
        <v>7200</v>
      </c>
      <c r="M1851" s="46">
        <v>18</v>
      </c>
      <c r="N1851" s="46">
        <v>18</v>
      </c>
      <c r="O1851" s="431">
        <v>400</v>
      </c>
      <c r="P1851" s="282">
        <f t="shared" si="56"/>
        <v>7200</v>
      </c>
      <c r="Q1851" s="282">
        <f t="shared" si="57"/>
        <v>7200</v>
      </c>
    </row>
    <row r="1852" spans="1:17" x14ac:dyDescent="0.35">
      <c r="A1852" s="84" t="s">
        <v>809</v>
      </c>
      <c r="B1852" s="10" t="s">
        <v>851</v>
      </c>
      <c r="C1852" s="284"/>
      <c r="D1852" s="365"/>
      <c r="E1852" s="365"/>
      <c r="F1852" s="283" t="s">
        <v>32</v>
      </c>
      <c r="G1852" s="283"/>
      <c r="H1852" s="159" t="s">
        <v>460</v>
      </c>
      <c r="I1852" s="44" t="s">
        <v>456</v>
      </c>
      <c r="J1852" s="45"/>
      <c r="K1852" s="350"/>
      <c r="L1852" s="281"/>
      <c r="M1852" s="46"/>
      <c r="N1852" s="46"/>
      <c r="O1852" s="443"/>
      <c r="P1852" s="282">
        <f t="shared" si="56"/>
        <v>0</v>
      </c>
      <c r="Q1852" s="282">
        <f t="shared" si="57"/>
        <v>0</v>
      </c>
    </row>
    <row r="1853" spans="1:17" x14ac:dyDescent="0.35">
      <c r="A1853" s="84" t="s">
        <v>809</v>
      </c>
      <c r="B1853" s="10" t="s">
        <v>851</v>
      </c>
      <c r="C1853" s="284"/>
      <c r="D1853" s="365"/>
      <c r="E1853" s="365"/>
      <c r="F1853" s="283" t="s">
        <v>36</v>
      </c>
      <c r="G1853" s="283"/>
      <c r="H1853" s="159" t="s">
        <v>461</v>
      </c>
      <c r="I1853" s="44" t="s">
        <v>456</v>
      </c>
      <c r="J1853" s="45">
        <v>6</v>
      </c>
      <c r="K1853" s="289">
        <v>4000</v>
      </c>
      <c r="L1853" s="281">
        <f>J1853*K1853</f>
        <v>24000</v>
      </c>
      <c r="M1853" s="46">
        <v>6</v>
      </c>
      <c r="N1853" s="46">
        <v>6</v>
      </c>
      <c r="O1853" s="431">
        <v>4000</v>
      </c>
      <c r="P1853" s="282">
        <f t="shared" si="56"/>
        <v>24000</v>
      </c>
      <c r="Q1853" s="282">
        <f t="shared" si="57"/>
        <v>24000</v>
      </c>
    </row>
    <row r="1854" spans="1:17" ht="13" x14ac:dyDescent="0.35">
      <c r="A1854" s="84" t="s">
        <v>809</v>
      </c>
      <c r="B1854" s="10" t="s">
        <v>851</v>
      </c>
      <c r="C1854" s="284"/>
      <c r="D1854" s="365"/>
      <c r="E1854" s="365"/>
      <c r="F1854" s="283"/>
      <c r="G1854" s="283"/>
      <c r="H1854" s="157" t="s">
        <v>462</v>
      </c>
      <c r="I1854" s="44"/>
      <c r="J1854" s="45"/>
      <c r="K1854" s="289"/>
      <c r="L1854" s="281"/>
      <c r="M1854" s="46"/>
      <c r="N1854" s="46"/>
      <c r="O1854" s="431"/>
      <c r="P1854" s="282">
        <f t="shared" si="56"/>
        <v>0</v>
      </c>
      <c r="Q1854" s="282">
        <f t="shared" si="57"/>
        <v>0</v>
      </c>
    </row>
    <row r="1855" spans="1:17" x14ac:dyDescent="0.35">
      <c r="A1855" s="84" t="s">
        <v>809</v>
      </c>
      <c r="B1855" s="10" t="s">
        <v>851</v>
      </c>
      <c r="C1855" s="284"/>
      <c r="D1855" s="365"/>
      <c r="E1855" s="365"/>
      <c r="F1855" s="283" t="s">
        <v>39</v>
      </c>
      <c r="G1855" s="283"/>
      <c r="H1855" s="159" t="s">
        <v>463</v>
      </c>
      <c r="I1855" s="44" t="s">
        <v>456</v>
      </c>
      <c r="J1855" s="45">
        <v>6</v>
      </c>
      <c r="K1855" s="289">
        <v>1500</v>
      </c>
      <c r="L1855" s="281">
        <f>J1855*K1855</f>
        <v>9000</v>
      </c>
      <c r="M1855" s="46">
        <v>6</v>
      </c>
      <c r="N1855" s="46">
        <v>6</v>
      </c>
      <c r="O1855" s="431">
        <v>1500</v>
      </c>
      <c r="P1855" s="282">
        <f t="shared" si="56"/>
        <v>9000</v>
      </c>
      <c r="Q1855" s="282">
        <f t="shared" si="57"/>
        <v>9000</v>
      </c>
    </row>
    <row r="1856" spans="1:17" ht="13" x14ac:dyDescent="0.35">
      <c r="A1856" s="84" t="s">
        <v>809</v>
      </c>
      <c r="B1856" s="10" t="s">
        <v>851</v>
      </c>
      <c r="C1856" s="284"/>
      <c r="D1856" s="365"/>
      <c r="E1856" s="365"/>
      <c r="F1856" s="283"/>
      <c r="G1856" s="283"/>
      <c r="H1856" s="157" t="s">
        <v>466</v>
      </c>
      <c r="I1856" s="44"/>
      <c r="J1856" s="45"/>
      <c r="K1856" s="289"/>
      <c r="L1856" s="281"/>
      <c r="M1856" s="46"/>
      <c r="N1856" s="46"/>
      <c r="O1856" s="431"/>
      <c r="P1856" s="282">
        <f t="shared" si="56"/>
        <v>0</v>
      </c>
      <c r="Q1856" s="282">
        <f t="shared" si="57"/>
        <v>0</v>
      </c>
    </row>
    <row r="1857" spans="1:17" x14ac:dyDescent="0.35">
      <c r="A1857" s="84" t="s">
        <v>809</v>
      </c>
      <c r="B1857" s="10" t="s">
        <v>851</v>
      </c>
      <c r="C1857" s="284"/>
      <c r="D1857" s="365"/>
      <c r="E1857" s="365"/>
      <c r="F1857" s="283" t="s">
        <v>42</v>
      </c>
      <c r="G1857" s="283"/>
      <c r="H1857" s="159" t="s">
        <v>467</v>
      </c>
      <c r="I1857" s="44" t="s">
        <v>468</v>
      </c>
      <c r="J1857" s="45">
        <v>60</v>
      </c>
      <c r="K1857" s="289">
        <v>100</v>
      </c>
      <c r="L1857" s="281">
        <f>J1857*K1857</f>
        <v>6000</v>
      </c>
      <c r="M1857" s="46">
        <v>60</v>
      </c>
      <c r="N1857" s="46">
        <v>60</v>
      </c>
      <c r="O1857" s="431">
        <v>100</v>
      </c>
      <c r="P1857" s="282">
        <f t="shared" si="56"/>
        <v>6000</v>
      </c>
      <c r="Q1857" s="282">
        <f t="shared" si="57"/>
        <v>6000</v>
      </c>
    </row>
    <row r="1858" spans="1:17" ht="13" x14ac:dyDescent="0.35">
      <c r="A1858" s="84" t="s">
        <v>809</v>
      </c>
      <c r="B1858" s="10" t="s">
        <v>851</v>
      </c>
      <c r="C1858" s="284"/>
      <c r="D1858" s="365"/>
      <c r="E1858" s="365"/>
      <c r="F1858" s="283"/>
      <c r="G1858" s="283"/>
      <c r="H1858" s="157" t="s">
        <v>469</v>
      </c>
      <c r="I1858" s="44"/>
      <c r="J1858" s="45"/>
      <c r="K1858" s="289"/>
      <c r="L1858" s="281"/>
      <c r="M1858" s="46"/>
      <c r="N1858" s="46"/>
      <c r="O1858" s="431"/>
      <c r="P1858" s="282">
        <f t="shared" si="56"/>
        <v>0</v>
      </c>
      <c r="Q1858" s="282">
        <f t="shared" si="57"/>
        <v>0</v>
      </c>
    </row>
    <row r="1859" spans="1:17" ht="37.5" x14ac:dyDescent="0.35">
      <c r="A1859" s="84" t="s">
        <v>809</v>
      </c>
      <c r="B1859" s="10" t="s">
        <v>851</v>
      </c>
      <c r="C1859" s="284"/>
      <c r="D1859" s="365"/>
      <c r="E1859" s="365"/>
      <c r="F1859" s="283"/>
      <c r="G1859" s="283"/>
      <c r="H1859" s="159" t="s">
        <v>470</v>
      </c>
      <c r="I1859" s="44"/>
      <c r="J1859" s="45"/>
      <c r="K1859" s="289"/>
      <c r="L1859" s="281"/>
      <c r="M1859" s="46"/>
      <c r="N1859" s="46"/>
      <c r="O1859" s="431"/>
      <c r="P1859" s="282">
        <f t="shared" si="56"/>
        <v>0</v>
      </c>
      <c r="Q1859" s="282">
        <f t="shared" si="57"/>
        <v>0</v>
      </c>
    </row>
    <row r="1860" spans="1:17" x14ac:dyDescent="0.35">
      <c r="A1860" s="84" t="s">
        <v>809</v>
      </c>
      <c r="B1860" s="10" t="s">
        <v>851</v>
      </c>
      <c r="C1860" s="284"/>
      <c r="D1860" s="365"/>
      <c r="E1860" s="365"/>
      <c r="F1860" s="283" t="s">
        <v>45</v>
      </c>
      <c r="G1860" s="283"/>
      <c r="H1860" s="159" t="s">
        <v>853</v>
      </c>
      <c r="I1860" s="44" t="s">
        <v>186</v>
      </c>
      <c r="J1860" s="45">
        <v>360</v>
      </c>
      <c r="K1860" s="289">
        <v>135</v>
      </c>
      <c r="L1860" s="281">
        <f>J1860*K1860</f>
        <v>48600</v>
      </c>
      <c r="M1860" s="46">
        <v>360</v>
      </c>
      <c r="N1860" s="46">
        <v>360</v>
      </c>
      <c r="O1860" s="431">
        <v>135</v>
      </c>
      <c r="P1860" s="282">
        <f t="shared" si="56"/>
        <v>48600</v>
      </c>
      <c r="Q1860" s="282">
        <f t="shared" si="57"/>
        <v>48600</v>
      </c>
    </row>
    <row r="1861" spans="1:17" x14ac:dyDescent="0.35">
      <c r="A1861" s="84" t="s">
        <v>809</v>
      </c>
      <c r="B1861" s="10" t="s">
        <v>851</v>
      </c>
      <c r="C1861" s="284"/>
      <c r="D1861" s="365"/>
      <c r="E1861" s="365"/>
      <c r="F1861" s="283"/>
      <c r="G1861" s="283"/>
      <c r="H1861" s="159" t="s">
        <v>854</v>
      </c>
      <c r="I1861" s="44"/>
      <c r="J1861" s="45"/>
      <c r="K1861" s="289"/>
      <c r="L1861" s="281"/>
      <c r="M1861" s="46"/>
      <c r="N1861" s="46"/>
      <c r="O1861" s="431"/>
      <c r="P1861" s="282">
        <f t="shared" si="56"/>
        <v>0</v>
      </c>
      <c r="Q1861" s="282">
        <f t="shared" si="57"/>
        <v>0</v>
      </c>
    </row>
    <row r="1862" spans="1:17" x14ac:dyDescent="0.35">
      <c r="A1862" s="84" t="s">
        <v>809</v>
      </c>
      <c r="B1862" s="10" t="s">
        <v>851</v>
      </c>
      <c r="C1862" s="284"/>
      <c r="D1862" s="365"/>
      <c r="E1862" s="365"/>
      <c r="F1862" s="283"/>
      <c r="G1862" s="283"/>
      <c r="H1862" s="159" t="s">
        <v>855</v>
      </c>
      <c r="I1862" s="44"/>
      <c r="J1862" s="45"/>
      <c r="K1862" s="289"/>
      <c r="L1862" s="281"/>
      <c r="M1862" s="46"/>
      <c r="N1862" s="46"/>
      <c r="O1862" s="431"/>
      <c r="P1862" s="282">
        <f t="shared" si="56"/>
        <v>0</v>
      </c>
      <c r="Q1862" s="282">
        <f t="shared" si="57"/>
        <v>0</v>
      </c>
    </row>
    <row r="1863" spans="1:17" x14ac:dyDescent="0.35">
      <c r="A1863" s="84" t="s">
        <v>809</v>
      </c>
      <c r="B1863" s="10" t="s">
        <v>851</v>
      </c>
      <c r="C1863" s="284"/>
      <c r="D1863" s="365"/>
      <c r="E1863" s="365"/>
      <c r="F1863" s="283" t="s">
        <v>48</v>
      </c>
      <c r="G1863" s="283"/>
      <c r="H1863" s="159" t="s">
        <v>853</v>
      </c>
      <c r="I1863" s="44" t="s">
        <v>456</v>
      </c>
      <c r="J1863" s="45">
        <v>12</v>
      </c>
      <c r="K1863" s="289">
        <v>300</v>
      </c>
      <c r="L1863" s="281">
        <f>J1863*K1863</f>
        <v>3600</v>
      </c>
      <c r="M1863" s="46">
        <v>12</v>
      </c>
      <c r="N1863" s="46">
        <v>12</v>
      </c>
      <c r="O1863" s="431">
        <v>300</v>
      </c>
      <c r="P1863" s="282">
        <f t="shared" si="56"/>
        <v>3600</v>
      </c>
      <c r="Q1863" s="282">
        <f t="shared" si="57"/>
        <v>3600</v>
      </c>
    </row>
    <row r="1864" spans="1:17" ht="25" x14ac:dyDescent="0.35">
      <c r="A1864" s="84" t="s">
        <v>809</v>
      </c>
      <c r="B1864" s="10" t="s">
        <v>851</v>
      </c>
      <c r="C1864" s="284"/>
      <c r="D1864" s="365"/>
      <c r="E1864" s="365"/>
      <c r="F1864" s="283"/>
      <c r="G1864" s="283"/>
      <c r="H1864" s="159" t="s">
        <v>473</v>
      </c>
      <c r="I1864" s="44"/>
      <c r="J1864" s="45"/>
      <c r="K1864" s="289"/>
      <c r="L1864" s="281"/>
      <c r="M1864" s="46"/>
      <c r="N1864" s="46"/>
      <c r="O1864" s="431"/>
      <c r="P1864" s="282">
        <f t="shared" si="56"/>
        <v>0</v>
      </c>
      <c r="Q1864" s="282">
        <f t="shared" si="57"/>
        <v>0</v>
      </c>
    </row>
    <row r="1865" spans="1:17" x14ac:dyDescent="0.35">
      <c r="A1865" s="84" t="s">
        <v>809</v>
      </c>
      <c r="B1865" s="10" t="s">
        <v>851</v>
      </c>
      <c r="C1865" s="284"/>
      <c r="D1865" s="365"/>
      <c r="E1865" s="365"/>
      <c r="F1865" s="283" t="s">
        <v>51</v>
      </c>
      <c r="G1865" s="283"/>
      <c r="H1865" s="159" t="s">
        <v>474</v>
      </c>
      <c r="I1865" s="44" t="s">
        <v>186</v>
      </c>
      <c r="J1865" s="45">
        <v>360</v>
      </c>
      <c r="K1865" s="289">
        <v>18</v>
      </c>
      <c r="L1865" s="281">
        <f>J1865*K1865</f>
        <v>6480</v>
      </c>
      <c r="M1865" s="46">
        <v>360</v>
      </c>
      <c r="N1865" s="46">
        <v>360</v>
      </c>
      <c r="O1865" s="431">
        <v>18</v>
      </c>
      <c r="P1865" s="282">
        <f t="shared" si="56"/>
        <v>6480</v>
      </c>
      <c r="Q1865" s="282">
        <f t="shared" si="57"/>
        <v>6480</v>
      </c>
    </row>
    <row r="1866" spans="1:17" ht="26" x14ac:dyDescent="0.35">
      <c r="A1866" s="84" t="s">
        <v>809</v>
      </c>
      <c r="B1866" s="10" t="s">
        <v>851</v>
      </c>
      <c r="C1866" s="284"/>
      <c r="D1866" s="365"/>
      <c r="E1866" s="365"/>
      <c r="F1866" s="283"/>
      <c r="G1866" s="283"/>
      <c r="H1866" s="156" t="s">
        <v>856</v>
      </c>
      <c r="I1866" s="44"/>
      <c r="J1866" s="45"/>
      <c r="K1866" s="289"/>
      <c r="L1866" s="281"/>
      <c r="M1866" s="46"/>
      <c r="N1866" s="46"/>
      <c r="O1866" s="431"/>
      <c r="P1866" s="282">
        <f t="shared" ref="P1866:P1929" si="58">O1866*M1866</f>
        <v>0</v>
      </c>
      <c r="Q1866" s="282">
        <f t="shared" ref="Q1866:Q1929" si="59">O1866*N1866</f>
        <v>0</v>
      </c>
    </row>
    <row r="1867" spans="1:17" ht="37.5" x14ac:dyDescent="0.35">
      <c r="A1867" s="84" t="s">
        <v>809</v>
      </c>
      <c r="B1867" s="10" t="s">
        <v>851</v>
      </c>
      <c r="C1867" s="284"/>
      <c r="D1867" s="365"/>
      <c r="E1867" s="365"/>
      <c r="F1867" s="283"/>
      <c r="G1867" s="283"/>
      <c r="H1867" s="159" t="s">
        <v>476</v>
      </c>
      <c r="I1867" s="44"/>
      <c r="J1867" s="45"/>
      <c r="K1867" s="289"/>
      <c r="L1867" s="281"/>
      <c r="M1867" s="46"/>
      <c r="N1867" s="46"/>
      <c r="O1867" s="431"/>
      <c r="P1867" s="282">
        <f t="shared" si="58"/>
        <v>0</v>
      </c>
      <c r="Q1867" s="282">
        <f t="shared" si="59"/>
        <v>0</v>
      </c>
    </row>
    <row r="1868" spans="1:17" x14ac:dyDescent="0.35">
      <c r="A1868" s="84" t="s">
        <v>809</v>
      </c>
      <c r="B1868" s="10" t="s">
        <v>851</v>
      </c>
      <c r="C1868" s="284"/>
      <c r="D1868" s="365"/>
      <c r="E1868" s="365"/>
      <c r="F1868" s="144" t="s">
        <v>53</v>
      </c>
      <c r="G1868" s="144"/>
      <c r="H1868" s="351" t="s">
        <v>477</v>
      </c>
      <c r="I1868" s="147" t="s">
        <v>478</v>
      </c>
      <c r="J1868" s="206">
        <v>66</v>
      </c>
      <c r="K1868" s="208">
        <v>165</v>
      </c>
      <c r="L1868" s="151">
        <f>J1868*K1868</f>
        <v>10890</v>
      </c>
      <c r="M1868" s="207">
        <v>66</v>
      </c>
      <c r="N1868" s="207">
        <v>66</v>
      </c>
      <c r="O1868" s="423">
        <v>165</v>
      </c>
      <c r="P1868" s="152">
        <f t="shared" si="58"/>
        <v>10890</v>
      </c>
      <c r="Q1868" s="152">
        <f t="shared" si="59"/>
        <v>10890</v>
      </c>
    </row>
    <row r="1869" spans="1:17" x14ac:dyDescent="0.35">
      <c r="A1869" s="84" t="s">
        <v>809</v>
      </c>
      <c r="B1869" s="10" t="s">
        <v>851</v>
      </c>
      <c r="C1869" s="284"/>
      <c r="D1869" s="365"/>
      <c r="E1869" s="365"/>
      <c r="F1869" s="283" t="s">
        <v>55</v>
      </c>
      <c r="G1869" s="283"/>
      <c r="H1869" s="159" t="s">
        <v>479</v>
      </c>
      <c r="I1869" s="44" t="s">
        <v>478</v>
      </c>
      <c r="J1869" s="45"/>
      <c r="K1869" s="289"/>
      <c r="L1869" s="281"/>
      <c r="M1869" s="46"/>
      <c r="N1869" s="46"/>
      <c r="O1869" s="431"/>
      <c r="P1869" s="282">
        <f t="shared" si="58"/>
        <v>0</v>
      </c>
      <c r="Q1869" s="282">
        <f t="shared" si="59"/>
        <v>0</v>
      </c>
    </row>
    <row r="1870" spans="1:17" x14ac:dyDescent="0.35">
      <c r="A1870" s="84" t="s">
        <v>809</v>
      </c>
      <c r="B1870" s="10" t="s">
        <v>851</v>
      </c>
      <c r="C1870" s="284"/>
      <c r="D1870" s="365"/>
      <c r="E1870" s="365"/>
      <c r="F1870" s="283" t="s">
        <v>58</v>
      </c>
      <c r="G1870" s="283"/>
      <c r="H1870" s="159" t="s">
        <v>480</v>
      </c>
      <c r="I1870" s="44" t="s">
        <v>478</v>
      </c>
      <c r="J1870" s="45"/>
      <c r="K1870" s="289"/>
      <c r="L1870" s="281"/>
      <c r="M1870" s="46"/>
      <c r="N1870" s="46"/>
      <c r="O1870" s="431"/>
      <c r="P1870" s="282">
        <f t="shared" si="58"/>
        <v>0</v>
      </c>
      <c r="Q1870" s="282">
        <f t="shared" si="59"/>
        <v>0</v>
      </c>
    </row>
    <row r="1871" spans="1:17" x14ac:dyDescent="0.35">
      <c r="A1871" s="84" t="s">
        <v>809</v>
      </c>
      <c r="B1871" s="10" t="s">
        <v>851</v>
      </c>
      <c r="C1871" s="284"/>
      <c r="D1871" s="365"/>
      <c r="E1871" s="365"/>
      <c r="F1871" s="283" t="s">
        <v>87</v>
      </c>
      <c r="G1871" s="283"/>
      <c r="H1871" s="159" t="s">
        <v>481</v>
      </c>
      <c r="I1871" s="44" t="s">
        <v>478</v>
      </c>
      <c r="J1871" s="45"/>
      <c r="K1871" s="289"/>
      <c r="L1871" s="281"/>
      <c r="M1871" s="46"/>
      <c r="N1871" s="46"/>
      <c r="O1871" s="431"/>
      <c r="P1871" s="282">
        <f t="shared" si="58"/>
        <v>0</v>
      </c>
      <c r="Q1871" s="282">
        <f t="shared" si="59"/>
        <v>0</v>
      </c>
    </row>
    <row r="1872" spans="1:17" ht="13" x14ac:dyDescent="0.35">
      <c r="A1872" s="84" t="s">
        <v>809</v>
      </c>
      <c r="B1872" s="10" t="s">
        <v>851</v>
      </c>
      <c r="C1872" s="284"/>
      <c r="D1872" s="365"/>
      <c r="E1872" s="365"/>
      <c r="F1872" s="283"/>
      <c r="G1872" s="283"/>
      <c r="H1872" s="156" t="s">
        <v>482</v>
      </c>
      <c r="I1872" s="44"/>
      <c r="J1872" s="45"/>
      <c r="K1872" s="289"/>
      <c r="L1872" s="281"/>
      <c r="M1872" s="46"/>
      <c r="N1872" s="46"/>
      <c r="O1872" s="431"/>
      <c r="P1872" s="282">
        <f t="shared" si="58"/>
        <v>0</v>
      </c>
      <c r="Q1872" s="282">
        <f t="shared" si="59"/>
        <v>0</v>
      </c>
    </row>
    <row r="1873" spans="1:17" x14ac:dyDescent="0.35">
      <c r="A1873" s="84" t="s">
        <v>809</v>
      </c>
      <c r="B1873" s="10" t="s">
        <v>851</v>
      </c>
      <c r="C1873" s="284"/>
      <c r="D1873" s="365"/>
      <c r="E1873" s="365"/>
      <c r="F1873" s="283" t="s">
        <v>90</v>
      </c>
      <c r="G1873" s="283"/>
      <c r="H1873" s="159" t="s">
        <v>483</v>
      </c>
      <c r="I1873" s="44" t="s">
        <v>186</v>
      </c>
      <c r="J1873" s="45">
        <v>360</v>
      </c>
      <c r="K1873" s="289">
        <v>4.2</v>
      </c>
      <c r="L1873" s="281">
        <f>J1873*K1873</f>
        <v>1512</v>
      </c>
      <c r="M1873" s="46">
        <v>360</v>
      </c>
      <c r="N1873" s="46">
        <v>360</v>
      </c>
      <c r="O1873" s="431">
        <v>4.2</v>
      </c>
      <c r="P1873" s="282">
        <f t="shared" si="58"/>
        <v>1512</v>
      </c>
      <c r="Q1873" s="282">
        <f t="shared" si="59"/>
        <v>1512</v>
      </c>
    </row>
    <row r="1874" spans="1:17" x14ac:dyDescent="0.35">
      <c r="A1874" s="84" t="s">
        <v>809</v>
      </c>
      <c r="B1874" s="10" t="s">
        <v>851</v>
      </c>
      <c r="C1874" s="284"/>
      <c r="D1874" s="365"/>
      <c r="E1874" s="365"/>
      <c r="F1874" s="283" t="s">
        <v>187</v>
      </c>
      <c r="G1874" s="283"/>
      <c r="H1874" s="159" t="s">
        <v>485</v>
      </c>
      <c r="I1874" s="44" t="s">
        <v>456</v>
      </c>
      <c r="J1874" s="45"/>
      <c r="K1874" s="289"/>
      <c r="L1874" s="281">
        <v>0</v>
      </c>
      <c r="M1874" s="46"/>
      <c r="N1874" s="46"/>
      <c r="O1874" s="431"/>
      <c r="P1874" s="282">
        <f t="shared" si="58"/>
        <v>0</v>
      </c>
      <c r="Q1874" s="282">
        <f t="shared" si="59"/>
        <v>0</v>
      </c>
    </row>
    <row r="1875" spans="1:17" ht="13" x14ac:dyDescent="0.35">
      <c r="A1875" s="84" t="s">
        <v>809</v>
      </c>
      <c r="B1875" s="10" t="s">
        <v>851</v>
      </c>
      <c r="C1875" s="284"/>
      <c r="D1875" s="365"/>
      <c r="E1875" s="365"/>
      <c r="F1875" s="283"/>
      <c r="G1875" s="283"/>
      <c r="H1875" s="156" t="s">
        <v>486</v>
      </c>
      <c r="I1875" s="44"/>
      <c r="J1875" s="45"/>
      <c r="K1875" s="289"/>
      <c r="L1875" s="281"/>
      <c r="M1875" s="46"/>
      <c r="N1875" s="46"/>
      <c r="O1875" s="431"/>
      <c r="P1875" s="282">
        <f t="shared" si="58"/>
        <v>0</v>
      </c>
      <c r="Q1875" s="282">
        <f t="shared" si="59"/>
        <v>0</v>
      </c>
    </row>
    <row r="1876" spans="1:17" x14ac:dyDescent="0.35">
      <c r="A1876" s="84" t="s">
        <v>809</v>
      </c>
      <c r="B1876" s="10" t="s">
        <v>851</v>
      </c>
      <c r="C1876" s="284"/>
      <c r="D1876" s="365"/>
      <c r="E1876" s="365"/>
      <c r="F1876" s="283" t="s">
        <v>484</v>
      </c>
      <c r="G1876" s="283"/>
      <c r="H1876" s="159" t="s">
        <v>488</v>
      </c>
      <c r="I1876" s="44" t="s">
        <v>186</v>
      </c>
      <c r="J1876" s="45"/>
      <c r="K1876" s="350"/>
      <c r="L1876" s="281">
        <v>0</v>
      </c>
      <c r="M1876" s="46"/>
      <c r="N1876" s="46"/>
      <c r="O1876" s="443"/>
      <c r="P1876" s="282">
        <f t="shared" si="58"/>
        <v>0</v>
      </c>
      <c r="Q1876" s="282">
        <f t="shared" si="59"/>
        <v>0</v>
      </c>
    </row>
    <row r="1877" spans="1:17" x14ac:dyDescent="0.35">
      <c r="A1877" s="84" t="s">
        <v>809</v>
      </c>
      <c r="B1877" s="10" t="s">
        <v>851</v>
      </c>
      <c r="C1877" s="284"/>
      <c r="D1877" s="365"/>
      <c r="E1877" s="365"/>
      <c r="F1877" s="283" t="s">
        <v>487</v>
      </c>
      <c r="G1877" s="283"/>
      <c r="H1877" s="159" t="s">
        <v>490</v>
      </c>
      <c r="I1877" s="44" t="s">
        <v>186</v>
      </c>
      <c r="J1877" s="45">
        <v>60</v>
      </c>
      <c r="K1877" s="289">
        <v>50</v>
      </c>
      <c r="L1877" s="281">
        <f>J1877*K1877</f>
        <v>3000</v>
      </c>
      <c r="M1877" s="46">
        <v>60</v>
      </c>
      <c r="N1877" s="46">
        <v>60</v>
      </c>
      <c r="O1877" s="431">
        <v>50</v>
      </c>
      <c r="P1877" s="282">
        <f t="shared" si="58"/>
        <v>3000</v>
      </c>
      <c r="Q1877" s="282">
        <f t="shared" si="59"/>
        <v>3000</v>
      </c>
    </row>
    <row r="1878" spans="1:17" x14ac:dyDescent="0.35">
      <c r="A1878" s="84" t="s">
        <v>809</v>
      </c>
      <c r="B1878" s="10" t="s">
        <v>851</v>
      </c>
      <c r="C1878" s="284"/>
      <c r="D1878" s="365"/>
      <c r="E1878" s="365"/>
      <c r="F1878" s="283" t="s">
        <v>489</v>
      </c>
      <c r="G1878" s="283"/>
      <c r="H1878" s="159" t="s">
        <v>492</v>
      </c>
      <c r="I1878" s="44" t="s">
        <v>186</v>
      </c>
      <c r="J1878" s="45">
        <v>60</v>
      </c>
      <c r="K1878" s="289">
        <v>25</v>
      </c>
      <c r="L1878" s="281">
        <f>J1878*K1878</f>
        <v>1500</v>
      </c>
      <c r="M1878" s="46">
        <v>60</v>
      </c>
      <c r="N1878" s="46">
        <v>60</v>
      </c>
      <c r="O1878" s="431">
        <v>25</v>
      </c>
      <c r="P1878" s="282">
        <f t="shared" si="58"/>
        <v>1500</v>
      </c>
      <c r="Q1878" s="282">
        <f t="shared" si="59"/>
        <v>1500</v>
      </c>
    </row>
    <row r="1879" spans="1:17" ht="13" x14ac:dyDescent="0.35">
      <c r="A1879" s="84" t="s">
        <v>809</v>
      </c>
      <c r="B1879" s="10" t="s">
        <v>851</v>
      </c>
      <c r="C1879" s="284"/>
      <c r="D1879" s="365"/>
      <c r="E1879" s="365"/>
      <c r="F1879" s="283"/>
      <c r="G1879" s="283"/>
      <c r="H1879" s="156" t="s">
        <v>493</v>
      </c>
      <c r="I1879" s="44"/>
      <c r="J1879" s="45"/>
      <c r="K1879" s="289"/>
      <c r="L1879" s="281"/>
      <c r="M1879" s="46"/>
      <c r="N1879" s="46"/>
      <c r="O1879" s="431"/>
      <c r="P1879" s="282">
        <f t="shared" si="58"/>
        <v>0</v>
      </c>
      <c r="Q1879" s="282">
        <f t="shared" si="59"/>
        <v>0</v>
      </c>
    </row>
    <row r="1880" spans="1:17" x14ac:dyDescent="0.35">
      <c r="A1880" s="84" t="s">
        <v>809</v>
      </c>
      <c r="B1880" s="10" t="s">
        <v>851</v>
      </c>
      <c r="C1880" s="284"/>
      <c r="D1880" s="365"/>
      <c r="E1880" s="365"/>
      <c r="F1880" s="283" t="s">
        <v>491</v>
      </c>
      <c r="G1880" s="283"/>
      <c r="H1880" s="159" t="s">
        <v>495</v>
      </c>
      <c r="I1880" s="44" t="s">
        <v>186</v>
      </c>
      <c r="J1880" s="45">
        <v>120</v>
      </c>
      <c r="K1880" s="289">
        <v>4.2</v>
      </c>
      <c r="L1880" s="281">
        <f>J1880*K1880</f>
        <v>504</v>
      </c>
      <c r="M1880" s="46">
        <v>120</v>
      </c>
      <c r="N1880" s="46">
        <v>120</v>
      </c>
      <c r="O1880" s="431">
        <v>4.2</v>
      </c>
      <c r="P1880" s="282">
        <f t="shared" si="58"/>
        <v>504</v>
      </c>
      <c r="Q1880" s="282">
        <f t="shared" si="59"/>
        <v>504</v>
      </c>
    </row>
    <row r="1881" spans="1:17" ht="26" x14ac:dyDescent="0.35">
      <c r="A1881" s="84" t="s">
        <v>809</v>
      </c>
      <c r="B1881" s="10" t="s">
        <v>851</v>
      </c>
      <c r="C1881" s="284"/>
      <c r="D1881" s="365"/>
      <c r="E1881" s="365"/>
      <c r="F1881" s="283"/>
      <c r="G1881" s="283"/>
      <c r="H1881" s="156" t="s">
        <v>496</v>
      </c>
      <c r="I1881" s="44"/>
      <c r="J1881" s="45"/>
      <c r="K1881" s="289"/>
      <c r="L1881" s="281"/>
      <c r="M1881" s="46"/>
      <c r="N1881" s="46"/>
      <c r="O1881" s="431"/>
      <c r="P1881" s="282">
        <f t="shared" si="58"/>
        <v>0</v>
      </c>
      <c r="Q1881" s="282">
        <f t="shared" si="59"/>
        <v>0</v>
      </c>
    </row>
    <row r="1882" spans="1:17" x14ac:dyDescent="0.35">
      <c r="A1882" s="84" t="s">
        <v>809</v>
      </c>
      <c r="B1882" s="10" t="s">
        <v>851</v>
      </c>
      <c r="C1882" s="284"/>
      <c r="D1882" s="365"/>
      <c r="E1882" s="365"/>
      <c r="F1882" s="283"/>
      <c r="G1882" s="283"/>
      <c r="H1882" s="159" t="s">
        <v>497</v>
      </c>
      <c r="I1882" s="44"/>
      <c r="J1882" s="45"/>
      <c r="K1882" s="289"/>
      <c r="L1882" s="281"/>
      <c r="M1882" s="46"/>
      <c r="N1882" s="46"/>
      <c r="O1882" s="431"/>
      <c r="P1882" s="282">
        <f t="shared" si="58"/>
        <v>0</v>
      </c>
      <c r="Q1882" s="282">
        <f t="shared" si="59"/>
        <v>0</v>
      </c>
    </row>
    <row r="1883" spans="1:17" x14ac:dyDescent="0.35">
      <c r="A1883" s="84" t="s">
        <v>809</v>
      </c>
      <c r="B1883" s="10" t="s">
        <v>851</v>
      </c>
      <c r="C1883" s="284"/>
      <c r="D1883" s="365"/>
      <c r="E1883" s="365"/>
      <c r="F1883" s="283"/>
      <c r="G1883" s="283"/>
      <c r="H1883" s="159" t="s">
        <v>498</v>
      </c>
      <c r="I1883" s="44"/>
      <c r="J1883" s="45"/>
      <c r="K1883" s="289"/>
      <c r="L1883" s="281"/>
      <c r="M1883" s="46"/>
      <c r="N1883" s="46"/>
      <c r="O1883" s="431"/>
      <c r="P1883" s="282">
        <f t="shared" si="58"/>
        <v>0</v>
      </c>
      <c r="Q1883" s="282">
        <f t="shared" si="59"/>
        <v>0</v>
      </c>
    </row>
    <row r="1884" spans="1:17" ht="13" x14ac:dyDescent="0.35">
      <c r="A1884" s="84" t="s">
        <v>809</v>
      </c>
      <c r="B1884" s="10" t="s">
        <v>851</v>
      </c>
      <c r="C1884" s="284"/>
      <c r="D1884" s="365"/>
      <c r="E1884" s="365"/>
      <c r="F1884" s="283"/>
      <c r="G1884" s="283"/>
      <c r="H1884" s="156" t="s">
        <v>499</v>
      </c>
      <c r="I1884" s="44"/>
      <c r="J1884" s="45"/>
      <c r="K1884" s="289"/>
      <c r="L1884" s="281"/>
      <c r="M1884" s="46"/>
      <c r="N1884" s="46"/>
      <c r="O1884" s="431"/>
      <c r="P1884" s="282">
        <f t="shared" si="58"/>
        <v>0</v>
      </c>
      <c r="Q1884" s="282">
        <f t="shared" si="59"/>
        <v>0</v>
      </c>
    </row>
    <row r="1885" spans="1:17" ht="62.5" x14ac:dyDescent="0.35">
      <c r="A1885" s="84" t="s">
        <v>809</v>
      </c>
      <c r="B1885" s="10" t="s">
        <v>851</v>
      </c>
      <c r="C1885" s="284"/>
      <c r="D1885" s="365"/>
      <c r="E1885" s="365"/>
      <c r="F1885" s="283"/>
      <c r="G1885" s="283"/>
      <c r="H1885" s="159" t="s">
        <v>500</v>
      </c>
      <c r="I1885" s="44"/>
      <c r="J1885" s="45"/>
      <c r="K1885" s="289"/>
      <c r="L1885" s="281"/>
      <c r="M1885" s="46"/>
      <c r="N1885" s="46"/>
      <c r="O1885" s="431"/>
      <c r="P1885" s="282">
        <f t="shared" si="58"/>
        <v>0</v>
      </c>
      <c r="Q1885" s="282">
        <f t="shared" si="59"/>
        <v>0</v>
      </c>
    </row>
    <row r="1886" spans="1:17" x14ac:dyDescent="0.35">
      <c r="A1886" s="84" t="s">
        <v>809</v>
      </c>
      <c r="B1886" s="10" t="s">
        <v>851</v>
      </c>
      <c r="C1886" s="284"/>
      <c r="D1886" s="365"/>
      <c r="E1886" s="365"/>
      <c r="F1886" s="283" t="s">
        <v>494</v>
      </c>
      <c r="G1886" s="283"/>
      <c r="H1886" s="159" t="s">
        <v>502</v>
      </c>
      <c r="I1886" s="44" t="s">
        <v>186</v>
      </c>
      <c r="J1886" s="45">
        <v>1800</v>
      </c>
      <c r="K1886" s="289">
        <v>20</v>
      </c>
      <c r="L1886" s="281">
        <f>J1886*K1886</f>
        <v>36000</v>
      </c>
      <c r="M1886" s="46">
        <v>1800</v>
      </c>
      <c r="N1886" s="46">
        <v>1800</v>
      </c>
      <c r="O1886" s="431">
        <v>20</v>
      </c>
      <c r="P1886" s="282">
        <f t="shared" si="58"/>
        <v>36000</v>
      </c>
      <c r="Q1886" s="282">
        <f t="shared" si="59"/>
        <v>36000</v>
      </c>
    </row>
    <row r="1887" spans="1:17" x14ac:dyDescent="0.35">
      <c r="A1887" s="84" t="s">
        <v>809</v>
      </c>
      <c r="B1887" s="10" t="s">
        <v>851</v>
      </c>
      <c r="C1887" s="284"/>
      <c r="D1887" s="365"/>
      <c r="E1887" s="365"/>
      <c r="F1887" s="283" t="s">
        <v>501</v>
      </c>
      <c r="G1887" s="283"/>
      <c r="H1887" s="159" t="s">
        <v>504</v>
      </c>
      <c r="I1887" s="44" t="s">
        <v>186</v>
      </c>
      <c r="J1887" s="45">
        <v>600</v>
      </c>
      <c r="K1887" s="289">
        <v>21</v>
      </c>
      <c r="L1887" s="281">
        <f>J1887*K1887</f>
        <v>12600</v>
      </c>
      <c r="M1887" s="46">
        <v>600</v>
      </c>
      <c r="N1887" s="46">
        <v>600</v>
      </c>
      <c r="O1887" s="431">
        <v>21</v>
      </c>
      <c r="P1887" s="282">
        <f t="shared" si="58"/>
        <v>12600</v>
      </c>
      <c r="Q1887" s="282">
        <f t="shared" si="59"/>
        <v>12600</v>
      </c>
    </row>
    <row r="1888" spans="1:17" ht="37.5" x14ac:dyDescent="0.35">
      <c r="A1888" s="84" t="s">
        <v>809</v>
      </c>
      <c r="B1888" s="10" t="s">
        <v>851</v>
      </c>
      <c r="C1888" s="284"/>
      <c r="D1888" s="365"/>
      <c r="E1888" s="365"/>
      <c r="F1888" s="283"/>
      <c r="G1888" s="283"/>
      <c r="H1888" s="159" t="s">
        <v>505</v>
      </c>
      <c r="I1888" s="44"/>
      <c r="J1888" s="45"/>
      <c r="K1888" s="289"/>
      <c r="L1888" s="281"/>
      <c r="M1888" s="46"/>
      <c r="N1888" s="46"/>
      <c r="O1888" s="431"/>
      <c r="P1888" s="282">
        <f t="shared" si="58"/>
        <v>0</v>
      </c>
      <c r="Q1888" s="282">
        <f t="shared" si="59"/>
        <v>0</v>
      </c>
    </row>
    <row r="1889" spans="1:17" x14ac:dyDescent="0.35">
      <c r="A1889" s="84" t="s">
        <v>809</v>
      </c>
      <c r="B1889" s="10" t="s">
        <v>851</v>
      </c>
      <c r="C1889" s="284"/>
      <c r="D1889" s="365"/>
      <c r="E1889" s="365"/>
      <c r="F1889" s="283" t="s">
        <v>503</v>
      </c>
      <c r="G1889" s="283"/>
      <c r="H1889" s="159" t="s">
        <v>507</v>
      </c>
      <c r="I1889" s="44" t="s">
        <v>456</v>
      </c>
      <c r="J1889" s="45">
        <v>24</v>
      </c>
      <c r="K1889" s="289">
        <v>24</v>
      </c>
      <c r="L1889" s="281">
        <f>J1889*K1889</f>
        <v>576</v>
      </c>
      <c r="M1889" s="46">
        <v>24</v>
      </c>
      <c r="N1889" s="46">
        <v>24</v>
      </c>
      <c r="O1889" s="431">
        <v>24</v>
      </c>
      <c r="P1889" s="282">
        <f t="shared" si="58"/>
        <v>576</v>
      </c>
      <c r="Q1889" s="282">
        <f t="shared" si="59"/>
        <v>576</v>
      </c>
    </row>
    <row r="1890" spans="1:17" ht="25" x14ac:dyDescent="0.25">
      <c r="A1890" s="84" t="s">
        <v>809</v>
      </c>
      <c r="B1890" s="10" t="s">
        <v>851</v>
      </c>
      <c r="C1890" s="284"/>
      <c r="D1890" s="365"/>
      <c r="E1890" s="365"/>
      <c r="F1890" s="283"/>
      <c r="G1890" s="283"/>
      <c r="H1890" s="352" t="s">
        <v>508</v>
      </c>
      <c r="I1890" s="44"/>
      <c r="J1890" s="45"/>
      <c r="K1890" s="289"/>
      <c r="L1890" s="281"/>
      <c r="M1890" s="46"/>
      <c r="N1890" s="46"/>
      <c r="O1890" s="431"/>
      <c r="P1890" s="282">
        <f t="shared" si="58"/>
        <v>0</v>
      </c>
      <c r="Q1890" s="282">
        <f t="shared" si="59"/>
        <v>0</v>
      </c>
    </row>
    <row r="1891" spans="1:17" ht="25" x14ac:dyDescent="0.25">
      <c r="A1891" s="84" t="s">
        <v>809</v>
      </c>
      <c r="B1891" s="10" t="s">
        <v>851</v>
      </c>
      <c r="C1891" s="284"/>
      <c r="D1891" s="365"/>
      <c r="E1891" s="365"/>
      <c r="F1891" s="283"/>
      <c r="G1891" s="283"/>
      <c r="H1891" s="352" t="s">
        <v>509</v>
      </c>
      <c r="I1891" s="44"/>
      <c r="J1891" s="45"/>
      <c r="K1891" s="289"/>
      <c r="L1891" s="281"/>
      <c r="M1891" s="46"/>
      <c r="N1891" s="46"/>
      <c r="O1891" s="431"/>
      <c r="P1891" s="282">
        <f t="shared" si="58"/>
        <v>0</v>
      </c>
      <c r="Q1891" s="282">
        <f t="shared" si="59"/>
        <v>0</v>
      </c>
    </row>
    <row r="1892" spans="1:17" x14ac:dyDescent="0.35">
      <c r="A1892" s="84" t="s">
        <v>809</v>
      </c>
      <c r="B1892" s="10" t="s">
        <v>851</v>
      </c>
      <c r="C1892" s="284"/>
      <c r="D1892" s="365"/>
      <c r="E1892" s="365"/>
      <c r="F1892" s="283" t="s">
        <v>506</v>
      </c>
      <c r="G1892" s="283"/>
      <c r="H1892" s="159" t="s">
        <v>511</v>
      </c>
      <c r="I1892" s="44" t="s">
        <v>456</v>
      </c>
      <c r="J1892" s="45">
        <v>30</v>
      </c>
      <c r="K1892" s="289">
        <v>18</v>
      </c>
      <c r="L1892" s="281">
        <f>J1892*K1892</f>
        <v>540</v>
      </c>
      <c r="M1892" s="46">
        <v>30</v>
      </c>
      <c r="N1892" s="46">
        <v>30</v>
      </c>
      <c r="O1892" s="431">
        <v>18</v>
      </c>
      <c r="P1892" s="282">
        <f t="shared" si="58"/>
        <v>540</v>
      </c>
      <c r="Q1892" s="282">
        <f t="shared" si="59"/>
        <v>540</v>
      </c>
    </row>
    <row r="1893" spans="1:17" x14ac:dyDescent="0.35">
      <c r="A1893" s="84" t="s">
        <v>809</v>
      </c>
      <c r="B1893" s="10" t="s">
        <v>851</v>
      </c>
      <c r="C1893" s="284"/>
      <c r="D1893" s="365"/>
      <c r="E1893" s="365"/>
      <c r="F1893" s="283" t="s">
        <v>510</v>
      </c>
      <c r="G1893" s="283"/>
      <c r="H1893" s="159" t="s">
        <v>513</v>
      </c>
      <c r="I1893" s="44" t="s">
        <v>456</v>
      </c>
      <c r="J1893" s="45">
        <v>54</v>
      </c>
      <c r="K1893" s="289">
        <v>20</v>
      </c>
      <c r="L1893" s="281">
        <f>J1893*K1893</f>
        <v>1080</v>
      </c>
      <c r="M1893" s="46">
        <v>54</v>
      </c>
      <c r="N1893" s="46">
        <v>54</v>
      </c>
      <c r="O1893" s="431">
        <v>20</v>
      </c>
      <c r="P1893" s="282">
        <f t="shared" si="58"/>
        <v>1080</v>
      </c>
      <c r="Q1893" s="282">
        <f t="shared" si="59"/>
        <v>1080</v>
      </c>
    </row>
    <row r="1894" spans="1:17" ht="13" x14ac:dyDescent="0.35">
      <c r="A1894" s="84" t="s">
        <v>809</v>
      </c>
      <c r="B1894" s="10" t="s">
        <v>851</v>
      </c>
      <c r="C1894" s="284"/>
      <c r="D1894" s="365"/>
      <c r="E1894" s="365"/>
      <c r="F1894" s="283"/>
      <c r="G1894" s="283"/>
      <c r="H1894" s="157" t="s">
        <v>514</v>
      </c>
      <c r="I1894" s="44"/>
      <c r="J1894" s="45"/>
      <c r="K1894" s="289"/>
      <c r="L1894" s="281"/>
      <c r="M1894" s="46"/>
      <c r="N1894" s="46"/>
      <c r="O1894" s="431"/>
      <c r="P1894" s="282">
        <f t="shared" si="58"/>
        <v>0</v>
      </c>
      <c r="Q1894" s="282">
        <f t="shared" si="59"/>
        <v>0</v>
      </c>
    </row>
    <row r="1895" spans="1:17" x14ac:dyDescent="0.35">
      <c r="A1895" s="84" t="s">
        <v>809</v>
      </c>
      <c r="B1895" s="10" t="s">
        <v>851</v>
      </c>
      <c r="C1895" s="284"/>
      <c r="D1895" s="365"/>
      <c r="E1895" s="365"/>
      <c r="F1895" s="283" t="s">
        <v>512</v>
      </c>
      <c r="G1895" s="283"/>
      <c r="H1895" s="159" t="s">
        <v>516</v>
      </c>
      <c r="I1895" s="44" t="s">
        <v>456</v>
      </c>
      <c r="J1895" s="45">
        <v>18</v>
      </c>
      <c r="K1895" s="289">
        <v>24</v>
      </c>
      <c r="L1895" s="281">
        <f>J1895*K1895</f>
        <v>432</v>
      </c>
      <c r="M1895" s="46">
        <v>18</v>
      </c>
      <c r="N1895" s="46">
        <v>18</v>
      </c>
      <c r="O1895" s="431">
        <v>24</v>
      </c>
      <c r="P1895" s="282">
        <f t="shared" si="58"/>
        <v>432</v>
      </c>
      <c r="Q1895" s="282">
        <f t="shared" si="59"/>
        <v>432</v>
      </c>
    </row>
    <row r="1896" spans="1:17" ht="13" x14ac:dyDescent="0.35">
      <c r="A1896" s="84" t="s">
        <v>809</v>
      </c>
      <c r="B1896" s="10" t="s">
        <v>851</v>
      </c>
      <c r="C1896" s="284"/>
      <c r="D1896" s="365"/>
      <c r="E1896" s="365"/>
      <c r="F1896" s="283"/>
      <c r="G1896" s="283"/>
      <c r="H1896" s="157" t="s">
        <v>517</v>
      </c>
      <c r="I1896" s="44"/>
      <c r="J1896" s="45"/>
      <c r="K1896" s="289"/>
      <c r="L1896" s="281"/>
      <c r="M1896" s="46"/>
      <c r="N1896" s="46"/>
      <c r="O1896" s="431"/>
      <c r="P1896" s="282">
        <f t="shared" si="58"/>
        <v>0</v>
      </c>
      <c r="Q1896" s="282">
        <f t="shared" si="59"/>
        <v>0</v>
      </c>
    </row>
    <row r="1897" spans="1:17" x14ac:dyDescent="0.35">
      <c r="A1897" s="84" t="s">
        <v>809</v>
      </c>
      <c r="B1897" s="10" t="s">
        <v>851</v>
      </c>
      <c r="C1897" s="284"/>
      <c r="D1897" s="365"/>
      <c r="E1897" s="365"/>
      <c r="F1897" s="283"/>
      <c r="G1897" s="283"/>
      <c r="H1897" s="159" t="s">
        <v>518</v>
      </c>
      <c r="I1897" s="44"/>
      <c r="J1897" s="45"/>
      <c r="K1897" s="289"/>
      <c r="L1897" s="281"/>
      <c r="M1897" s="46"/>
      <c r="N1897" s="46"/>
      <c r="O1897" s="431"/>
      <c r="P1897" s="282">
        <f t="shared" si="58"/>
        <v>0</v>
      </c>
      <c r="Q1897" s="282">
        <f t="shared" si="59"/>
        <v>0</v>
      </c>
    </row>
    <row r="1898" spans="1:17" x14ac:dyDescent="0.35">
      <c r="A1898" s="84" t="s">
        <v>809</v>
      </c>
      <c r="B1898" s="10" t="s">
        <v>851</v>
      </c>
      <c r="C1898" s="284"/>
      <c r="D1898" s="365"/>
      <c r="E1898" s="365"/>
      <c r="F1898" s="283"/>
      <c r="G1898" s="283"/>
      <c r="H1898" s="159" t="s">
        <v>519</v>
      </c>
      <c r="I1898" s="44"/>
      <c r="J1898" s="45"/>
      <c r="K1898" s="289"/>
      <c r="L1898" s="281"/>
      <c r="M1898" s="46"/>
      <c r="N1898" s="46"/>
      <c r="O1898" s="431"/>
      <c r="P1898" s="282">
        <f t="shared" si="58"/>
        <v>0</v>
      </c>
      <c r="Q1898" s="282">
        <f t="shared" si="59"/>
        <v>0</v>
      </c>
    </row>
    <row r="1899" spans="1:17" x14ac:dyDescent="0.35">
      <c r="A1899" s="84" t="s">
        <v>809</v>
      </c>
      <c r="B1899" s="10" t="s">
        <v>851</v>
      </c>
      <c r="C1899" s="284"/>
      <c r="D1899" s="365"/>
      <c r="E1899" s="365"/>
      <c r="F1899" s="283" t="s">
        <v>515</v>
      </c>
      <c r="G1899" s="283"/>
      <c r="H1899" s="159" t="s">
        <v>521</v>
      </c>
      <c r="I1899" s="44" t="s">
        <v>186</v>
      </c>
      <c r="J1899" s="45">
        <v>2700</v>
      </c>
      <c r="K1899" s="289">
        <v>10</v>
      </c>
      <c r="L1899" s="281">
        <f>J1899*K1899</f>
        <v>27000</v>
      </c>
      <c r="M1899" s="46">
        <v>2700</v>
      </c>
      <c r="N1899" s="46">
        <v>2700</v>
      </c>
      <c r="O1899" s="431">
        <v>10</v>
      </c>
      <c r="P1899" s="282">
        <f t="shared" si="58"/>
        <v>27000</v>
      </c>
      <c r="Q1899" s="282">
        <f t="shared" si="59"/>
        <v>27000</v>
      </c>
    </row>
    <row r="1900" spans="1:17" x14ac:dyDescent="0.35">
      <c r="A1900" s="84" t="s">
        <v>809</v>
      </c>
      <c r="B1900" s="10" t="s">
        <v>851</v>
      </c>
      <c r="C1900" s="284"/>
      <c r="D1900" s="365"/>
      <c r="E1900" s="365"/>
      <c r="F1900" s="283" t="s">
        <v>520</v>
      </c>
      <c r="G1900" s="283"/>
      <c r="H1900" s="159" t="s">
        <v>523</v>
      </c>
      <c r="I1900" s="44" t="s">
        <v>186</v>
      </c>
      <c r="J1900" s="45">
        <v>900</v>
      </c>
      <c r="K1900" s="289">
        <v>12</v>
      </c>
      <c r="L1900" s="281">
        <f>J1900*K1900</f>
        <v>10800</v>
      </c>
      <c r="M1900" s="46">
        <v>900</v>
      </c>
      <c r="N1900" s="46">
        <v>900</v>
      </c>
      <c r="O1900" s="431">
        <v>12</v>
      </c>
      <c r="P1900" s="282">
        <f t="shared" si="58"/>
        <v>10800</v>
      </c>
      <c r="Q1900" s="282">
        <f t="shared" si="59"/>
        <v>10800</v>
      </c>
    </row>
    <row r="1901" spans="1:17" x14ac:dyDescent="0.35">
      <c r="A1901" s="84" t="s">
        <v>809</v>
      </c>
      <c r="B1901" s="10" t="s">
        <v>851</v>
      </c>
      <c r="C1901" s="284"/>
      <c r="D1901" s="365"/>
      <c r="E1901" s="365"/>
      <c r="F1901" s="283" t="s">
        <v>522</v>
      </c>
      <c r="G1901" s="283"/>
      <c r="H1901" s="159" t="s">
        <v>525</v>
      </c>
      <c r="I1901" s="44" t="s">
        <v>186</v>
      </c>
      <c r="J1901" s="45">
        <v>60</v>
      </c>
      <c r="K1901" s="289">
        <v>21.5</v>
      </c>
      <c r="L1901" s="281">
        <f>J1901*K1901</f>
        <v>1290</v>
      </c>
      <c r="M1901" s="46">
        <v>60</v>
      </c>
      <c r="N1901" s="46">
        <v>60</v>
      </c>
      <c r="O1901" s="431">
        <v>21.5</v>
      </c>
      <c r="P1901" s="282">
        <f t="shared" si="58"/>
        <v>1290</v>
      </c>
      <c r="Q1901" s="282">
        <f t="shared" si="59"/>
        <v>1290</v>
      </c>
    </row>
    <row r="1902" spans="1:17" x14ac:dyDescent="0.35">
      <c r="A1902" s="84" t="s">
        <v>809</v>
      </c>
      <c r="B1902" s="10" t="s">
        <v>851</v>
      </c>
      <c r="C1902" s="284"/>
      <c r="D1902" s="365"/>
      <c r="E1902" s="365"/>
      <c r="F1902" s="283"/>
      <c r="G1902" s="283"/>
      <c r="H1902" s="159" t="s">
        <v>526</v>
      </c>
      <c r="I1902" s="44"/>
      <c r="J1902" s="45" t="s">
        <v>527</v>
      </c>
      <c r="K1902" s="289"/>
      <c r="L1902" s="281"/>
      <c r="M1902" s="46" t="s">
        <v>527</v>
      </c>
      <c r="N1902" s="46" t="s">
        <v>527</v>
      </c>
      <c r="O1902" s="431"/>
      <c r="P1902" s="282" t="e">
        <f t="shared" si="58"/>
        <v>#VALUE!</v>
      </c>
      <c r="Q1902" s="282" t="e">
        <f t="shared" si="59"/>
        <v>#VALUE!</v>
      </c>
    </row>
    <row r="1903" spans="1:17" x14ac:dyDescent="0.35">
      <c r="A1903" s="84" t="s">
        <v>809</v>
      </c>
      <c r="B1903" s="10" t="s">
        <v>851</v>
      </c>
      <c r="C1903" s="284"/>
      <c r="D1903" s="365"/>
      <c r="E1903" s="365"/>
      <c r="F1903" s="283" t="s">
        <v>524</v>
      </c>
      <c r="G1903" s="283"/>
      <c r="H1903" s="159" t="s">
        <v>521</v>
      </c>
      <c r="I1903" s="44" t="s">
        <v>186</v>
      </c>
      <c r="J1903" s="45">
        <v>3600</v>
      </c>
      <c r="K1903" s="289">
        <v>10</v>
      </c>
      <c r="L1903" s="281">
        <f>J1903*K1903</f>
        <v>36000</v>
      </c>
      <c r="M1903" s="46">
        <v>3600</v>
      </c>
      <c r="N1903" s="46">
        <v>3600</v>
      </c>
      <c r="O1903" s="431">
        <v>10</v>
      </c>
      <c r="P1903" s="282">
        <f t="shared" si="58"/>
        <v>36000</v>
      </c>
      <c r="Q1903" s="282">
        <f t="shared" si="59"/>
        <v>36000</v>
      </c>
    </row>
    <row r="1904" spans="1:17" ht="13" x14ac:dyDescent="0.35">
      <c r="A1904" s="84" t="s">
        <v>809</v>
      </c>
      <c r="B1904" s="10" t="s">
        <v>851</v>
      </c>
      <c r="C1904" s="284"/>
      <c r="D1904" s="365"/>
      <c r="E1904" s="365"/>
      <c r="F1904" s="283"/>
      <c r="G1904" s="283"/>
      <c r="H1904" s="157" t="s">
        <v>530</v>
      </c>
      <c r="I1904" s="44"/>
      <c r="J1904" s="45"/>
      <c r="K1904" s="289"/>
      <c r="L1904" s="281"/>
      <c r="M1904" s="46"/>
      <c r="N1904" s="46"/>
      <c r="O1904" s="431"/>
      <c r="P1904" s="282">
        <f t="shared" si="58"/>
        <v>0</v>
      </c>
      <c r="Q1904" s="282">
        <f t="shared" si="59"/>
        <v>0</v>
      </c>
    </row>
    <row r="1905" spans="1:17" ht="25" x14ac:dyDescent="0.35">
      <c r="A1905" s="84" t="s">
        <v>809</v>
      </c>
      <c r="B1905" s="10" t="s">
        <v>851</v>
      </c>
      <c r="C1905" s="284"/>
      <c r="D1905" s="365"/>
      <c r="E1905" s="365"/>
      <c r="F1905" s="283"/>
      <c r="G1905" s="283"/>
      <c r="H1905" s="159" t="s">
        <v>531</v>
      </c>
      <c r="I1905" s="44"/>
      <c r="J1905" s="45"/>
      <c r="K1905" s="289"/>
      <c r="L1905" s="281"/>
      <c r="M1905" s="46"/>
      <c r="N1905" s="46"/>
      <c r="O1905" s="431"/>
      <c r="P1905" s="282">
        <f t="shared" si="58"/>
        <v>0</v>
      </c>
      <c r="Q1905" s="282">
        <f t="shared" si="59"/>
        <v>0</v>
      </c>
    </row>
    <row r="1906" spans="1:17" ht="13" x14ac:dyDescent="0.35">
      <c r="A1906" s="84" t="s">
        <v>809</v>
      </c>
      <c r="B1906" s="10" t="s">
        <v>851</v>
      </c>
      <c r="C1906" s="284"/>
      <c r="D1906" s="365"/>
      <c r="E1906" s="365"/>
      <c r="F1906" s="283"/>
      <c r="G1906" s="283"/>
      <c r="H1906" s="157" t="s">
        <v>532</v>
      </c>
      <c r="I1906" s="44"/>
      <c r="J1906" s="45"/>
      <c r="K1906" s="289"/>
      <c r="L1906" s="281"/>
      <c r="M1906" s="46"/>
      <c r="N1906" s="46"/>
      <c r="O1906" s="431"/>
      <c r="P1906" s="282">
        <f t="shared" si="58"/>
        <v>0</v>
      </c>
      <c r="Q1906" s="282">
        <f t="shared" si="59"/>
        <v>0</v>
      </c>
    </row>
    <row r="1907" spans="1:17" x14ac:dyDescent="0.35">
      <c r="A1907" s="84" t="s">
        <v>809</v>
      </c>
      <c r="B1907" s="10" t="s">
        <v>851</v>
      </c>
      <c r="C1907" s="284"/>
      <c r="D1907" s="365"/>
      <c r="E1907" s="365"/>
      <c r="F1907" s="283"/>
      <c r="G1907" s="283"/>
      <c r="H1907" s="159" t="s">
        <v>533</v>
      </c>
      <c r="I1907" s="44"/>
      <c r="J1907" s="45"/>
      <c r="K1907" s="289"/>
      <c r="L1907" s="281"/>
      <c r="M1907" s="46"/>
      <c r="N1907" s="46"/>
      <c r="O1907" s="431"/>
      <c r="P1907" s="282">
        <f t="shared" si="58"/>
        <v>0</v>
      </c>
      <c r="Q1907" s="282">
        <f t="shared" si="59"/>
        <v>0</v>
      </c>
    </row>
    <row r="1908" spans="1:17" x14ac:dyDescent="0.35">
      <c r="A1908" s="84" t="s">
        <v>809</v>
      </c>
      <c r="B1908" s="10" t="s">
        <v>851</v>
      </c>
      <c r="C1908" s="284"/>
      <c r="D1908" s="365"/>
      <c r="E1908" s="365"/>
      <c r="F1908" s="283" t="s">
        <v>528</v>
      </c>
      <c r="G1908" s="283"/>
      <c r="H1908" s="159" t="s">
        <v>535</v>
      </c>
      <c r="I1908" s="44" t="s">
        <v>456</v>
      </c>
      <c r="J1908" s="45">
        <v>36</v>
      </c>
      <c r="K1908" s="289">
        <v>200</v>
      </c>
      <c r="L1908" s="281">
        <f>J1908*K1908</f>
        <v>7200</v>
      </c>
      <c r="M1908" s="46">
        <v>36</v>
      </c>
      <c r="N1908" s="46">
        <v>36</v>
      </c>
      <c r="O1908" s="431">
        <v>200</v>
      </c>
      <c r="P1908" s="282">
        <f t="shared" si="58"/>
        <v>7200</v>
      </c>
      <c r="Q1908" s="282">
        <f t="shared" si="59"/>
        <v>7200</v>
      </c>
    </row>
    <row r="1909" spans="1:17" x14ac:dyDescent="0.35">
      <c r="A1909" s="84" t="s">
        <v>809</v>
      </c>
      <c r="B1909" s="10" t="s">
        <v>851</v>
      </c>
      <c r="C1909" s="284"/>
      <c r="D1909" s="365"/>
      <c r="E1909" s="365"/>
      <c r="F1909" s="283" t="s">
        <v>534</v>
      </c>
      <c r="G1909" s="283"/>
      <c r="H1909" s="159" t="s">
        <v>537</v>
      </c>
      <c r="I1909" s="44" t="s">
        <v>456</v>
      </c>
      <c r="J1909" s="45"/>
      <c r="K1909" s="289"/>
      <c r="L1909" s="281"/>
      <c r="M1909" s="46"/>
      <c r="N1909" s="46"/>
      <c r="O1909" s="431"/>
      <c r="P1909" s="282">
        <f t="shared" si="58"/>
        <v>0</v>
      </c>
      <c r="Q1909" s="282">
        <f t="shared" si="59"/>
        <v>0</v>
      </c>
    </row>
    <row r="1910" spans="1:17" x14ac:dyDescent="0.35">
      <c r="A1910" s="84" t="s">
        <v>809</v>
      </c>
      <c r="B1910" s="10" t="s">
        <v>851</v>
      </c>
      <c r="C1910" s="284"/>
      <c r="D1910" s="365"/>
      <c r="E1910" s="365"/>
      <c r="F1910" s="283" t="s">
        <v>536</v>
      </c>
      <c r="G1910" s="283"/>
      <c r="H1910" s="159" t="s">
        <v>539</v>
      </c>
      <c r="I1910" s="44" t="s">
        <v>456</v>
      </c>
      <c r="J1910" s="45"/>
      <c r="K1910" s="289"/>
      <c r="L1910" s="281"/>
      <c r="M1910" s="46"/>
      <c r="N1910" s="46"/>
      <c r="O1910" s="431"/>
      <c r="P1910" s="282">
        <f t="shared" si="58"/>
        <v>0</v>
      </c>
      <c r="Q1910" s="282">
        <f t="shared" si="59"/>
        <v>0</v>
      </c>
    </row>
    <row r="1911" spans="1:17" x14ac:dyDescent="0.35">
      <c r="A1911" s="84" t="s">
        <v>809</v>
      </c>
      <c r="B1911" s="10" t="s">
        <v>851</v>
      </c>
      <c r="C1911" s="284"/>
      <c r="D1911" s="365"/>
      <c r="E1911" s="365"/>
      <c r="F1911" s="283" t="s">
        <v>538</v>
      </c>
      <c r="G1911" s="283"/>
      <c r="H1911" s="159" t="s">
        <v>541</v>
      </c>
      <c r="I1911" s="44" t="s">
        <v>456</v>
      </c>
      <c r="J1911" s="45"/>
      <c r="K1911" s="289"/>
      <c r="L1911" s="281"/>
      <c r="M1911" s="46"/>
      <c r="N1911" s="46"/>
      <c r="O1911" s="431"/>
      <c r="P1911" s="282">
        <f t="shared" si="58"/>
        <v>0</v>
      </c>
      <c r="Q1911" s="282">
        <f t="shared" si="59"/>
        <v>0</v>
      </c>
    </row>
    <row r="1912" spans="1:17" x14ac:dyDescent="0.35">
      <c r="A1912" s="84" t="s">
        <v>809</v>
      </c>
      <c r="B1912" s="10" t="s">
        <v>851</v>
      </c>
      <c r="C1912" s="284"/>
      <c r="D1912" s="365"/>
      <c r="E1912" s="365"/>
      <c r="F1912" s="283" t="s">
        <v>540</v>
      </c>
      <c r="G1912" s="283"/>
      <c r="H1912" s="159" t="s">
        <v>543</v>
      </c>
      <c r="I1912" s="44" t="s">
        <v>456</v>
      </c>
      <c r="J1912" s="45"/>
      <c r="K1912" s="289"/>
      <c r="L1912" s="281"/>
      <c r="M1912" s="46"/>
      <c r="N1912" s="46"/>
      <c r="O1912" s="431"/>
      <c r="P1912" s="282">
        <f t="shared" si="58"/>
        <v>0</v>
      </c>
      <c r="Q1912" s="282">
        <f t="shared" si="59"/>
        <v>0</v>
      </c>
    </row>
    <row r="1913" spans="1:17" x14ac:dyDescent="0.35">
      <c r="A1913" s="84" t="s">
        <v>809</v>
      </c>
      <c r="B1913" s="10" t="s">
        <v>851</v>
      </c>
      <c r="C1913" s="284"/>
      <c r="D1913" s="365"/>
      <c r="E1913" s="365"/>
      <c r="F1913" s="283" t="s">
        <v>542</v>
      </c>
      <c r="G1913" s="283"/>
      <c r="H1913" s="159" t="s">
        <v>545</v>
      </c>
      <c r="I1913" s="44" t="s">
        <v>456</v>
      </c>
      <c r="J1913" s="45"/>
      <c r="K1913" s="289"/>
      <c r="L1913" s="281"/>
      <c r="M1913" s="46"/>
      <c r="N1913" s="46"/>
      <c r="O1913" s="431"/>
      <c r="P1913" s="282">
        <f t="shared" si="58"/>
        <v>0</v>
      </c>
      <c r="Q1913" s="282">
        <f t="shared" si="59"/>
        <v>0</v>
      </c>
    </row>
    <row r="1914" spans="1:17" x14ac:dyDescent="0.35">
      <c r="A1914" s="84" t="s">
        <v>809</v>
      </c>
      <c r="B1914" s="10" t="s">
        <v>851</v>
      </c>
      <c r="C1914" s="284"/>
      <c r="D1914" s="365"/>
      <c r="E1914" s="365"/>
      <c r="F1914" s="283" t="s">
        <v>544</v>
      </c>
      <c r="G1914" s="283"/>
      <c r="H1914" s="159" t="s">
        <v>547</v>
      </c>
      <c r="I1914" s="44" t="s">
        <v>456</v>
      </c>
      <c r="J1914" s="45">
        <v>6</v>
      </c>
      <c r="K1914" s="289">
        <v>395</v>
      </c>
      <c r="L1914" s="281">
        <f>J1914*K1914</f>
        <v>2370</v>
      </c>
      <c r="M1914" s="46">
        <v>6</v>
      </c>
      <c r="N1914" s="46">
        <v>6</v>
      </c>
      <c r="O1914" s="431">
        <v>395</v>
      </c>
      <c r="P1914" s="282">
        <f t="shared" si="58"/>
        <v>2370</v>
      </c>
      <c r="Q1914" s="282">
        <f t="shared" si="59"/>
        <v>2370</v>
      </c>
    </row>
    <row r="1915" spans="1:17" ht="13" x14ac:dyDescent="0.35">
      <c r="A1915" s="84" t="s">
        <v>809</v>
      </c>
      <c r="B1915" s="10" t="s">
        <v>851</v>
      </c>
      <c r="C1915" s="284"/>
      <c r="D1915" s="365"/>
      <c r="E1915" s="365"/>
      <c r="F1915" s="283"/>
      <c r="G1915" s="283"/>
      <c r="H1915" s="157" t="s">
        <v>548</v>
      </c>
      <c r="I1915" s="44"/>
      <c r="J1915" s="45"/>
      <c r="K1915" s="289"/>
      <c r="L1915" s="281"/>
      <c r="M1915" s="46"/>
      <c r="N1915" s="46"/>
      <c r="O1915" s="431"/>
      <c r="P1915" s="282">
        <f t="shared" si="58"/>
        <v>0</v>
      </c>
      <c r="Q1915" s="282">
        <f t="shared" si="59"/>
        <v>0</v>
      </c>
    </row>
    <row r="1916" spans="1:17" x14ac:dyDescent="0.35">
      <c r="A1916" s="84" t="s">
        <v>809</v>
      </c>
      <c r="B1916" s="10" t="s">
        <v>851</v>
      </c>
      <c r="C1916" s="284"/>
      <c r="D1916" s="365"/>
      <c r="E1916" s="365"/>
      <c r="F1916" s="283" t="s">
        <v>546</v>
      </c>
      <c r="G1916" s="283"/>
      <c r="H1916" s="159" t="s">
        <v>550</v>
      </c>
      <c r="I1916" s="44" t="s">
        <v>456</v>
      </c>
      <c r="J1916" s="45">
        <v>30</v>
      </c>
      <c r="K1916" s="289">
        <v>155</v>
      </c>
      <c r="L1916" s="281">
        <f>J1916*K1916</f>
        <v>4650</v>
      </c>
      <c r="M1916" s="46">
        <v>30</v>
      </c>
      <c r="N1916" s="46">
        <v>30</v>
      </c>
      <c r="O1916" s="431">
        <v>155</v>
      </c>
      <c r="P1916" s="282">
        <f t="shared" si="58"/>
        <v>4650</v>
      </c>
      <c r="Q1916" s="282">
        <f t="shared" si="59"/>
        <v>4650</v>
      </c>
    </row>
    <row r="1917" spans="1:17" x14ac:dyDescent="0.35">
      <c r="A1917" s="84" t="s">
        <v>809</v>
      </c>
      <c r="B1917" s="10" t="s">
        <v>851</v>
      </c>
      <c r="C1917" s="284"/>
      <c r="D1917" s="365"/>
      <c r="E1917" s="365"/>
      <c r="F1917" s="283" t="s">
        <v>549</v>
      </c>
      <c r="G1917" s="283"/>
      <c r="H1917" s="159" t="s">
        <v>552</v>
      </c>
      <c r="I1917" s="44" t="s">
        <v>456</v>
      </c>
      <c r="J1917" s="45"/>
      <c r="K1917" s="289"/>
      <c r="L1917" s="281"/>
      <c r="M1917" s="46"/>
      <c r="N1917" s="46"/>
      <c r="O1917" s="431"/>
      <c r="P1917" s="282">
        <f t="shared" si="58"/>
        <v>0</v>
      </c>
      <c r="Q1917" s="282">
        <f t="shared" si="59"/>
        <v>0</v>
      </c>
    </row>
    <row r="1918" spans="1:17" x14ac:dyDescent="0.35">
      <c r="A1918" s="84" t="s">
        <v>809</v>
      </c>
      <c r="B1918" s="10" t="s">
        <v>851</v>
      </c>
      <c r="C1918" s="284"/>
      <c r="D1918" s="365"/>
      <c r="E1918" s="365"/>
      <c r="F1918" s="283" t="s">
        <v>551</v>
      </c>
      <c r="G1918" s="283"/>
      <c r="H1918" s="159" t="s">
        <v>554</v>
      </c>
      <c r="I1918" s="44" t="s">
        <v>456</v>
      </c>
      <c r="J1918" s="45"/>
      <c r="K1918" s="289"/>
      <c r="L1918" s="281"/>
      <c r="M1918" s="46"/>
      <c r="N1918" s="46"/>
      <c r="O1918" s="431"/>
      <c r="P1918" s="282">
        <f t="shared" si="58"/>
        <v>0</v>
      </c>
      <c r="Q1918" s="282">
        <f t="shared" si="59"/>
        <v>0</v>
      </c>
    </row>
    <row r="1919" spans="1:17" x14ac:dyDescent="0.35">
      <c r="A1919" s="84" t="s">
        <v>809</v>
      </c>
      <c r="B1919" s="10" t="s">
        <v>851</v>
      </c>
      <c r="C1919" s="284"/>
      <c r="D1919" s="365"/>
      <c r="E1919" s="365"/>
      <c r="F1919" s="283" t="s">
        <v>553</v>
      </c>
      <c r="G1919" s="283"/>
      <c r="H1919" s="159" t="s">
        <v>556</v>
      </c>
      <c r="I1919" s="44" t="s">
        <v>456</v>
      </c>
      <c r="J1919" s="45"/>
      <c r="K1919" s="289"/>
      <c r="L1919" s="281"/>
      <c r="M1919" s="46"/>
      <c r="N1919" s="46"/>
      <c r="O1919" s="431"/>
      <c r="P1919" s="282">
        <f t="shared" si="58"/>
        <v>0</v>
      </c>
      <c r="Q1919" s="282">
        <f t="shared" si="59"/>
        <v>0</v>
      </c>
    </row>
    <row r="1920" spans="1:17" x14ac:dyDescent="0.35">
      <c r="A1920" s="84" t="s">
        <v>809</v>
      </c>
      <c r="B1920" s="10" t="s">
        <v>851</v>
      </c>
      <c r="C1920" s="284"/>
      <c r="D1920" s="365"/>
      <c r="E1920" s="365"/>
      <c r="F1920" s="283" t="s">
        <v>555</v>
      </c>
      <c r="G1920" s="283"/>
      <c r="H1920" s="159" t="s">
        <v>558</v>
      </c>
      <c r="I1920" s="44" t="s">
        <v>186</v>
      </c>
      <c r="J1920" s="45">
        <v>1200</v>
      </c>
      <c r="K1920" s="289">
        <v>4.2</v>
      </c>
      <c r="L1920" s="281">
        <f>J1920*K1920</f>
        <v>5040</v>
      </c>
      <c r="M1920" s="46">
        <v>1200</v>
      </c>
      <c r="N1920" s="46">
        <v>1200</v>
      </c>
      <c r="O1920" s="431">
        <v>4.2</v>
      </c>
      <c r="P1920" s="282">
        <f t="shared" si="58"/>
        <v>5040</v>
      </c>
      <c r="Q1920" s="282">
        <f t="shared" si="59"/>
        <v>5040</v>
      </c>
    </row>
    <row r="1921" spans="1:17" ht="13" x14ac:dyDescent="0.35">
      <c r="A1921" s="84" t="s">
        <v>809</v>
      </c>
      <c r="B1921" s="10" t="s">
        <v>851</v>
      </c>
      <c r="C1921" s="284"/>
      <c r="D1921" s="365"/>
      <c r="E1921" s="365"/>
      <c r="F1921" s="283"/>
      <c r="G1921" s="283"/>
      <c r="H1921" s="156" t="s">
        <v>559</v>
      </c>
      <c r="I1921" s="44"/>
      <c r="J1921" s="45"/>
      <c r="K1921" s="289"/>
      <c r="L1921" s="281"/>
      <c r="M1921" s="46"/>
      <c r="N1921" s="46"/>
      <c r="O1921" s="431"/>
      <c r="P1921" s="282">
        <f t="shared" si="58"/>
        <v>0</v>
      </c>
      <c r="Q1921" s="282">
        <f t="shared" si="59"/>
        <v>0</v>
      </c>
    </row>
    <row r="1922" spans="1:17" x14ac:dyDescent="0.35">
      <c r="A1922" s="84" t="s">
        <v>809</v>
      </c>
      <c r="B1922" s="10" t="s">
        <v>851</v>
      </c>
      <c r="C1922" s="284"/>
      <c r="D1922" s="365"/>
      <c r="E1922" s="365"/>
      <c r="F1922" s="283"/>
      <c r="G1922" s="283"/>
      <c r="H1922" s="159" t="s">
        <v>560</v>
      </c>
      <c r="I1922" s="44"/>
      <c r="J1922" s="45"/>
      <c r="K1922" s="289"/>
      <c r="L1922" s="281"/>
      <c r="M1922" s="46"/>
      <c r="N1922" s="46"/>
      <c r="O1922" s="431"/>
      <c r="P1922" s="282">
        <f t="shared" si="58"/>
        <v>0</v>
      </c>
      <c r="Q1922" s="282">
        <f t="shared" si="59"/>
        <v>0</v>
      </c>
    </row>
    <row r="1923" spans="1:17" x14ac:dyDescent="0.35">
      <c r="A1923" s="84" t="s">
        <v>809</v>
      </c>
      <c r="B1923" s="10" t="s">
        <v>851</v>
      </c>
      <c r="C1923" s="284"/>
      <c r="D1923" s="365"/>
      <c r="E1923" s="365"/>
      <c r="F1923" s="283" t="s">
        <v>557</v>
      </c>
      <c r="G1923" s="283"/>
      <c r="H1923" s="159" t="s">
        <v>562</v>
      </c>
      <c r="I1923" s="44" t="s">
        <v>456</v>
      </c>
      <c r="J1923" s="45">
        <v>6</v>
      </c>
      <c r="K1923" s="289">
        <v>400</v>
      </c>
      <c r="L1923" s="281">
        <f>J1923*K1923</f>
        <v>2400</v>
      </c>
      <c r="M1923" s="46">
        <v>6</v>
      </c>
      <c r="N1923" s="46">
        <v>6</v>
      </c>
      <c r="O1923" s="431">
        <v>400</v>
      </c>
      <c r="P1923" s="282">
        <f t="shared" si="58"/>
        <v>2400</v>
      </c>
      <c r="Q1923" s="282">
        <f t="shared" si="59"/>
        <v>2400</v>
      </c>
    </row>
    <row r="1924" spans="1:17" ht="13" x14ac:dyDescent="0.35">
      <c r="A1924" s="84" t="s">
        <v>809</v>
      </c>
      <c r="B1924" s="10" t="s">
        <v>851</v>
      </c>
      <c r="C1924" s="284"/>
      <c r="D1924" s="365"/>
      <c r="E1924" s="365"/>
      <c r="F1924" s="283"/>
      <c r="G1924" s="283"/>
      <c r="H1924" s="156" t="s">
        <v>563</v>
      </c>
      <c r="I1924" s="44"/>
      <c r="J1924" s="45"/>
      <c r="K1924" s="289"/>
      <c r="L1924" s="281"/>
      <c r="M1924" s="46"/>
      <c r="N1924" s="46"/>
      <c r="O1924" s="431"/>
      <c r="P1924" s="282">
        <f t="shared" si="58"/>
        <v>0</v>
      </c>
      <c r="Q1924" s="282">
        <f t="shared" si="59"/>
        <v>0</v>
      </c>
    </row>
    <row r="1925" spans="1:17" x14ac:dyDescent="0.35">
      <c r="A1925" s="84" t="s">
        <v>809</v>
      </c>
      <c r="B1925" s="10" t="s">
        <v>851</v>
      </c>
      <c r="C1925" s="284"/>
      <c r="D1925" s="365"/>
      <c r="E1925" s="365"/>
      <c r="F1925" s="283"/>
      <c r="G1925" s="283"/>
      <c r="H1925" s="159" t="s">
        <v>564</v>
      </c>
      <c r="I1925" s="44"/>
      <c r="J1925" s="45"/>
      <c r="K1925" s="289"/>
      <c r="L1925" s="281"/>
      <c r="M1925" s="46"/>
      <c r="N1925" s="46"/>
      <c r="O1925" s="431"/>
      <c r="P1925" s="282">
        <f t="shared" si="58"/>
        <v>0</v>
      </c>
      <c r="Q1925" s="282">
        <f t="shared" si="59"/>
        <v>0</v>
      </c>
    </row>
    <row r="1926" spans="1:17" x14ac:dyDescent="0.35">
      <c r="A1926" s="84" t="s">
        <v>809</v>
      </c>
      <c r="B1926" s="10" t="s">
        <v>851</v>
      </c>
      <c r="C1926" s="284"/>
      <c r="D1926" s="365"/>
      <c r="E1926" s="365"/>
      <c r="F1926" s="283"/>
      <c r="G1926" s="283"/>
      <c r="H1926" s="159" t="s">
        <v>565</v>
      </c>
      <c r="I1926" s="44"/>
      <c r="J1926" s="45"/>
      <c r="K1926" s="289"/>
      <c r="L1926" s="281"/>
      <c r="M1926" s="46"/>
      <c r="N1926" s="46"/>
      <c r="O1926" s="431"/>
      <c r="P1926" s="282">
        <f t="shared" si="58"/>
        <v>0</v>
      </c>
      <c r="Q1926" s="282">
        <f t="shared" si="59"/>
        <v>0</v>
      </c>
    </row>
    <row r="1927" spans="1:17" x14ac:dyDescent="0.35">
      <c r="A1927" s="84" t="s">
        <v>809</v>
      </c>
      <c r="B1927" s="10" t="s">
        <v>851</v>
      </c>
      <c r="C1927" s="284"/>
      <c r="D1927" s="365"/>
      <c r="E1927" s="365"/>
      <c r="F1927" s="283"/>
      <c r="G1927" s="283"/>
      <c r="H1927" s="162" t="s">
        <v>566</v>
      </c>
      <c r="I1927" s="44"/>
      <c r="J1927" s="45"/>
      <c r="K1927" s="289"/>
      <c r="L1927" s="281"/>
      <c r="M1927" s="46"/>
      <c r="N1927" s="46"/>
      <c r="O1927" s="431"/>
      <c r="P1927" s="282">
        <f t="shared" si="58"/>
        <v>0</v>
      </c>
      <c r="Q1927" s="282">
        <f t="shared" si="59"/>
        <v>0</v>
      </c>
    </row>
    <row r="1928" spans="1:17" ht="25" x14ac:dyDescent="0.35">
      <c r="A1928" s="84" t="s">
        <v>809</v>
      </c>
      <c r="B1928" s="10" t="s">
        <v>851</v>
      </c>
      <c r="C1928" s="284"/>
      <c r="D1928" s="365"/>
      <c r="E1928" s="365"/>
      <c r="F1928" s="283" t="s">
        <v>561</v>
      </c>
      <c r="G1928" s="283"/>
      <c r="H1928" s="159" t="s">
        <v>568</v>
      </c>
      <c r="I1928" s="44" t="s">
        <v>456</v>
      </c>
      <c r="J1928" s="45">
        <v>72</v>
      </c>
      <c r="K1928" s="289">
        <v>1050</v>
      </c>
      <c r="L1928" s="281">
        <f>J1928*K1928</f>
        <v>75600</v>
      </c>
      <c r="M1928" s="46">
        <v>72</v>
      </c>
      <c r="N1928" s="46">
        <v>72</v>
      </c>
      <c r="O1928" s="431">
        <v>1050</v>
      </c>
      <c r="P1928" s="282">
        <f t="shared" si="58"/>
        <v>75600</v>
      </c>
      <c r="Q1928" s="282">
        <f t="shared" si="59"/>
        <v>75600</v>
      </c>
    </row>
    <row r="1929" spans="1:17" x14ac:dyDescent="0.35">
      <c r="A1929" s="84" t="s">
        <v>809</v>
      </c>
      <c r="B1929" s="10" t="s">
        <v>851</v>
      </c>
      <c r="C1929" s="284"/>
      <c r="D1929" s="365"/>
      <c r="E1929" s="365"/>
      <c r="F1929" s="283"/>
      <c r="G1929" s="283"/>
      <c r="H1929" s="162" t="s">
        <v>569</v>
      </c>
      <c r="I1929" s="44"/>
      <c r="J1929" s="45"/>
      <c r="K1929" s="289"/>
      <c r="L1929" s="281"/>
      <c r="M1929" s="46"/>
      <c r="N1929" s="46"/>
      <c r="O1929" s="431"/>
      <c r="P1929" s="282">
        <f t="shared" si="58"/>
        <v>0</v>
      </c>
      <c r="Q1929" s="282">
        <f t="shared" si="59"/>
        <v>0</v>
      </c>
    </row>
    <row r="1930" spans="1:17" ht="25" x14ac:dyDescent="0.35">
      <c r="A1930" s="84" t="s">
        <v>809</v>
      </c>
      <c r="B1930" s="10" t="s">
        <v>851</v>
      </c>
      <c r="C1930" s="284"/>
      <c r="D1930" s="365"/>
      <c r="E1930" s="365"/>
      <c r="F1930" s="283" t="s">
        <v>567</v>
      </c>
      <c r="G1930" s="283"/>
      <c r="H1930" s="159" t="s">
        <v>571</v>
      </c>
      <c r="I1930" s="44" t="s">
        <v>456</v>
      </c>
      <c r="J1930" s="45">
        <v>30</v>
      </c>
      <c r="K1930" s="289">
        <v>1500</v>
      </c>
      <c r="L1930" s="281">
        <f>J1930*K1930</f>
        <v>45000</v>
      </c>
      <c r="M1930" s="46">
        <v>30</v>
      </c>
      <c r="N1930" s="46">
        <v>30</v>
      </c>
      <c r="O1930" s="431">
        <v>1500</v>
      </c>
      <c r="P1930" s="282">
        <f t="shared" ref="P1930:P1993" si="60">O1930*M1930</f>
        <v>45000</v>
      </c>
      <c r="Q1930" s="282">
        <f t="shared" ref="Q1930:Q1993" si="61">O1930*N1930</f>
        <v>45000</v>
      </c>
    </row>
    <row r="1931" spans="1:17" x14ac:dyDescent="0.35">
      <c r="A1931" s="84" t="s">
        <v>809</v>
      </c>
      <c r="B1931" s="10" t="s">
        <v>851</v>
      </c>
      <c r="C1931" s="284"/>
      <c r="D1931" s="365"/>
      <c r="E1931" s="365"/>
      <c r="F1931" s="283"/>
      <c r="G1931" s="283"/>
      <c r="H1931" s="162" t="s">
        <v>572</v>
      </c>
      <c r="I1931" s="44"/>
      <c r="J1931" s="45"/>
      <c r="K1931" s="289"/>
      <c r="L1931" s="281"/>
      <c r="M1931" s="46"/>
      <c r="N1931" s="46"/>
      <c r="O1931" s="431"/>
      <c r="P1931" s="282">
        <f t="shared" si="60"/>
        <v>0</v>
      </c>
      <c r="Q1931" s="282">
        <f t="shared" si="61"/>
        <v>0</v>
      </c>
    </row>
    <row r="1932" spans="1:17" ht="25" x14ac:dyDescent="0.35">
      <c r="A1932" s="84" t="s">
        <v>809</v>
      </c>
      <c r="B1932" s="10" t="s">
        <v>851</v>
      </c>
      <c r="C1932" s="284"/>
      <c r="D1932" s="365"/>
      <c r="E1932" s="365"/>
      <c r="F1932" s="283" t="s">
        <v>570</v>
      </c>
      <c r="G1932" s="283"/>
      <c r="H1932" s="159" t="s">
        <v>574</v>
      </c>
      <c r="I1932" s="44" t="s">
        <v>456</v>
      </c>
      <c r="J1932" s="45">
        <v>60</v>
      </c>
      <c r="K1932" s="289">
        <v>1980</v>
      </c>
      <c r="L1932" s="281">
        <f>J1932*K1932</f>
        <v>118800</v>
      </c>
      <c r="M1932" s="46">
        <v>60</v>
      </c>
      <c r="N1932" s="46">
        <v>60</v>
      </c>
      <c r="O1932" s="431">
        <v>1980</v>
      </c>
      <c r="P1932" s="282">
        <f t="shared" si="60"/>
        <v>118800</v>
      </c>
      <c r="Q1932" s="282">
        <f t="shared" si="61"/>
        <v>118800</v>
      </c>
    </row>
    <row r="1933" spans="1:17" ht="13" x14ac:dyDescent="0.35">
      <c r="A1933" s="84" t="s">
        <v>809</v>
      </c>
      <c r="B1933" s="10" t="s">
        <v>851</v>
      </c>
      <c r="C1933" s="284"/>
      <c r="D1933" s="365"/>
      <c r="E1933" s="365"/>
      <c r="F1933" s="283"/>
      <c r="G1933" s="283"/>
      <c r="H1933" s="157" t="s">
        <v>575</v>
      </c>
      <c r="I1933" s="44"/>
      <c r="J1933" s="45"/>
      <c r="K1933" s="289"/>
      <c r="L1933" s="281"/>
      <c r="M1933" s="46"/>
      <c r="N1933" s="46"/>
      <c r="O1933" s="431"/>
      <c r="P1933" s="282">
        <f t="shared" si="60"/>
        <v>0</v>
      </c>
      <c r="Q1933" s="282">
        <f t="shared" si="61"/>
        <v>0</v>
      </c>
    </row>
    <row r="1934" spans="1:17" ht="37.5" x14ac:dyDescent="0.35">
      <c r="A1934" s="84" t="s">
        <v>809</v>
      </c>
      <c r="B1934" s="10" t="s">
        <v>851</v>
      </c>
      <c r="C1934" s="284"/>
      <c r="D1934" s="365"/>
      <c r="E1934" s="365"/>
      <c r="F1934" s="283"/>
      <c r="G1934" s="283"/>
      <c r="H1934" s="159" t="s">
        <v>576</v>
      </c>
      <c r="I1934" s="44"/>
      <c r="J1934" s="45"/>
      <c r="K1934" s="289"/>
      <c r="L1934" s="281"/>
      <c r="M1934" s="46"/>
      <c r="N1934" s="46"/>
      <c r="O1934" s="431"/>
      <c r="P1934" s="282">
        <f t="shared" si="60"/>
        <v>0</v>
      </c>
      <c r="Q1934" s="282">
        <f t="shared" si="61"/>
        <v>0</v>
      </c>
    </row>
    <row r="1935" spans="1:17" ht="25" x14ac:dyDescent="0.35">
      <c r="A1935" s="84" t="s">
        <v>809</v>
      </c>
      <c r="B1935" s="10" t="s">
        <v>851</v>
      </c>
      <c r="C1935" s="284"/>
      <c r="D1935" s="365"/>
      <c r="E1935" s="365"/>
      <c r="F1935" s="283"/>
      <c r="G1935" s="283"/>
      <c r="H1935" s="159" t="s">
        <v>577</v>
      </c>
      <c r="I1935" s="44"/>
      <c r="J1935" s="45"/>
      <c r="K1935" s="289"/>
      <c r="L1935" s="281"/>
      <c r="M1935" s="46"/>
      <c r="N1935" s="46"/>
      <c r="O1935" s="431"/>
      <c r="P1935" s="282">
        <f t="shared" si="60"/>
        <v>0</v>
      </c>
      <c r="Q1935" s="282">
        <f t="shared" si="61"/>
        <v>0</v>
      </c>
    </row>
    <row r="1936" spans="1:17" x14ac:dyDescent="0.35">
      <c r="A1936" s="84" t="s">
        <v>809</v>
      </c>
      <c r="B1936" s="10" t="s">
        <v>851</v>
      </c>
      <c r="C1936" s="284"/>
      <c r="D1936" s="365"/>
      <c r="E1936" s="365"/>
      <c r="F1936" s="283"/>
      <c r="G1936" s="283"/>
      <c r="H1936" s="159" t="s">
        <v>578</v>
      </c>
      <c r="I1936" s="44"/>
      <c r="J1936" s="45"/>
      <c r="K1936" s="289"/>
      <c r="L1936" s="281"/>
      <c r="M1936" s="46"/>
      <c r="N1936" s="46"/>
      <c r="O1936" s="431"/>
      <c r="P1936" s="282">
        <f t="shared" si="60"/>
        <v>0</v>
      </c>
      <c r="Q1936" s="282">
        <f t="shared" si="61"/>
        <v>0</v>
      </c>
    </row>
    <row r="1937" spans="1:17" x14ac:dyDescent="0.35">
      <c r="A1937" s="84" t="s">
        <v>809</v>
      </c>
      <c r="B1937" s="10" t="s">
        <v>851</v>
      </c>
      <c r="C1937" s="284"/>
      <c r="D1937" s="365"/>
      <c r="E1937" s="365"/>
      <c r="F1937" s="283"/>
      <c r="G1937" s="283"/>
      <c r="H1937" s="159" t="s">
        <v>579</v>
      </c>
      <c r="I1937" s="44"/>
      <c r="J1937" s="45"/>
      <c r="K1937" s="289"/>
      <c r="L1937" s="281"/>
      <c r="M1937" s="46"/>
      <c r="N1937" s="46"/>
      <c r="O1937" s="431"/>
      <c r="P1937" s="282">
        <f t="shared" si="60"/>
        <v>0</v>
      </c>
      <c r="Q1937" s="282">
        <f t="shared" si="61"/>
        <v>0</v>
      </c>
    </row>
    <row r="1938" spans="1:17" x14ac:dyDescent="0.35">
      <c r="A1938" s="84" t="s">
        <v>809</v>
      </c>
      <c r="B1938" s="10" t="s">
        <v>851</v>
      </c>
      <c r="C1938" s="284"/>
      <c r="D1938" s="365"/>
      <c r="E1938" s="365"/>
      <c r="F1938" s="283"/>
      <c r="G1938" s="283"/>
      <c r="H1938" s="159" t="s">
        <v>580</v>
      </c>
      <c r="I1938" s="44"/>
      <c r="J1938" s="45"/>
      <c r="K1938" s="289"/>
      <c r="L1938" s="281"/>
      <c r="M1938" s="46"/>
      <c r="N1938" s="46"/>
      <c r="O1938" s="431"/>
      <c r="P1938" s="282">
        <f t="shared" si="60"/>
        <v>0</v>
      </c>
      <c r="Q1938" s="282">
        <f t="shared" si="61"/>
        <v>0</v>
      </c>
    </row>
    <row r="1939" spans="1:17" x14ac:dyDescent="0.35">
      <c r="A1939" s="84" t="s">
        <v>809</v>
      </c>
      <c r="B1939" s="10" t="s">
        <v>851</v>
      </c>
      <c r="C1939" s="284"/>
      <c r="D1939" s="365"/>
      <c r="E1939" s="365"/>
      <c r="F1939" s="283" t="s">
        <v>573</v>
      </c>
      <c r="G1939" s="283"/>
      <c r="H1939" s="159" t="s">
        <v>582</v>
      </c>
      <c r="I1939" s="44" t="s">
        <v>186</v>
      </c>
      <c r="J1939" s="45">
        <v>12</v>
      </c>
      <c r="K1939" s="289">
        <v>115</v>
      </c>
      <c r="L1939" s="281">
        <f>J1939*K1939</f>
        <v>1380</v>
      </c>
      <c r="M1939" s="46">
        <v>12</v>
      </c>
      <c r="N1939" s="46">
        <v>12</v>
      </c>
      <c r="O1939" s="431">
        <v>115</v>
      </c>
      <c r="P1939" s="282">
        <f t="shared" si="60"/>
        <v>1380</v>
      </c>
      <c r="Q1939" s="282">
        <f t="shared" si="61"/>
        <v>1380</v>
      </c>
    </row>
    <row r="1940" spans="1:17" ht="25" x14ac:dyDescent="0.35">
      <c r="A1940" s="84" t="s">
        <v>809</v>
      </c>
      <c r="B1940" s="10" t="s">
        <v>851</v>
      </c>
      <c r="C1940" s="284"/>
      <c r="D1940" s="365"/>
      <c r="E1940" s="365"/>
      <c r="F1940" s="283" t="s">
        <v>581</v>
      </c>
      <c r="G1940" s="283"/>
      <c r="H1940" s="159" t="s">
        <v>584</v>
      </c>
      <c r="I1940" s="44" t="s">
        <v>186</v>
      </c>
      <c r="J1940" s="45">
        <v>36</v>
      </c>
      <c r="K1940" s="289">
        <v>50</v>
      </c>
      <c r="L1940" s="281">
        <f>J1940*K1940</f>
        <v>1800</v>
      </c>
      <c r="M1940" s="46">
        <v>36</v>
      </c>
      <c r="N1940" s="46">
        <v>36</v>
      </c>
      <c r="O1940" s="431">
        <v>50</v>
      </c>
      <c r="P1940" s="282">
        <f t="shared" si="60"/>
        <v>1800</v>
      </c>
      <c r="Q1940" s="282">
        <f t="shared" si="61"/>
        <v>1800</v>
      </c>
    </row>
    <row r="1941" spans="1:17" x14ac:dyDescent="0.35">
      <c r="A1941" s="84" t="s">
        <v>809</v>
      </c>
      <c r="B1941" s="10" t="s">
        <v>851</v>
      </c>
      <c r="C1941" s="284"/>
      <c r="D1941" s="365"/>
      <c r="E1941" s="365"/>
      <c r="F1941" s="283" t="s">
        <v>583</v>
      </c>
      <c r="G1941" s="283"/>
      <c r="H1941" s="159" t="s">
        <v>586</v>
      </c>
      <c r="I1941" s="44" t="s">
        <v>587</v>
      </c>
      <c r="J1941" s="45">
        <v>12</v>
      </c>
      <c r="K1941" s="289">
        <v>65</v>
      </c>
      <c r="L1941" s="281">
        <f>J1941*K1941</f>
        <v>780</v>
      </c>
      <c r="M1941" s="46">
        <v>12</v>
      </c>
      <c r="N1941" s="46">
        <v>12</v>
      </c>
      <c r="O1941" s="431">
        <v>65</v>
      </c>
      <c r="P1941" s="282">
        <f t="shared" si="60"/>
        <v>780</v>
      </c>
      <c r="Q1941" s="282">
        <f t="shared" si="61"/>
        <v>780</v>
      </c>
    </row>
    <row r="1942" spans="1:17" ht="13" x14ac:dyDescent="0.35">
      <c r="A1942" s="84" t="s">
        <v>809</v>
      </c>
      <c r="B1942" s="10" t="s">
        <v>851</v>
      </c>
      <c r="C1942" s="284"/>
      <c r="D1942" s="365"/>
      <c r="E1942" s="365"/>
      <c r="F1942" s="283"/>
      <c r="G1942" s="283"/>
      <c r="H1942" s="157" t="s">
        <v>517</v>
      </c>
      <c r="I1942" s="44"/>
      <c r="J1942" s="45"/>
      <c r="K1942" s="289"/>
      <c r="L1942" s="281"/>
      <c r="M1942" s="46"/>
      <c r="N1942" s="46"/>
      <c r="O1942" s="431"/>
      <c r="P1942" s="282">
        <f t="shared" si="60"/>
        <v>0</v>
      </c>
      <c r="Q1942" s="282">
        <f t="shared" si="61"/>
        <v>0</v>
      </c>
    </row>
    <row r="1943" spans="1:17" x14ac:dyDescent="0.35">
      <c r="A1943" s="84" t="s">
        <v>809</v>
      </c>
      <c r="B1943" s="10" t="s">
        <v>851</v>
      </c>
      <c r="C1943" s="284"/>
      <c r="D1943" s="365"/>
      <c r="E1943" s="365"/>
      <c r="F1943" s="283" t="s">
        <v>585</v>
      </c>
      <c r="G1943" s="283"/>
      <c r="H1943" s="159" t="s">
        <v>589</v>
      </c>
      <c r="I1943" s="44" t="s">
        <v>186</v>
      </c>
      <c r="J1943" s="45">
        <v>60</v>
      </c>
      <c r="K1943" s="289">
        <v>200</v>
      </c>
      <c r="L1943" s="281">
        <f>J1943*K1943</f>
        <v>12000</v>
      </c>
      <c r="M1943" s="46">
        <v>60</v>
      </c>
      <c r="N1943" s="46">
        <v>60</v>
      </c>
      <c r="O1943" s="431">
        <v>200</v>
      </c>
      <c r="P1943" s="282">
        <f t="shared" si="60"/>
        <v>12000</v>
      </c>
      <c r="Q1943" s="282">
        <f t="shared" si="61"/>
        <v>12000</v>
      </c>
    </row>
    <row r="1944" spans="1:17" x14ac:dyDescent="0.35">
      <c r="A1944" s="84" t="s">
        <v>809</v>
      </c>
      <c r="B1944" s="10" t="s">
        <v>851</v>
      </c>
      <c r="C1944" s="284"/>
      <c r="D1944" s="365"/>
      <c r="E1944" s="365"/>
      <c r="F1944" s="283" t="s">
        <v>588</v>
      </c>
      <c r="G1944" s="283"/>
      <c r="H1944" s="159" t="s">
        <v>591</v>
      </c>
      <c r="I1944" s="44" t="s">
        <v>186</v>
      </c>
      <c r="J1944" s="45">
        <v>60</v>
      </c>
      <c r="K1944" s="289">
        <v>65</v>
      </c>
      <c r="L1944" s="281">
        <f>J1944*K1944</f>
        <v>3900</v>
      </c>
      <c r="M1944" s="46">
        <v>60</v>
      </c>
      <c r="N1944" s="46">
        <v>60</v>
      </c>
      <c r="O1944" s="431">
        <v>65</v>
      </c>
      <c r="P1944" s="282">
        <f t="shared" si="60"/>
        <v>3900</v>
      </c>
      <c r="Q1944" s="282">
        <f t="shared" si="61"/>
        <v>3900</v>
      </c>
    </row>
    <row r="1945" spans="1:17" x14ac:dyDescent="0.35">
      <c r="A1945" s="84" t="s">
        <v>809</v>
      </c>
      <c r="B1945" s="10" t="s">
        <v>851</v>
      </c>
      <c r="C1945" s="284"/>
      <c r="D1945" s="365"/>
      <c r="E1945" s="365"/>
      <c r="F1945" s="283" t="s">
        <v>590</v>
      </c>
      <c r="G1945" s="283"/>
      <c r="H1945" s="159" t="s">
        <v>593</v>
      </c>
      <c r="I1945" s="44" t="s">
        <v>186</v>
      </c>
      <c r="J1945" s="45">
        <v>60</v>
      </c>
      <c r="K1945" s="289">
        <v>55</v>
      </c>
      <c r="L1945" s="281">
        <f>J1945*K1945</f>
        <v>3300</v>
      </c>
      <c r="M1945" s="46">
        <v>60</v>
      </c>
      <c r="N1945" s="46">
        <v>60</v>
      </c>
      <c r="O1945" s="431">
        <v>55</v>
      </c>
      <c r="P1945" s="282">
        <f t="shared" si="60"/>
        <v>3300</v>
      </c>
      <c r="Q1945" s="282">
        <f t="shared" si="61"/>
        <v>3300</v>
      </c>
    </row>
    <row r="1946" spans="1:17" ht="37.5" x14ac:dyDescent="0.35">
      <c r="A1946" s="84" t="s">
        <v>809</v>
      </c>
      <c r="B1946" s="10" t="s">
        <v>851</v>
      </c>
      <c r="C1946" s="284"/>
      <c r="D1946" s="365"/>
      <c r="E1946" s="365"/>
      <c r="F1946" s="283" t="s">
        <v>592</v>
      </c>
      <c r="G1946" s="283"/>
      <c r="H1946" s="159" t="s">
        <v>595</v>
      </c>
      <c r="I1946" s="44" t="s">
        <v>596</v>
      </c>
      <c r="J1946" s="45">
        <v>6</v>
      </c>
      <c r="K1946" s="289">
        <v>156</v>
      </c>
      <c r="L1946" s="281">
        <f>J1946*K1946</f>
        <v>936</v>
      </c>
      <c r="M1946" s="46">
        <v>6</v>
      </c>
      <c r="N1946" s="46">
        <v>6</v>
      </c>
      <c r="O1946" s="431">
        <v>156</v>
      </c>
      <c r="P1946" s="282">
        <f t="shared" si="60"/>
        <v>936</v>
      </c>
      <c r="Q1946" s="282">
        <f t="shared" si="61"/>
        <v>936</v>
      </c>
    </row>
    <row r="1947" spans="1:17" x14ac:dyDescent="0.35">
      <c r="A1947" s="84" t="s">
        <v>809</v>
      </c>
      <c r="B1947" s="10" t="s">
        <v>851</v>
      </c>
      <c r="C1947" s="284"/>
      <c r="D1947" s="365"/>
      <c r="E1947" s="365"/>
      <c r="F1947" s="283" t="s">
        <v>594</v>
      </c>
      <c r="G1947" s="283"/>
      <c r="H1947" s="159" t="s">
        <v>598</v>
      </c>
      <c r="I1947" s="44" t="s">
        <v>186</v>
      </c>
      <c r="J1947" s="45">
        <v>6</v>
      </c>
      <c r="K1947" s="289">
        <v>680</v>
      </c>
      <c r="L1947" s="281">
        <f>J1947*K1947</f>
        <v>4080</v>
      </c>
      <c r="M1947" s="46">
        <v>6</v>
      </c>
      <c r="N1947" s="46">
        <v>6</v>
      </c>
      <c r="O1947" s="431">
        <v>680</v>
      </c>
      <c r="P1947" s="282">
        <f t="shared" si="60"/>
        <v>4080</v>
      </c>
      <c r="Q1947" s="282">
        <f t="shared" si="61"/>
        <v>4080</v>
      </c>
    </row>
    <row r="1948" spans="1:17" x14ac:dyDescent="0.35">
      <c r="A1948" s="84" t="s">
        <v>809</v>
      </c>
      <c r="B1948" s="10" t="s">
        <v>851</v>
      </c>
      <c r="C1948" s="284"/>
      <c r="D1948" s="365"/>
      <c r="E1948" s="365"/>
      <c r="F1948" s="283" t="s">
        <v>597</v>
      </c>
      <c r="G1948" s="283"/>
      <c r="H1948" s="159" t="s">
        <v>600</v>
      </c>
      <c r="I1948" s="44" t="s">
        <v>596</v>
      </c>
      <c r="J1948" s="45">
        <v>12</v>
      </c>
      <c r="K1948" s="289">
        <v>100</v>
      </c>
      <c r="L1948" s="281">
        <f>J1948*K1948</f>
        <v>1200</v>
      </c>
      <c r="M1948" s="46">
        <v>12</v>
      </c>
      <c r="N1948" s="46">
        <v>12</v>
      </c>
      <c r="O1948" s="431">
        <v>100</v>
      </c>
      <c r="P1948" s="282">
        <f t="shared" si="60"/>
        <v>1200</v>
      </c>
      <c r="Q1948" s="282">
        <f t="shared" si="61"/>
        <v>1200</v>
      </c>
    </row>
    <row r="1949" spans="1:17" x14ac:dyDescent="0.35">
      <c r="A1949" s="84" t="s">
        <v>809</v>
      </c>
      <c r="B1949" s="10" t="s">
        <v>851</v>
      </c>
      <c r="C1949" s="284"/>
      <c r="D1949" s="365"/>
      <c r="E1949" s="365"/>
      <c r="F1949" s="283" t="s">
        <v>599</v>
      </c>
      <c r="G1949" s="283"/>
      <c r="H1949" s="159" t="s">
        <v>602</v>
      </c>
      <c r="I1949" s="44" t="s">
        <v>186</v>
      </c>
      <c r="J1949" s="45">
        <v>12</v>
      </c>
      <c r="K1949" s="289">
        <v>55</v>
      </c>
      <c r="L1949" s="281">
        <f>J1949*K1949</f>
        <v>660</v>
      </c>
      <c r="M1949" s="46">
        <v>12</v>
      </c>
      <c r="N1949" s="46">
        <v>12</v>
      </c>
      <c r="O1949" s="431">
        <v>55</v>
      </c>
      <c r="P1949" s="282">
        <f t="shared" si="60"/>
        <v>660</v>
      </c>
      <c r="Q1949" s="282">
        <f t="shared" si="61"/>
        <v>660</v>
      </c>
    </row>
    <row r="1950" spans="1:17" x14ac:dyDescent="0.35">
      <c r="A1950" s="84" t="s">
        <v>809</v>
      </c>
      <c r="B1950" s="10" t="s">
        <v>851</v>
      </c>
      <c r="C1950" s="284"/>
      <c r="D1950" s="365"/>
      <c r="E1950" s="365"/>
      <c r="F1950" s="283" t="s">
        <v>601</v>
      </c>
      <c r="G1950" s="283"/>
      <c r="H1950" s="159" t="s">
        <v>604</v>
      </c>
      <c r="I1950" s="44" t="s">
        <v>186</v>
      </c>
      <c r="J1950" s="45">
        <v>60</v>
      </c>
      <c r="K1950" s="289">
        <v>200</v>
      </c>
      <c r="L1950" s="281">
        <f>J1950*K1950</f>
        <v>12000</v>
      </c>
      <c r="M1950" s="46">
        <v>60</v>
      </c>
      <c r="N1950" s="46">
        <v>60</v>
      </c>
      <c r="O1950" s="431">
        <v>200</v>
      </c>
      <c r="P1950" s="282">
        <f t="shared" si="60"/>
        <v>12000</v>
      </c>
      <c r="Q1950" s="282">
        <f t="shared" si="61"/>
        <v>12000</v>
      </c>
    </row>
    <row r="1951" spans="1:17" x14ac:dyDescent="0.35">
      <c r="A1951" s="84" t="s">
        <v>809</v>
      </c>
      <c r="B1951" s="10" t="s">
        <v>851</v>
      </c>
      <c r="C1951" s="284"/>
      <c r="D1951" s="365"/>
      <c r="E1951" s="365"/>
      <c r="F1951" s="283" t="s">
        <v>603</v>
      </c>
      <c r="G1951" s="283"/>
      <c r="H1951" s="159" t="s">
        <v>606</v>
      </c>
      <c r="I1951" s="44" t="s">
        <v>186</v>
      </c>
      <c r="J1951" s="45">
        <v>60</v>
      </c>
      <c r="K1951" s="289">
        <v>200</v>
      </c>
      <c r="L1951" s="281">
        <f>J1951*K1951</f>
        <v>12000</v>
      </c>
      <c r="M1951" s="46">
        <v>60</v>
      </c>
      <c r="N1951" s="46">
        <v>60</v>
      </c>
      <c r="O1951" s="431">
        <v>200</v>
      </c>
      <c r="P1951" s="282">
        <f t="shared" si="60"/>
        <v>12000</v>
      </c>
      <c r="Q1951" s="282">
        <f t="shared" si="61"/>
        <v>12000</v>
      </c>
    </row>
    <row r="1952" spans="1:17" ht="13" x14ac:dyDescent="0.35">
      <c r="A1952" s="84" t="s">
        <v>809</v>
      </c>
      <c r="B1952" s="10" t="s">
        <v>851</v>
      </c>
      <c r="C1952" s="284"/>
      <c r="D1952" s="365"/>
      <c r="E1952" s="365"/>
      <c r="F1952" s="283"/>
      <c r="G1952" s="283"/>
      <c r="H1952" s="157" t="s">
        <v>607</v>
      </c>
      <c r="I1952" s="44"/>
      <c r="J1952" s="45"/>
      <c r="K1952" s="289"/>
      <c r="L1952" s="281"/>
      <c r="M1952" s="46"/>
      <c r="N1952" s="46"/>
      <c r="O1952" s="431"/>
      <c r="P1952" s="282">
        <f t="shared" si="60"/>
        <v>0</v>
      </c>
      <c r="Q1952" s="282">
        <f t="shared" si="61"/>
        <v>0</v>
      </c>
    </row>
    <row r="1953" spans="1:17" x14ac:dyDescent="0.35">
      <c r="A1953" s="84" t="s">
        <v>809</v>
      </c>
      <c r="B1953" s="10" t="s">
        <v>851</v>
      </c>
      <c r="C1953" s="284"/>
      <c r="D1953" s="365"/>
      <c r="E1953" s="365"/>
      <c r="F1953" s="283" t="s">
        <v>605</v>
      </c>
      <c r="G1953" s="283"/>
      <c r="H1953" s="159" t="s">
        <v>609</v>
      </c>
      <c r="I1953" s="44" t="s">
        <v>596</v>
      </c>
      <c r="J1953" s="45">
        <v>6</v>
      </c>
      <c r="K1953" s="289">
        <v>1000</v>
      </c>
      <c r="L1953" s="281">
        <f>J1953*K1953</f>
        <v>6000</v>
      </c>
      <c r="M1953" s="46">
        <v>6</v>
      </c>
      <c r="N1953" s="46">
        <v>6</v>
      </c>
      <c r="O1953" s="431">
        <v>1000</v>
      </c>
      <c r="P1953" s="282">
        <f t="shared" si="60"/>
        <v>6000</v>
      </c>
      <c r="Q1953" s="282">
        <f t="shared" si="61"/>
        <v>6000</v>
      </c>
    </row>
    <row r="1954" spans="1:17" ht="13" x14ac:dyDescent="0.35">
      <c r="A1954" s="84" t="s">
        <v>809</v>
      </c>
      <c r="B1954" s="10" t="s">
        <v>851</v>
      </c>
      <c r="C1954" s="284"/>
      <c r="D1954" s="365"/>
      <c r="E1954" s="365"/>
      <c r="F1954" s="283"/>
      <c r="G1954" s="283"/>
      <c r="H1954" s="157" t="s">
        <v>610</v>
      </c>
      <c r="I1954" s="44"/>
      <c r="J1954" s="45"/>
      <c r="K1954" s="289"/>
      <c r="L1954" s="281"/>
      <c r="M1954" s="46"/>
      <c r="N1954" s="46"/>
      <c r="O1954" s="431"/>
      <c r="P1954" s="282">
        <f t="shared" si="60"/>
        <v>0</v>
      </c>
      <c r="Q1954" s="282">
        <f t="shared" si="61"/>
        <v>0</v>
      </c>
    </row>
    <row r="1955" spans="1:17" x14ac:dyDescent="0.35">
      <c r="A1955" s="84" t="s">
        <v>809</v>
      </c>
      <c r="B1955" s="10" t="s">
        <v>851</v>
      </c>
      <c r="C1955" s="284"/>
      <c r="D1955" s="365"/>
      <c r="E1955" s="365"/>
      <c r="F1955" s="283" t="s">
        <v>608</v>
      </c>
      <c r="G1955" s="283"/>
      <c r="H1955" s="159" t="s">
        <v>612</v>
      </c>
      <c r="I1955" s="44" t="s">
        <v>596</v>
      </c>
      <c r="J1955" s="45">
        <v>6</v>
      </c>
      <c r="K1955" s="289">
        <v>125</v>
      </c>
      <c r="L1955" s="281">
        <f>J1955*K1955</f>
        <v>750</v>
      </c>
      <c r="M1955" s="46">
        <v>6</v>
      </c>
      <c r="N1955" s="46">
        <v>6</v>
      </c>
      <c r="O1955" s="431">
        <v>125</v>
      </c>
      <c r="P1955" s="282">
        <f t="shared" si="60"/>
        <v>750</v>
      </c>
      <c r="Q1955" s="282">
        <f t="shared" si="61"/>
        <v>750</v>
      </c>
    </row>
    <row r="1956" spans="1:17" x14ac:dyDescent="0.35">
      <c r="A1956" s="84" t="s">
        <v>809</v>
      </c>
      <c r="B1956" s="10" t="s">
        <v>851</v>
      </c>
      <c r="C1956" s="284"/>
      <c r="D1956" s="365"/>
      <c r="E1956" s="365"/>
      <c r="F1956" s="283" t="s">
        <v>611</v>
      </c>
      <c r="G1956" s="283"/>
      <c r="H1956" s="159" t="s">
        <v>614</v>
      </c>
      <c r="I1956" s="44" t="s">
        <v>596</v>
      </c>
      <c r="J1956" s="45">
        <v>6</v>
      </c>
      <c r="K1956" s="289">
        <v>500</v>
      </c>
      <c r="L1956" s="281">
        <f>J1956*K1956</f>
        <v>3000</v>
      </c>
      <c r="M1956" s="46">
        <v>6</v>
      </c>
      <c r="N1956" s="46">
        <v>6</v>
      </c>
      <c r="O1956" s="431">
        <v>500</v>
      </c>
      <c r="P1956" s="282">
        <f t="shared" si="60"/>
        <v>3000</v>
      </c>
      <c r="Q1956" s="282">
        <f t="shared" si="61"/>
        <v>3000</v>
      </c>
    </row>
    <row r="1957" spans="1:17" ht="37.5" x14ac:dyDescent="0.35">
      <c r="A1957" s="84" t="s">
        <v>809</v>
      </c>
      <c r="B1957" s="10" t="s">
        <v>851</v>
      </c>
      <c r="C1957" s="284"/>
      <c r="D1957" s="365"/>
      <c r="E1957" s="365"/>
      <c r="F1957" s="283" t="s">
        <v>613</v>
      </c>
      <c r="G1957" s="283"/>
      <c r="H1957" s="159" t="s">
        <v>616</v>
      </c>
      <c r="I1957" s="44" t="s">
        <v>596</v>
      </c>
      <c r="J1957" s="45">
        <v>6</v>
      </c>
      <c r="K1957" s="289">
        <v>3500</v>
      </c>
      <c r="L1957" s="281">
        <f>J1957*K1957</f>
        <v>21000</v>
      </c>
      <c r="M1957" s="46">
        <v>6</v>
      </c>
      <c r="N1957" s="46">
        <v>6</v>
      </c>
      <c r="O1957" s="431">
        <v>3500</v>
      </c>
      <c r="P1957" s="282">
        <f t="shared" si="60"/>
        <v>21000</v>
      </c>
      <c r="Q1957" s="282">
        <f t="shared" si="61"/>
        <v>21000</v>
      </c>
    </row>
    <row r="1958" spans="1:17" ht="13" x14ac:dyDescent="0.35">
      <c r="A1958" s="84" t="s">
        <v>809</v>
      </c>
      <c r="B1958" s="10" t="s">
        <v>851</v>
      </c>
      <c r="C1958" s="284"/>
      <c r="D1958" s="365"/>
      <c r="E1958" s="365"/>
      <c r="F1958" s="283"/>
      <c r="G1958" s="283"/>
      <c r="H1958" s="156" t="s">
        <v>617</v>
      </c>
      <c r="I1958" s="44"/>
      <c r="J1958" s="45"/>
      <c r="K1958" s="289"/>
      <c r="L1958" s="281"/>
      <c r="M1958" s="46"/>
      <c r="N1958" s="46"/>
      <c r="O1958" s="431"/>
      <c r="P1958" s="282">
        <f t="shared" si="60"/>
        <v>0</v>
      </c>
      <c r="Q1958" s="282">
        <f t="shared" si="61"/>
        <v>0</v>
      </c>
    </row>
    <row r="1959" spans="1:17" x14ac:dyDescent="0.35">
      <c r="A1959" s="84" t="s">
        <v>809</v>
      </c>
      <c r="B1959" s="10" t="s">
        <v>851</v>
      </c>
      <c r="C1959" s="284"/>
      <c r="D1959" s="365"/>
      <c r="E1959" s="365"/>
      <c r="F1959" s="163" t="s">
        <v>615</v>
      </c>
      <c r="G1959" s="283"/>
      <c r="H1959" s="159" t="s">
        <v>619</v>
      </c>
      <c r="I1959" s="44"/>
      <c r="J1959" s="45"/>
      <c r="K1959" s="289"/>
      <c r="L1959" s="281"/>
      <c r="M1959" s="46"/>
      <c r="N1959" s="46"/>
      <c r="O1959" s="431"/>
      <c r="P1959" s="282">
        <f t="shared" si="60"/>
        <v>0</v>
      </c>
      <c r="Q1959" s="282">
        <f t="shared" si="61"/>
        <v>0</v>
      </c>
    </row>
    <row r="1960" spans="1:17" x14ac:dyDescent="0.35">
      <c r="A1960" s="84" t="s">
        <v>809</v>
      </c>
      <c r="B1960" s="10" t="s">
        <v>851</v>
      </c>
      <c r="C1960" s="284"/>
      <c r="D1960" s="365"/>
      <c r="E1960" s="365"/>
      <c r="F1960" s="283"/>
      <c r="G1960" s="283"/>
      <c r="H1960" s="159" t="s">
        <v>620</v>
      </c>
      <c r="I1960" s="44" t="s">
        <v>468</v>
      </c>
      <c r="J1960" s="45">
        <v>6</v>
      </c>
      <c r="K1960" s="289">
        <v>3500</v>
      </c>
      <c r="L1960" s="281">
        <f>J1960*K1960</f>
        <v>21000</v>
      </c>
      <c r="M1960" s="46">
        <v>6</v>
      </c>
      <c r="N1960" s="46">
        <v>6</v>
      </c>
      <c r="O1960" s="431">
        <v>3500</v>
      </c>
      <c r="P1960" s="282">
        <f t="shared" si="60"/>
        <v>21000</v>
      </c>
      <c r="Q1960" s="282">
        <f t="shared" si="61"/>
        <v>21000</v>
      </c>
    </row>
    <row r="1961" spans="1:17" x14ac:dyDescent="0.35">
      <c r="A1961" s="84" t="s">
        <v>809</v>
      </c>
      <c r="B1961" s="10" t="s">
        <v>851</v>
      </c>
      <c r="C1961" s="284"/>
      <c r="D1961" s="365"/>
      <c r="E1961" s="365"/>
      <c r="F1961" s="163" t="s">
        <v>618</v>
      </c>
      <c r="G1961" s="283"/>
      <c r="H1961" s="159" t="s">
        <v>619</v>
      </c>
      <c r="I1961" s="44"/>
      <c r="J1961" s="45"/>
      <c r="K1961" s="289"/>
      <c r="L1961" s="281"/>
      <c r="M1961" s="46"/>
      <c r="N1961" s="46"/>
      <c r="O1961" s="431"/>
      <c r="P1961" s="282">
        <f t="shared" si="60"/>
        <v>0</v>
      </c>
      <c r="Q1961" s="282">
        <f t="shared" si="61"/>
        <v>0</v>
      </c>
    </row>
    <row r="1962" spans="1:17" x14ac:dyDescent="0.35">
      <c r="A1962" s="84" t="s">
        <v>809</v>
      </c>
      <c r="B1962" s="10" t="s">
        <v>851</v>
      </c>
      <c r="C1962" s="284"/>
      <c r="D1962" s="365"/>
      <c r="E1962" s="365"/>
      <c r="F1962" s="283"/>
      <c r="G1962" s="283"/>
      <c r="H1962" s="159" t="s">
        <v>620</v>
      </c>
      <c r="I1962" s="44" t="s">
        <v>468</v>
      </c>
      <c r="J1962" s="45">
        <v>6</v>
      </c>
      <c r="K1962" s="289">
        <v>3500</v>
      </c>
      <c r="L1962" s="281">
        <f>J1962*K1962</f>
        <v>21000</v>
      </c>
      <c r="M1962" s="46">
        <v>6</v>
      </c>
      <c r="N1962" s="46">
        <v>6</v>
      </c>
      <c r="O1962" s="431">
        <v>3500</v>
      </c>
      <c r="P1962" s="282">
        <f t="shared" si="60"/>
        <v>21000</v>
      </c>
      <c r="Q1962" s="282">
        <f t="shared" si="61"/>
        <v>21000</v>
      </c>
    </row>
    <row r="1963" spans="1:17" ht="13" x14ac:dyDescent="0.35">
      <c r="A1963" s="84" t="s">
        <v>809</v>
      </c>
      <c r="B1963" s="10" t="s">
        <v>857</v>
      </c>
      <c r="C1963" s="284"/>
      <c r="D1963" s="365"/>
      <c r="E1963" s="365"/>
      <c r="F1963" s="283"/>
      <c r="G1963" s="283"/>
      <c r="H1963" s="43" t="s">
        <v>810</v>
      </c>
      <c r="I1963" s="44"/>
      <c r="J1963" s="45"/>
      <c r="K1963" s="289"/>
      <c r="L1963" s="281"/>
      <c r="M1963" s="46"/>
      <c r="N1963" s="46"/>
      <c r="O1963" s="431"/>
      <c r="P1963" s="282">
        <f t="shared" si="60"/>
        <v>0</v>
      </c>
      <c r="Q1963" s="282">
        <f t="shared" si="61"/>
        <v>0</v>
      </c>
    </row>
    <row r="1964" spans="1:17" ht="13" x14ac:dyDescent="0.35">
      <c r="A1964" s="84" t="s">
        <v>809</v>
      </c>
      <c r="B1964" s="10" t="s">
        <v>857</v>
      </c>
      <c r="C1964" s="284"/>
      <c r="D1964" s="365"/>
      <c r="E1964" s="365"/>
      <c r="F1964" s="283"/>
      <c r="G1964" s="283"/>
      <c r="H1964" s="43" t="s">
        <v>811</v>
      </c>
      <c r="I1964" s="44"/>
      <c r="J1964" s="45"/>
      <c r="K1964" s="289"/>
      <c r="L1964" s="290"/>
      <c r="M1964" s="46"/>
      <c r="N1964" s="46"/>
      <c r="O1964" s="431"/>
      <c r="P1964" s="291">
        <f t="shared" si="60"/>
        <v>0</v>
      </c>
      <c r="Q1964" s="291">
        <f t="shared" si="61"/>
        <v>0</v>
      </c>
    </row>
    <row r="1965" spans="1:17" ht="13" x14ac:dyDescent="0.35">
      <c r="A1965" s="84" t="s">
        <v>809</v>
      </c>
      <c r="B1965" s="10" t="s">
        <v>857</v>
      </c>
      <c r="C1965" s="284"/>
      <c r="D1965" s="365"/>
      <c r="E1965" s="365"/>
      <c r="F1965" s="283"/>
      <c r="G1965" s="283"/>
      <c r="H1965" s="43" t="s">
        <v>370</v>
      </c>
      <c r="I1965" s="44"/>
      <c r="J1965" s="45"/>
      <c r="K1965" s="289"/>
      <c r="L1965" s="290"/>
      <c r="M1965" s="46"/>
      <c r="N1965" s="46"/>
      <c r="O1965" s="431"/>
      <c r="P1965" s="291">
        <f t="shared" si="60"/>
        <v>0</v>
      </c>
      <c r="Q1965" s="291">
        <f t="shared" si="61"/>
        <v>0</v>
      </c>
    </row>
    <row r="1966" spans="1:17" ht="13" x14ac:dyDescent="0.35">
      <c r="A1966" s="84" t="s">
        <v>809</v>
      </c>
      <c r="B1966" s="10" t="s">
        <v>857</v>
      </c>
      <c r="C1966" s="372"/>
      <c r="D1966" s="368"/>
      <c r="E1966" s="368"/>
      <c r="F1966" s="164"/>
      <c r="G1966" s="165"/>
      <c r="H1966" s="153" t="s">
        <v>623</v>
      </c>
      <c r="I1966" s="166"/>
      <c r="J1966" s="167"/>
      <c r="K1966" s="169"/>
      <c r="L1966" s="170"/>
      <c r="M1966" s="168"/>
      <c r="N1966" s="168"/>
      <c r="O1966" s="420"/>
      <c r="P1966" s="171">
        <f t="shared" si="60"/>
        <v>0</v>
      </c>
      <c r="Q1966" s="171">
        <f t="shared" si="61"/>
        <v>0</v>
      </c>
    </row>
    <row r="1967" spans="1:17" ht="13" x14ac:dyDescent="0.35">
      <c r="A1967" s="84" t="s">
        <v>809</v>
      </c>
      <c r="B1967" s="10" t="s">
        <v>857</v>
      </c>
      <c r="C1967" s="372"/>
      <c r="D1967" s="368"/>
      <c r="E1967" s="368"/>
      <c r="F1967" s="173"/>
      <c r="G1967" s="174"/>
      <c r="H1967" s="154" t="s">
        <v>100</v>
      </c>
      <c r="I1967" s="175"/>
      <c r="J1967" s="176"/>
      <c r="K1967" s="178"/>
      <c r="L1967" s="179"/>
      <c r="M1967" s="177"/>
      <c r="N1967" s="177"/>
      <c r="O1967" s="421"/>
      <c r="P1967" s="180">
        <f t="shared" si="60"/>
        <v>0</v>
      </c>
      <c r="Q1967" s="180">
        <f t="shared" si="61"/>
        <v>0</v>
      </c>
    </row>
    <row r="1968" spans="1:17" ht="13" x14ac:dyDescent="0.35">
      <c r="A1968" s="84" t="s">
        <v>809</v>
      </c>
      <c r="B1968" s="10" t="s">
        <v>857</v>
      </c>
      <c r="C1968" s="372"/>
      <c r="D1968" s="368"/>
      <c r="E1968" s="368"/>
      <c r="F1968" s="173"/>
      <c r="G1968" s="174"/>
      <c r="H1968" s="155" t="s">
        <v>101</v>
      </c>
      <c r="I1968" s="175"/>
      <c r="J1968" s="176"/>
      <c r="K1968" s="178"/>
      <c r="L1968" s="179"/>
      <c r="M1968" s="177"/>
      <c r="N1968" s="177"/>
      <c r="O1968" s="421"/>
      <c r="P1968" s="180">
        <f t="shared" si="60"/>
        <v>0</v>
      </c>
      <c r="Q1968" s="180">
        <f t="shared" si="61"/>
        <v>0</v>
      </c>
    </row>
    <row r="1969" spans="1:17" ht="13" x14ac:dyDescent="0.35">
      <c r="A1969" s="84" t="s">
        <v>809</v>
      </c>
      <c r="B1969" s="10" t="s">
        <v>857</v>
      </c>
      <c r="C1969" s="373"/>
      <c r="D1969" s="369"/>
      <c r="E1969" s="369"/>
      <c r="F1969" s="293"/>
      <c r="G1969" s="293"/>
      <c r="H1969" s="57" t="s">
        <v>624</v>
      </c>
      <c r="I1969" s="110"/>
      <c r="J1969" s="182"/>
      <c r="K1969" s="295"/>
      <c r="L1969" s="296"/>
      <c r="M1969" s="183"/>
      <c r="N1969" s="183"/>
      <c r="O1969" s="432"/>
      <c r="P1969" s="297">
        <f t="shared" si="60"/>
        <v>0</v>
      </c>
      <c r="Q1969" s="297">
        <f t="shared" si="61"/>
        <v>0</v>
      </c>
    </row>
    <row r="1970" spans="1:17" ht="25" x14ac:dyDescent="0.35">
      <c r="A1970" s="84" t="s">
        <v>809</v>
      </c>
      <c r="B1970" s="10" t="s">
        <v>857</v>
      </c>
      <c r="C1970" s="373"/>
      <c r="D1970" s="369"/>
      <c r="E1970" s="369"/>
      <c r="F1970" s="293" t="s">
        <v>20</v>
      </c>
      <c r="G1970" s="293"/>
      <c r="H1970" s="60" t="s">
        <v>858</v>
      </c>
      <c r="I1970" s="110" t="s">
        <v>468</v>
      </c>
      <c r="J1970" s="182">
        <v>1</v>
      </c>
      <c r="K1970" s="295">
        <v>50000</v>
      </c>
      <c r="L1970" s="296">
        <f>J1970*K1970</f>
        <v>50000</v>
      </c>
      <c r="M1970" s="183">
        <v>1</v>
      </c>
      <c r="N1970" s="183">
        <v>1</v>
      </c>
      <c r="O1970" s="432">
        <v>50000</v>
      </c>
      <c r="P1970" s="297">
        <f t="shared" si="60"/>
        <v>50000</v>
      </c>
      <c r="Q1970" s="297">
        <f t="shared" si="61"/>
        <v>50000</v>
      </c>
    </row>
    <row r="1971" spans="1:17" x14ac:dyDescent="0.35">
      <c r="A1971" s="84" t="s">
        <v>809</v>
      </c>
      <c r="B1971" s="10" t="s">
        <v>857</v>
      </c>
      <c r="C1971" s="373"/>
      <c r="D1971" s="369"/>
      <c r="E1971" s="369"/>
      <c r="F1971" s="293" t="s">
        <v>26</v>
      </c>
      <c r="G1971" s="293"/>
      <c r="H1971" s="188" t="s">
        <v>626</v>
      </c>
      <c r="I1971" s="110" t="s">
        <v>627</v>
      </c>
      <c r="J1971" s="189">
        <v>0.05</v>
      </c>
      <c r="K1971" s="295">
        <f>K1970</f>
        <v>50000</v>
      </c>
      <c r="L1971" s="296">
        <f>J1971*K1971</f>
        <v>2500</v>
      </c>
      <c r="M1971" s="190">
        <v>0.05</v>
      </c>
      <c r="N1971" s="190">
        <v>0.05</v>
      </c>
      <c r="O1971" s="432">
        <f>O1970</f>
        <v>50000</v>
      </c>
      <c r="P1971" s="297">
        <f t="shared" si="60"/>
        <v>2500</v>
      </c>
      <c r="Q1971" s="297">
        <f t="shared" si="61"/>
        <v>2500</v>
      </c>
    </row>
    <row r="1972" spans="1:17" x14ac:dyDescent="0.35">
      <c r="A1972" s="84" t="s">
        <v>809</v>
      </c>
      <c r="B1972" s="10" t="s">
        <v>857</v>
      </c>
      <c r="C1972" s="373"/>
      <c r="D1972" s="369"/>
      <c r="E1972" s="369"/>
      <c r="F1972" s="293" t="s">
        <v>29</v>
      </c>
      <c r="G1972" s="293"/>
      <c r="H1972" s="188" t="s">
        <v>628</v>
      </c>
      <c r="I1972" s="110" t="s">
        <v>627</v>
      </c>
      <c r="J1972" s="189">
        <v>0.1</v>
      </c>
      <c r="K1972" s="295">
        <f>K1971</f>
        <v>50000</v>
      </c>
      <c r="L1972" s="296">
        <f>J1972*K1972</f>
        <v>5000</v>
      </c>
      <c r="M1972" s="190">
        <v>0.1</v>
      </c>
      <c r="N1972" s="190">
        <v>0.1</v>
      </c>
      <c r="O1972" s="432">
        <f>O1971</f>
        <v>50000</v>
      </c>
      <c r="P1972" s="297">
        <f t="shared" si="60"/>
        <v>5000</v>
      </c>
      <c r="Q1972" s="297">
        <f t="shared" si="61"/>
        <v>5000</v>
      </c>
    </row>
    <row r="1973" spans="1:17" ht="13" x14ac:dyDescent="0.35">
      <c r="A1973" s="84" t="s">
        <v>809</v>
      </c>
      <c r="B1973" s="10" t="s">
        <v>857</v>
      </c>
      <c r="C1973" s="373"/>
      <c r="D1973" s="369"/>
      <c r="E1973" s="369"/>
      <c r="F1973" s="293"/>
      <c r="G1973" s="293"/>
      <c r="H1973" s="57" t="s">
        <v>629</v>
      </c>
      <c r="I1973" s="110"/>
      <c r="J1973" s="182"/>
      <c r="K1973" s="295"/>
      <c r="L1973" s="296"/>
      <c r="M1973" s="183"/>
      <c r="N1973" s="183"/>
      <c r="O1973" s="432"/>
      <c r="P1973" s="297">
        <f t="shared" si="60"/>
        <v>0</v>
      </c>
      <c r="Q1973" s="297">
        <f t="shared" si="61"/>
        <v>0</v>
      </c>
    </row>
    <row r="1974" spans="1:17" ht="25" x14ac:dyDescent="0.35">
      <c r="A1974" s="84" t="s">
        <v>809</v>
      </c>
      <c r="B1974" s="10" t="s">
        <v>857</v>
      </c>
      <c r="C1974" s="373"/>
      <c r="D1974" s="369"/>
      <c r="E1974" s="369"/>
      <c r="F1974" s="293" t="s">
        <v>32</v>
      </c>
      <c r="G1974" s="293"/>
      <c r="H1974" s="67" t="s">
        <v>859</v>
      </c>
      <c r="I1974" s="110" t="s">
        <v>468</v>
      </c>
      <c r="J1974" s="182">
        <v>1</v>
      </c>
      <c r="K1974" s="295">
        <v>30000</v>
      </c>
      <c r="L1974" s="296">
        <f>J1974*K1974</f>
        <v>30000</v>
      </c>
      <c r="M1974" s="183">
        <v>1</v>
      </c>
      <c r="N1974" s="183">
        <v>1</v>
      </c>
      <c r="O1974" s="432">
        <v>30000</v>
      </c>
      <c r="P1974" s="297">
        <f t="shared" si="60"/>
        <v>30000</v>
      </c>
      <c r="Q1974" s="297">
        <f t="shared" si="61"/>
        <v>30000</v>
      </c>
    </row>
    <row r="1975" spans="1:17" x14ac:dyDescent="0.35">
      <c r="A1975" s="84" t="s">
        <v>809</v>
      </c>
      <c r="B1975" s="10" t="s">
        <v>857</v>
      </c>
      <c r="C1975" s="373"/>
      <c r="D1975" s="369"/>
      <c r="E1975" s="369"/>
      <c r="F1975" s="293" t="s">
        <v>36</v>
      </c>
      <c r="G1975" s="293"/>
      <c r="H1975" s="188" t="s">
        <v>626</v>
      </c>
      <c r="I1975" s="110" t="s">
        <v>627</v>
      </c>
      <c r="J1975" s="189">
        <v>0.05</v>
      </c>
      <c r="K1975" s="295">
        <f>K1974</f>
        <v>30000</v>
      </c>
      <c r="L1975" s="296">
        <f>J1975*K1975</f>
        <v>1500</v>
      </c>
      <c r="M1975" s="190">
        <v>0.05</v>
      </c>
      <c r="N1975" s="190">
        <v>0.05</v>
      </c>
      <c r="O1975" s="432">
        <f>O1974</f>
        <v>30000</v>
      </c>
      <c r="P1975" s="297">
        <f t="shared" si="60"/>
        <v>1500</v>
      </c>
      <c r="Q1975" s="297">
        <f t="shared" si="61"/>
        <v>1500</v>
      </c>
    </row>
    <row r="1976" spans="1:17" x14ac:dyDescent="0.35">
      <c r="A1976" s="84" t="s">
        <v>809</v>
      </c>
      <c r="B1976" s="10" t="s">
        <v>857</v>
      </c>
      <c r="C1976" s="373"/>
      <c r="D1976" s="369"/>
      <c r="E1976" s="369"/>
      <c r="F1976" s="293" t="s">
        <v>39</v>
      </c>
      <c r="G1976" s="293"/>
      <c r="H1976" s="188" t="s">
        <v>628</v>
      </c>
      <c r="I1976" s="110" t="s">
        <v>627</v>
      </c>
      <c r="J1976" s="189">
        <v>0.1</v>
      </c>
      <c r="K1976" s="295">
        <f>K1975</f>
        <v>30000</v>
      </c>
      <c r="L1976" s="296">
        <f>J1976*K1976</f>
        <v>3000</v>
      </c>
      <c r="M1976" s="190">
        <v>0.1</v>
      </c>
      <c r="N1976" s="190">
        <v>0.1</v>
      </c>
      <c r="O1976" s="432">
        <f>O1975</f>
        <v>30000</v>
      </c>
      <c r="P1976" s="297">
        <f t="shared" si="60"/>
        <v>3000</v>
      </c>
      <c r="Q1976" s="297">
        <f t="shared" si="61"/>
        <v>3000</v>
      </c>
    </row>
    <row r="1977" spans="1:17" ht="13" x14ac:dyDescent="0.35">
      <c r="A1977" s="84" t="s">
        <v>860</v>
      </c>
      <c r="B1977" s="84" t="s">
        <v>861</v>
      </c>
      <c r="C1977" s="374"/>
      <c r="D1977" s="370"/>
      <c r="E1977" s="370"/>
      <c r="F1977" s="300"/>
      <c r="G1977" s="300"/>
      <c r="H1977" s="262" t="s">
        <v>862</v>
      </c>
      <c r="I1977" s="78"/>
      <c r="J1977" s="79"/>
      <c r="K1977" s="301"/>
      <c r="L1977" s="353"/>
      <c r="M1977" s="80"/>
      <c r="N1977" s="80"/>
      <c r="O1977" s="433"/>
      <c r="P1977" s="354">
        <f t="shared" si="60"/>
        <v>0</v>
      </c>
      <c r="Q1977" s="354">
        <f t="shared" si="61"/>
        <v>0</v>
      </c>
    </row>
    <row r="1978" spans="1:17" ht="26" x14ac:dyDescent="0.35">
      <c r="A1978" s="84" t="s">
        <v>860</v>
      </c>
      <c r="B1978" s="84" t="s">
        <v>861</v>
      </c>
      <c r="C1978" s="374"/>
      <c r="D1978" s="370"/>
      <c r="E1978" s="370"/>
      <c r="F1978" s="300"/>
      <c r="G1978" s="300"/>
      <c r="H1978" s="355" t="s">
        <v>863</v>
      </c>
      <c r="I1978" s="78"/>
      <c r="J1978" s="79"/>
      <c r="K1978" s="301"/>
      <c r="L1978" s="353"/>
      <c r="M1978" s="80"/>
      <c r="N1978" s="80"/>
      <c r="O1978" s="433"/>
      <c r="P1978" s="354">
        <f t="shared" si="60"/>
        <v>0</v>
      </c>
      <c r="Q1978" s="354">
        <f t="shared" si="61"/>
        <v>0</v>
      </c>
    </row>
    <row r="1979" spans="1:17" ht="13" x14ac:dyDescent="0.35">
      <c r="A1979" s="84" t="s">
        <v>860</v>
      </c>
      <c r="B1979" s="84" t="s">
        <v>861</v>
      </c>
      <c r="C1979" s="374"/>
      <c r="D1979" s="370"/>
      <c r="E1979" s="370"/>
      <c r="F1979" s="300"/>
      <c r="G1979" s="304"/>
      <c r="H1979" s="262" t="s">
        <v>97</v>
      </c>
      <c r="I1979" s="78"/>
      <c r="J1979" s="79"/>
      <c r="K1979" s="301"/>
      <c r="L1979" s="353"/>
      <c r="M1979" s="80"/>
      <c r="N1979" s="80"/>
      <c r="O1979" s="433"/>
      <c r="P1979" s="354">
        <f t="shared" si="60"/>
        <v>0</v>
      </c>
      <c r="Q1979" s="354">
        <f t="shared" si="61"/>
        <v>0</v>
      </c>
    </row>
    <row r="1980" spans="1:17" ht="13" x14ac:dyDescent="0.35">
      <c r="A1980" s="84" t="s">
        <v>860</v>
      </c>
      <c r="B1980" s="84" t="s">
        <v>861</v>
      </c>
      <c r="C1980" s="374"/>
      <c r="D1980" s="370"/>
      <c r="E1980" s="370"/>
      <c r="F1980" s="300"/>
      <c r="G1980" s="304"/>
      <c r="H1980" s="262" t="s">
        <v>864</v>
      </c>
      <c r="I1980" s="78"/>
      <c r="J1980" s="79"/>
      <c r="K1980" s="301"/>
      <c r="L1980" s="353"/>
      <c r="M1980" s="80"/>
      <c r="N1980" s="80"/>
      <c r="O1980" s="433"/>
      <c r="P1980" s="354">
        <f t="shared" si="60"/>
        <v>0</v>
      </c>
      <c r="Q1980" s="354">
        <f t="shared" si="61"/>
        <v>0</v>
      </c>
    </row>
    <row r="1981" spans="1:17" ht="13" x14ac:dyDescent="0.35">
      <c r="A1981" s="84" t="s">
        <v>860</v>
      </c>
      <c r="B1981" s="84" t="s">
        <v>861</v>
      </c>
      <c r="C1981" s="374"/>
      <c r="D1981" s="370"/>
      <c r="E1981" s="370"/>
      <c r="F1981" s="300"/>
      <c r="G1981" s="300"/>
      <c r="H1981" s="87" t="s">
        <v>100</v>
      </c>
      <c r="I1981" s="78"/>
      <c r="J1981" s="79"/>
      <c r="K1981" s="301"/>
      <c r="L1981" s="353"/>
      <c r="M1981" s="80"/>
      <c r="N1981" s="80"/>
      <c r="O1981" s="433"/>
      <c r="P1981" s="354">
        <f t="shared" si="60"/>
        <v>0</v>
      </c>
      <c r="Q1981" s="354">
        <f t="shared" si="61"/>
        <v>0</v>
      </c>
    </row>
    <row r="1982" spans="1:17" x14ac:dyDescent="0.35">
      <c r="A1982" s="84" t="s">
        <v>860</v>
      </c>
      <c r="B1982" s="84" t="s">
        <v>861</v>
      </c>
      <c r="C1982" s="374"/>
      <c r="D1982" s="370"/>
      <c r="E1982" s="370"/>
      <c r="F1982" s="300"/>
      <c r="G1982" s="300"/>
      <c r="H1982" s="264" t="s">
        <v>101</v>
      </c>
      <c r="I1982" s="78"/>
      <c r="J1982" s="79"/>
      <c r="K1982" s="301"/>
      <c r="L1982" s="353"/>
      <c r="M1982" s="80"/>
      <c r="N1982" s="80"/>
      <c r="O1982" s="433"/>
      <c r="P1982" s="354">
        <f t="shared" si="60"/>
        <v>0</v>
      </c>
      <c r="Q1982" s="354">
        <f t="shared" si="61"/>
        <v>0</v>
      </c>
    </row>
    <row r="1983" spans="1:17" ht="13" x14ac:dyDescent="0.35">
      <c r="A1983" s="84" t="s">
        <v>860</v>
      </c>
      <c r="B1983" s="84" t="s">
        <v>861</v>
      </c>
      <c r="C1983" s="374"/>
      <c r="D1983" s="370"/>
      <c r="E1983" s="370"/>
      <c r="F1983" s="300"/>
      <c r="G1983" s="300"/>
      <c r="H1983" s="87" t="s">
        <v>102</v>
      </c>
      <c r="I1983" s="78"/>
      <c r="J1983" s="79"/>
      <c r="K1983" s="301"/>
      <c r="L1983" s="353"/>
      <c r="M1983" s="80"/>
      <c r="N1983" s="80"/>
      <c r="O1983" s="433"/>
      <c r="P1983" s="354">
        <f t="shared" si="60"/>
        <v>0</v>
      </c>
      <c r="Q1983" s="354">
        <f t="shared" si="61"/>
        <v>0</v>
      </c>
    </row>
    <row r="1984" spans="1:17" ht="25" x14ac:dyDescent="0.35">
      <c r="A1984" s="84" t="s">
        <v>860</v>
      </c>
      <c r="B1984" s="84" t="s">
        <v>861</v>
      </c>
      <c r="C1984" s="374"/>
      <c r="D1984" s="370"/>
      <c r="E1984" s="370"/>
      <c r="F1984" s="300"/>
      <c r="G1984" s="300"/>
      <c r="H1984" s="88" t="s">
        <v>865</v>
      </c>
      <c r="I1984" s="78"/>
      <c r="J1984" s="79"/>
      <c r="K1984" s="301"/>
      <c r="L1984" s="353"/>
      <c r="M1984" s="80"/>
      <c r="N1984" s="80"/>
      <c r="O1984" s="433"/>
      <c r="P1984" s="354">
        <f t="shared" si="60"/>
        <v>0</v>
      </c>
      <c r="Q1984" s="354">
        <f t="shared" si="61"/>
        <v>0</v>
      </c>
    </row>
    <row r="1985" spans="1:17" ht="25" x14ac:dyDescent="0.35">
      <c r="A1985" s="84" t="s">
        <v>860</v>
      </c>
      <c r="B1985" s="84" t="s">
        <v>861</v>
      </c>
      <c r="C1985" s="374"/>
      <c r="D1985" s="370"/>
      <c r="E1985" s="370"/>
      <c r="F1985" s="300"/>
      <c r="G1985" s="300"/>
      <c r="H1985" s="88" t="s">
        <v>866</v>
      </c>
      <c r="I1985" s="78"/>
      <c r="J1985" s="79"/>
      <c r="K1985" s="301"/>
      <c r="L1985" s="353"/>
      <c r="M1985" s="80"/>
      <c r="N1985" s="80"/>
      <c r="O1985" s="433"/>
      <c r="P1985" s="354">
        <f t="shared" si="60"/>
        <v>0</v>
      </c>
      <c r="Q1985" s="354">
        <f t="shared" si="61"/>
        <v>0</v>
      </c>
    </row>
    <row r="1986" spans="1:17" ht="37.5" x14ac:dyDescent="0.35">
      <c r="A1986" s="84" t="s">
        <v>860</v>
      </c>
      <c r="B1986" s="84" t="s">
        <v>861</v>
      </c>
      <c r="C1986" s="374"/>
      <c r="D1986" s="370"/>
      <c r="E1986" s="370"/>
      <c r="F1986" s="300"/>
      <c r="G1986" s="300"/>
      <c r="H1986" s="88" t="s">
        <v>867</v>
      </c>
      <c r="I1986" s="78"/>
      <c r="J1986" s="79"/>
      <c r="K1986" s="301"/>
      <c r="L1986" s="353"/>
      <c r="M1986" s="80"/>
      <c r="N1986" s="80"/>
      <c r="O1986" s="433"/>
      <c r="P1986" s="354">
        <f t="shared" si="60"/>
        <v>0</v>
      </c>
      <c r="Q1986" s="354">
        <f t="shared" si="61"/>
        <v>0</v>
      </c>
    </row>
    <row r="1987" spans="1:17" ht="62.5" x14ac:dyDescent="0.35">
      <c r="A1987" s="84" t="s">
        <v>860</v>
      </c>
      <c r="B1987" s="84" t="s">
        <v>861</v>
      </c>
      <c r="C1987" s="374"/>
      <c r="D1987" s="370"/>
      <c r="E1987" s="370"/>
      <c r="F1987" s="300"/>
      <c r="G1987" s="300"/>
      <c r="H1987" s="88" t="s">
        <v>868</v>
      </c>
      <c r="I1987" s="78"/>
      <c r="J1987" s="79"/>
      <c r="K1987" s="301"/>
      <c r="L1987" s="353"/>
      <c r="M1987" s="80"/>
      <c r="N1987" s="80"/>
      <c r="O1987" s="433"/>
      <c r="P1987" s="354">
        <f t="shared" si="60"/>
        <v>0</v>
      </c>
      <c r="Q1987" s="354">
        <f t="shared" si="61"/>
        <v>0</v>
      </c>
    </row>
    <row r="1988" spans="1:17" ht="75" x14ac:dyDescent="0.35">
      <c r="A1988" s="84" t="s">
        <v>860</v>
      </c>
      <c r="B1988" s="84" t="s">
        <v>861</v>
      </c>
      <c r="C1988" s="374"/>
      <c r="D1988" s="370"/>
      <c r="E1988" s="370"/>
      <c r="F1988" s="300"/>
      <c r="G1988" s="300"/>
      <c r="H1988" s="88" t="s">
        <v>769</v>
      </c>
      <c r="I1988" s="78"/>
      <c r="J1988" s="79"/>
      <c r="K1988" s="301"/>
      <c r="L1988" s="353"/>
      <c r="M1988" s="80"/>
      <c r="N1988" s="80"/>
      <c r="O1988" s="433"/>
      <c r="P1988" s="354">
        <f t="shared" si="60"/>
        <v>0</v>
      </c>
      <c r="Q1988" s="354">
        <f t="shared" si="61"/>
        <v>0</v>
      </c>
    </row>
    <row r="1989" spans="1:17" ht="25" x14ac:dyDescent="0.35">
      <c r="A1989" s="84" t="s">
        <v>860</v>
      </c>
      <c r="B1989" s="84" t="s">
        <v>861</v>
      </c>
      <c r="C1989" s="374"/>
      <c r="D1989" s="370"/>
      <c r="E1989" s="370"/>
      <c r="F1989" s="300"/>
      <c r="G1989" s="300"/>
      <c r="H1989" s="88" t="s">
        <v>869</v>
      </c>
      <c r="I1989" s="78"/>
      <c r="J1989" s="79"/>
      <c r="K1989" s="301"/>
      <c r="L1989" s="353"/>
      <c r="M1989" s="80"/>
      <c r="N1989" s="80"/>
      <c r="O1989" s="433"/>
      <c r="P1989" s="354">
        <f t="shared" si="60"/>
        <v>0</v>
      </c>
      <c r="Q1989" s="354">
        <f t="shared" si="61"/>
        <v>0</v>
      </c>
    </row>
    <row r="1990" spans="1:17" ht="25" x14ac:dyDescent="0.35">
      <c r="A1990" s="84" t="s">
        <v>860</v>
      </c>
      <c r="B1990" s="84" t="s">
        <v>861</v>
      </c>
      <c r="C1990" s="374"/>
      <c r="D1990" s="370"/>
      <c r="E1990" s="370"/>
      <c r="F1990" s="300"/>
      <c r="G1990" s="300"/>
      <c r="H1990" s="88" t="s">
        <v>870</v>
      </c>
      <c r="I1990" s="78"/>
      <c r="J1990" s="79"/>
      <c r="K1990" s="301"/>
      <c r="L1990" s="353"/>
      <c r="M1990" s="80"/>
      <c r="N1990" s="80"/>
      <c r="O1990" s="433"/>
      <c r="P1990" s="354">
        <f t="shared" si="60"/>
        <v>0</v>
      </c>
      <c r="Q1990" s="354">
        <f t="shared" si="61"/>
        <v>0</v>
      </c>
    </row>
    <row r="1991" spans="1:17" ht="25" x14ac:dyDescent="0.35">
      <c r="A1991" s="84" t="s">
        <v>860</v>
      </c>
      <c r="B1991" s="84" t="s">
        <v>861</v>
      </c>
      <c r="C1991" s="374"/>
      <c r="D1991" s="370"/>
      <c r="E1991" s="370"/>
      <c r="F1991" s="300"/>
      <c r="G1991" s="300"/>
      <c r="H1991" s="88" t="s">
        <v>871</v>
      </c>
      <c r="I1991" s="78"/>
      <c r="J1991" s="79"/>
      <c r="K1991" s="301"/>
      <c r="L1991" s="353"/>
      <c r="M1991" s="80"/>
      <c r="N1991" s="80"/>
      <c r="O1991" s="433"/>
      <c r="P1991" s="354">
        <f t="shared" si="60"/>
        <v>0</v>
      </c>
      <c r="Q1991" s="354">
        <f t="shared" si="61"/>
        <v>0</v>
      </c>
    </row>
    <row r="1992" spans="1:17" ht="37.5" x14ac:dyDescent="0.35">
      <c r="A1992" s="84" t="s">
        <v>860</v>
      </c>
      <c r="B1992" s="84" t="s">
        <v>861</v>
      </c>
      <c r="C1992" s="374"/>
      <c r="D1992" s="370"/>
      <c r="E1992" s="370"/>
      <c r="F1992" s="300"/>
      <c r="G1992" s="300"/>
      <c r="H1992" s="88" t="s">
        <v>872</v>
      </c>
      <c r="I1992" s="78"/>
      <c r="J1992" s="79"/>
      <c r="K1992" s="301"/>
      <c r="L1992" s="353"/>
      <c r="M1992" s="80"/>
      <c r="N1992" s="80"/>
      <c r="O1992" s="433"/>
      <c r="P1992" s="354">
        <f t="shared" si="60"/>
        <v>0</v>
      </c>
      <c r="Q1992" s="354">
        <f t="shared" si="61"/>
        <v>0</v>
      </c>
    </row>
    <row r="1993" spans="1:17" ht="37.5" x14ac:dyDescent="0.35">
      <c r="A1993" s="84" t="s">
        <v>860</v>
      </c>
      <c r="B1993" s="84" t="s">
        <v>861</v>
      </c>
      <c r="C1993" s="374"/>
      <c r="D1993" s="370"/>
      <c r="E1993" s="370"/>
      <c r="F1993" s="300"/>
      <c r="G1993" s="300"/>
      <c r="H1993" s="88" t="s">
        <v>873</v>
      </c>
      <c r="I1993" s="78"/>
      <c r="J1993" s="79"/>
      <c r="K1993" s="301"/>
      <c r="L1993" s="353"/>
      <c r="M1993" s="80"/>
      <c r="N1993" s="80"/>
      <c r="O1993" s="433"/>
      <c r="P1993" s="354">
        <f t="shared" si="60"/>
        <v>0</v>
      </c>
      <c r="Q1993" s="354">
        <f t="shared" si="61"/>
        <v>0</v>
      </c>
    </row>
    <row r="1994" spans="1:17" ht="75" x14ac:dyDescent="0.35">
      <c r="A1994" s="84" t="s">
        <v>860</v>
      </c>
      <c r="B1994" s="84" t="s">
        <v>861</v>
      </c>
      <c r="C1994" s="374"/>
      <c r="D1994" s="370"/>
      <c r="E1994" s="370"/>
      <c r="F1994" s="300"/>
      <c r="G1994" s="300"/>
      <c r="H1994" s="88" t="s">
        <v>874</v>
      </c>
      <c r="I1994" s="78"/>
      <c r="J1994" s="308"/>
      <c r="K1994" s="301"/>
      <c r="L1994" s="353"/>
      <c r="M1994" s="309"/>
      <c r="N1994" s="309"/>
      <c r="O1994" s="433"/>
      <c r="P1994" s="354">
        <f t="shared" ref="P1994:P2017" si="62">O1994*M1994</f>
        <v>0</v>
      </c>
      <c r="Q1994" s="354">
        <f t="shared" ref="Q1994:Q2017" si="63">O1994*N1994</f>
        <v>0</v>
      </c>
    </row>
    <row r="1995" spans="1:17" ht="25" x14ac:dyDescent="0.35">
      <c r="A1995" s="84" t="s">
        <v>860</v>
      </c>
      <c r="B1995" s="84" t="s">
        <v>861</v>
      </c>
      <c r="C1995" s="374"/>
      <c r="D1995" s="370"/>
      <c r="E1995" s="370"/>
      <c r="F1995" s="300"/>
      <c r="G1995" s="300"/>
      <c r="H1995" s="88" t="s">
        <v>875</v>
      </c>
      <c r="I1995" s="78"/>
      <c r="J1995" s="79"/>
      <c r="K1995" s="301"/>
      <c r="L1995" s="353"/>
      <c r="M1995" s="80"/>
      <c r="N1995" s="80"/>
      <c r="O1995" s="433"/>
      <c r="P1995" s="354">
        <f t="shared" si="62"/>
        <v>0</v>
      </c>
      <c r="Q1995" s="354">
        <f t="shared" si="63"/>
        <v>0</v>
      </c>
    </row>
    <row r="1996" spans="1:17" ht="62.5" x14ac:dyDescent="0.35">
      <c r="A1996" s="84" t="s">
        <v>860</v>
      </c>
      <c r="B1996" s="84" t="s">
        <v>861</v>
      </c>
      <c r="C1996" s="374"/>
      <c r="D1996" s="370"/>
      <c r="E1996" s="370"/>
      <c r="F1996" s="300"/>
      <c r="G1996" s="300"/>
      <c r="H1996" s="88" t="s">
        <v>876</v>
      </c>
      <c r="I1996" s="78"/>
      <c r="J1996" s="79"/>
      <c r="K1996" s="301"/>
      <c r="L1996" s="353"/>
      <c r="M1996" s="80"/>
      <c r="N1996" s="80"/>
      <c r="O1996" s="433"/>
      <c r="P1996" s="354">
        <f t="shared" si="62"/>
        <v>0</v>
      </c>
      <c r="Q1996" s="354">
        <f t="shared" si="63"/>
        <v>0</v>
      </c>
    </row>
    <row r="1997" spans="1:17" ht="25" x14ac:dyDescent="0.35">
      <c r="A1997" s="84" t="s">
        <v>860</v>
      </c>
      <c r="B1997" s="84" t="s">
        <v>861</v>
      </c>
      <c r="C1997" s="374"/>
      <c r="D1997" s="370"/>
      <c r="E1997" s="370"/>
      <c r="F1997" s="300"/>
      <c r="G1997" s="300"/>
      <c r="H1997" s="88" t="s">
        <v>877</v>
      </c>
      <c r="I1997" s="78"/>
      <c r="J1997" s="308"/>
      <c r="K1997" s="301"/>
      <c r="L1997" s="353"/>
      <c r="M1997" s="309"/>
      <c r="N1997" s="309"/>
      <c r="O1997" s="433"/>
      <c r="P1997" s="354">
        <f t="shared" si="62"/>
        <v>0</v>
      </c>
      <c r="Q1997" s="354">
        <f t="shared" si="63"/>
        <v>0</v>
      </c>
    </row>
    <row r="1998" spans="1:17" ht="50" x14ac:dyDescent="0.35">
      <c r="A1998" s="84" t="s">
        <v>860</v>
      </c>
      <c r="B1998" s="84" t="s">
        <v>861</v>
      </c>
      <c r="C1998" s="374"/>
      <c r="D1998" s="370"/>
      <c r="E1998" s="370"/>
      <c r="F1998" s="300"/>
      <c r="G1998" s="300"/>
      <c r="H1998" s="88" t="s">
        <v>878</v>
      </c>
      <c r="I1998" s="78"/>
      <c r="J1998" s="79"/>
      <c r="K1998" s="301"/>
      <c r="L1998" s="353"/>
      <c r="M1998" s="80"/>
      <c r="N1998" s="80"/>
      <c r="O1998" s="433"/>
      <c r="P1998" s="354">
        <f t="shared" si="62"/>
        <v>0</v>
      </c>
      <c r="Q1998" s="354">
        <f t="shared" si="63"/>
        <v>0</v>
      </c>
    </row>
    <row r="1999" spans="1:17" ht="25" x14ac:dyDescent="0.35">
      <c r="A1999" s="84" t="s">
        <v>860</v>
      </c>
      <c r="B1999" s="84" t="s">
        <v>861</v>
      </c>
      <c r="C1999" s="374"/>
      <c r="D1999" s="370"/>
      <c r="E1999" s="370"/>
      <c r="F1999" s="300"/>
      <c r="G1999" s="300"/>
      <c r="H1999" s="88" t="s">
        <v>879</v>
      </c>
      <c r="I1999" s="78"/>
      <c r="J1999" s="79"/>
      <c r="K1999" s="301"/>
      <c r="L1999" s="353"/>
      <c r="M1999" s="80"/>
      <c r="N1999" s="80"/>
      <c r="O1999" s="433"/>
      <c r="P1999" s="354">
        <f t="shared" si="62"/>
        <v>0</v>
      </c>
      <c r="Q1999" s="354">
        <f t="shared" si="63"/>
        <v>0</v>
      </c>
    </row>
    <row r="2000" spans="1:17" ht="25" x14ac:dyDescent="0.35">
      <c r="A2000" s="84" t="s">
        <v>860</v>
      </c>
      <c r="B2000" s="84" t="s">
        <v>861</v>
      </c>
      <c r="C2000" s="374"/>
      <c r="D2000" s="370"/>
      <c r="E2000" s="370"/>
      <c r="F2000" s="300"/>
      <c r="G2000" s="300"/>
      <c r="H2000" s="88" t="s">
        <v>880</v>
      </c>
      <c r="I2000" s="78"/>
      <c r="J2000" s="308"/>
      <c r="K2000" s="301"/>
      <c r="L2000" s="353"/>
      <c r="M2000" s="309"/>
      <c r="N2000" s="309"/>
      <c r="O2000" s="433"/>
      <c r="P2000" s="354">
        <f t="shared" si="62"/>
        <v>0</v>
      </c>
      <c r="Q2000" s="354">
        <f t="shared" si="63"/>
        <v>0</v>
      </c>
    </row>
    <row r="2001" spans="1:17" ht="100" x14ac:dyDescent="0.35">
      <c r="A2001" s="84" t="s">
        <v>860</v>
      </c>
      <c r="B2001" s="84" t="s">
        <v>861</v>
      </c>
      <c r="C2001" s="374"/>
      <c r="D2001" s="370"/>
      <c r="E2001" s="370"/>
      <c r="F2001" s="300"/>
      <c r="G2001" s="300"/>
      <c r="H2001" s="88" t="s">
        <v>881</v>
      </c>
      <c r="I2001" s="78"/>
      <c r="J2001" s="79"/>
      <c r="K2001" s="301"/>
      <c r="L2001" s="353"/>
      <c r="M2001" s="80"/>
      <c r="N2001" s="80"/>
      <c r="O2001" s="433"/>
      <c r="P2001" s="354">
        <f t="shared" si="62"/>
        <v>0</v>
      </c>
      <c r="Q2001" s="354">
        <f t="shared" si="63"/>
        <v>0</v>
      </c>
    </row>
    <row r="2002" spans="1:17" ht="37.5" x14ac:dyDescent="0.35">
      <c r="A2002" s="84" t="s">
        <v>860</v>
      </c>
      <c r="B2002" s="84" t="s">
        <v>861</v>
      </c>
      <c r="C2002" s="374"/>
      <c r="D2002" s="370"/>
      <c r="E2002" s="370"/>
      <c r="F2002" s="300"/>
      <c r="G2002" s="300"/>
      <c r="H2002" s="88" t="s">
        <v>882</v>
      </c>
      <c r="I2002" s="78"/>
      <c r="J2002" s="79"/>
      <c r="K2002" s="301"/>
      <c r="L2002" s="353"/>
      <c r="M2002" s="80"/>
      <c r="N2002" s="80"/>
      <c r="O2002" s="433"/>
      <c r="P2002" s="354">
        <f t="shared" si="62"/>
        <v>0</v>
      </c>
      <c r="Q2002" s="354">
        <f t="shared" si="63"/>
        <v>0</v>
      </c>
    </row>
    <row r="2003" spans="1:17" ht="75" x14ac:dyDescent="0.35">
      <c r="A2003" s="84" t="s">
        <v>860</v>
      </c>
      <c r="B2003" s="84" t="s">
        <v>861</v>
      </c>
      <c r="C2003" s="374"/>
      <c r="D2003" s="370"/>
      <c r="E2003" s="370"/>
      <c r="F2003" s="300"/>
      <c r="G2003" s="300"/>
      <c r="H2003" s="88" t="s">
        <v>883</v>
      </c>
      <c r="I2003" s="78"/>
      <c r="J2003" s="308"/>
      <c r="K2003" s="301"/>
      <c r="L2003" s="353"/>
      <c r="M2003" s="309"/>
      <c r="N2003" s="309"/>
      <c r="O2003" s="433"/>
      <c r="P2003" s="354">
        <f t="shared" si="62"/>
        <v>0</v>
      </c>
      <c r="Q2003" s="354">
        <f t="shared" si="63"/>
        <v>0</v>
      </c>
    </row>
    <row r="2004" spans="1:17" ht="50" x14ac:dyDescent="0.35">
      <c r="A2004" s="84" t="s">
        <v>860</v>
      </c>
      <c r="B2004" s="84" t="s">
        <v>861</v>
      </c>
      <c r="C2004" s="374"/>
      <c r="D2004" s="370"/>
      <c r="E2004" s="370"/>
      <c r="F2004" s="300"/>
      <c r="G2004" s="300"/>
      <c r="H2004" s="88" t="s">
        <v>884</v>
      </c>
      <c r="I2004" s="78"/>
      <c r="J2004" s="79"/>
      <c r="K2004" s="301"/>
      <c r="L2004" s="353"/>
      <c r="M2004" s="80"/>
      <c r="N2004" s="80"/>
      <c r="O2004" s="433"/>
      <c r="P2004" s="354">
        <f t="shared" si="62"/>
        <v>0</v>
      </c>
      <c r="Q2004" s="354">
        <f t="shared" si="63"/>
        <v>0</v>
      </c>
    </row>
    <row r="2005" spans="1:17" ht="50" x14ac:dyDescent="0.35">
      <c r="A2005" s="84" t="s">
        <v>860</v>
      </c>
      <c r="B2005" s="84" t="s">
        <v>861</v>
      </c>
      <c r="C2005" s="374"/>
      <c r="D2005" s="370"/>
      <c r="E2005" s="370"/>
      <c r="F2005" s="300"/>
      <c r="G2005" s="300"/>
      <c r="H2005" s="88" t="s">
        <v>885</v>
      </c>
      <c r="I2005" s="78"/>
      <c r="J2005" s="79"/>
      <c r="K2005" s="287"/>
      <c r="L2005" s="353"/>
      <c r="M2005" s="80"/>
      <c r="N2005" s="80"/>
      <c r="O2005" s="430"/>
      <c r="P2005" s="354">
        <f t="shared" si="62"/>
        <v>0</v>
      </c>
      <c r="Q2005" s="354">
        <f t="shared" si="63"/>
        <v>0</v>
      </c>
    </row>
    <row r="2006" spans="1:17" x14ac:dyDescent="0.35">
      <c r="A2006" s="84" t="s">
        <v>860</v>
      </c>
      <c r="B2006" s="84" t="s">
        <v>861</v>
      </c>
      <c r="C2006" s="374"/>
      <c r="D2006" s="370"/>
      <c r="E2006" s="370"/>
      <c r="F2006" s="300"/>
      <c r="G2006" s="300"/>
      <c r="H2006" s="88" t="s">
        <v>886</v>
      </c>
      <c r="I2006" s="78"/>
      <c r="J2006" s="308"/>
      <c r="K2006" s="301"/>
      <c r="L2006" s="353"/>
      <c r="M2006" s="309"/>
      <c r="N2006" s="309"/>
      <c r="O2006" s="433"/>
      <c r="P2006" s="354">
        <f t="shared" si="62"/>
        <v>0</v>
      </c>
      <c r="Q2006" s="354">
        <f t="shared" si="63"/>
        <v>0</v>
      </c>
    </row>
    <row r="2007" spans="1:17" ht="50" x14ac:dyDescent="0.35">
      <c r="A2007" s="84" t="s">
        <v>860</v>
      </c>
      <c r="B2007" s="84" t="s">
        <v>861</v>
      </c>
      <c r="C2007" s="374"/>
      <c r="D2007" s="370"/>
      <c r="E2007" s="370"/>
      <c r="F2007" s="300"/>
      <c r="G2007" s="300"/>
      <c r="H2007" s="88" t="s">
        <v>887</v>
      </c>
      <c r="I2007" s="78"/>
      <c r="J2007" s="79"/>
      <c r="K2007" s="301"/>
      <c r="L2007" s="353"/>
      <c r="M2007" s="80"/>
      <c r="N2007" s="80"/>
      <c r="O2007" s="433"/>
      <c r="P2007" s="354">
        <f t="shared" si="62"/>
        <v>0</v>
      </c>
      <c r="Q2007" s="354">
        <f t="shared" si="63"/>
        <v>0</v>
      </c>
    </row>
    <row r="2008" spans="1:17" ht="37.5" x14ac:dyDescent="0.35">
      <c r="A2008" s="84" t="s">
        <v>860</v>
      </c>
      <c r="B2008" s="84" t="s">
        <v>861</v>
      </c>
      <c r="C2008" s="374"/>
      <c r="D2008" s="370"/>
      <c r="E2008" s="370"/>
      <c r="F2008" s="300"/>
      <c r="G2008" s="300"/>
      <c r="H2008" s="88" t="s">
        <v>888</v>
      </c>
      <c r="I2008" s="78"/>
      <c r="J2008" s="79"/>
      <c r="K2008" s="287"/>
      <c r="L2008" s="353"/>
      <c r="M2008" s="80"/>
      <c r="N2008" s="80"/>
      <c r="O2008" s="430"/>
      <c r="P2008" s="354">
        <f t="shared" si="62"/>
        <v>0</v>
      </c>
      <c r="Q2008" s="354">
        <f t="shared" si="63"/>
        <v>0</v>
      </c>
    </row>
    <row r="2009" spans="1:17" ht="50" x14ac:dyDescent="0.35">
      <c r="A2009" s="84" t="s">
        <v>860</v>
      </c>
      <c r="B2009" s="84" t="s">
        <v>861</v>
      </c>
      <c r="C2009" s="374"/>
      <c r="D2009" s="370"/>
      <c r="E2009" s="370"/>
      <c r="F2009" s="300"/>
      <c r="G2009" s="300"/>
      <c r="H2009" s="88" t="s">
        <v>889</v>
      </c>
      <c r="I2009" s="78"/>
      <c r="J2009" s="308"/>
      <c r="K2009" s="301"/>
      <c r="L2009" s="353"/>
      <c r="M2009" s="309"/>
      <c r="N2009" s="309"/>
      <c r="O2009" s="433"/>
      <c r="P2009" s="354">
        <f t="shared" si="62"/>
        <v>0</v>
      </c>
      <c r="Q2009" s="354">
        <f t="shared" si="63"/>
        <v>0</v>
      </c>
    </row>
    <row r="2010" spans="1:17" ht="25" x14ac:dyDescent="0.35">
      <c r="A2010" s="84" t="s">
        <v>860</v>
      </c>
      <c r="B2010" s="84" t="s">
        <v>861</v>
      </c>
      <c r="C2010" s="374"/>
      <c r="D2010" s="370"/>
      <c r="E2010" s="370"/>
      <c r="F2010" s="300"/>
      <c r="G2010" s="300"/>
      <c r="H2010" s="88" t="s">
        <v>890</v>
      </c>
      <c r="I2010" s="78"/>
      <c r="J2010" s="79"/>
      <c r="K2010" s="301"/>
      <c r="L2010" s="353"/>
      <c r="M2010" s="80"/>
      <c r="N2010" s="80"/>
      <c r="O2010" s="433"/>
      <c r="P2010" s="354">
        <f t="shared" si="62"/>
        <v>0</v>
      </c>
      <c r="Q2010" s="354">
        <f t="shared" si="63"/>
        <v>0</v>
      </c>
    </row>
    <row r="2011" spans="1:17" ht="50" x14ac:dyDescent="0.35">
      <c r="A2011" s="84" t="s">
        <v>860</v>
      </c>
      <c r="B2011" s="84" t="s">
        <v>861</v>
      </c>
      <c r="C2011" s="374"/>
      <c r="D2011" s="370"/>
      <c r="E2011" s="370"/>
      <c r="F2011" s="300"/>
      <c r="G2011" s="300"/>
      <c r="H2011" s="88" t="s">
        <v>891</v>
      </c>
      <c r="I2011" s="78"/>
      <c r="J2011" s="79"/>
      <c r="K2011" s="287"/>
      <c r="L2011" s="353"/>
      <c r="M2011" s="80"/>
      <c r="N2011" s="80"/>
      <c r="O2011" s="430"/>
      <c r="P2011" s="354">
        <f t="shared" si="62"/>
        <v>0</v>
      </c>
      <c r="Q2011" s="354">
        <f t="shared" si="63"/>
        <v>0</v>
      </c>
    </row>
    <row r="2012" spans="1:17" ht="37.5" x14ac:dyDescent="0.35">
      <c r="A2012" s="84" t="s">
        <v>860</v>
      </c>
      <c r="B2012" s="84" t="s">
        <v>861</v>
      </c>
      <c r="C2012" s="374"/>
      <c r="D2012" s="370"/>
      <c r="E2012" s="370"/>
      <c r="F2012" s="300"/>
      <c r="G2012" s="300"/>
      <c r="H2012" s="88" t="s">
        <v>892</v>
      </c>
      <c r="I2012" s="78"/>
      <c r="J2012" s="308"/>
      <c r="K2012" s="301"/>
      <c r="L2012" s="353"/>
      <c r="M2012" s="309"/>
      <c r="N2012" s="309"/>
      <c r="O2012" s="433"/>
      <c r="P2012" s="354">
        <f t="shared" si="62"/>
        <v>0</v>
      </c>
      <c r="Q2012" s="354">
        <f t="shared" si="63"/>
        <v>0</v>
      </c>
    </row>
    <row r="2013" spans="1:17" ht="75" x14ac:dyDescent="0.35">
      <c r="A2013" s="84" t="s">
        <v>860</v>
      </c>
      <c r="B2013" s="84" t="s">
        <v>861</v>
      </c>
      <c r="C2013" s="374"/>
      <c r="D2013" s="370"/>
      <c r="E2013" s="370"/>
      <c r="F2013" s="300"/>
      <c r="G2013" s="300"/>
      <c r="H2013" s="88" t="s">
        <v>893</v>
      </c>
      <c r="I2013" s="78"/>
      <c r="J2013" s="79"/>
      <c r="K2013" s="301"/>
      <c r="L2013" s="353"/>
      <c r="M2013" s="80"/>
      <c r="N2013" s="80"/>
      <c r="O2013" s="433"/>
      <c r="P2013" s="354">
        <f t="shared" si="62"/>
        <v>0</v>
      </c>
      <c r="Q2013" s="354">
        <f t="shared" si="63"/>
        <v>0</v>
      </c>
    </row>
    <row r="2014" spans="1:17" ht="125" x14ac:dyDescent="0.35">
      <c r="A2014" s="84" t="s">
        <v>860</v>
      </c>
      <c r="B2014" s="84" t="s">
        <v>861</v>
      </c>
      <c r="C2014" s="374"/>
      <c r="D2014" s="370"/>
      <c r="E2014" s="370"/>
      <c r="F2014" s="300"/>
      <c r="G2014" s="300"/>
      <c r="H2014" s="88" t="s">
        <v>894</v>
      </c>
      <c r="I2014" s="78"/>
      <c r="J2014" s="79"/>
      <c r="K2014" s="287"/>
      <c r="L2014" s="353"/>
      <c r="M2014" s="80"/>
      <c r="N2014" s="80"/>
      <c r="O2014" s="430"/>
      <c r="P2014" s="354">
        <f t="shared" si="62"/>
        <v>0</v>
      </c>
      <c r="Q2014" s="354">
        <f t="shared" si="63"/>
        <v>0</v>
      </c>
    </row>
    <row r="2015" spans="1:17" ht="37.5" x14ac:dyDescent="0.35">
      <c r="A2015" s="84" t="s">
        <v>860</v>
      </c>
      <c r="B2015" s="84" t="s">
        <v>861</v>
      </c>
      <c r="C2015" s="374"/>
      <c r="D2015" s="370"/>
      <c r="E2015" s="370"/>
      <c r="F2015" s="300"/>
      <c r="G2015" s="300"/>
      <c r="H2015" s="88" t="s">
        <v>895</v>
      </c>
      <c r="I2015" s="78"/>
      <c r="J2015" s="308"/>
      <c r="K2015" s="301"/>
      <c r="L2015" s="353"/>
      <c r="M2015" s="309"/>
      <c r="N2015" s="309"/>
      <c r="O2015" s="433"/>
      <c r="P2015" s="354">
        <f t="shared" si="62"/>
        <v>0</v>
      </c>
      <c r="Q2015" s="354">
        <f t="shared" si="63"/>
        <v>0</v>
      </c>
    </row>
    <row r="2016" spans="1:17" x14ac:dyDescent="0.35">
      <c r="A2016" s="84" t="s">
        <v>860</v>
      </c>
      <c r="B2016" s="84" t="s">
        <v>861</v>
      </c>
      <c r="C2016" s="374"/>
      <c r="D2016" s="370"/>
      <c r="E2016" s="370"/>
      <c r="F2016" s="300"/>
      <c r="G2016" s="300"/>
      <c r="H2016" s="268" t="s">
        <v>896</v>
      </c>
      <c r="I2016" s="78"/>
      <c r="J2016" s="79"/>
      <c r="K2016" s="301"/>
      <c r="L2016" s="353"/>
      <c r="M2016" s="80"/>
      <c r="N2016" s="80"/>
      <c r="O2016" s="433"/>
      <c r="P2016" s="354">
        <f t="shared" si="62"/>
        <v>0</v>
      </c>
      <c r="Q2016" s="354">
        <f t="shared" si="63"/>
        <v>0</v>
      </c>
    </row>
    <row r="2017" spans="1:17" ht="37.5" x14ac:dyDescent="0.35">
      <c r="A2017" s="84" t="s">
        <v>860</v>
      </c>
      <c r="B2017" s="84" t="s">
        <v>861</v>
      </c>
      <c r="C2017" s="374"/>
      <c r="D2017" s="370"/>
      <c r="E2017" s="370"/>
      <c r="F2017" s="300" t="s">
        <v>20</v>
      </c>
      <c r="G2017" s="300"/>
      <c r="H2017" s="60" t="s">
        <v>897</v>
      </c>
      <c r="I2017" s="78" t="s">
        <v>175</v>
      </c>
      <c r="J2017" s="79">
        <v>1</v>
      </c>
      <c r="K2017" s="311">
        <v>250000</v>
      </c>
      <c r="L2017" s="353">
        <f>J2017*K2017</f>
        <v>250000</v>
      </c>
      <c r="M2017" s="80">
        <v>1</v>
      </c>
      <c r="N2017" s="80">
        <v>1</v>
      </c>
      <c r="O2017" s="434">
        <v>250000</v>
      </c>
      <c r="P2017" s="354">
        <f t="shared" si="62"/>
        <v>250000</v>
      </c>
      <c r="Q2017" s="354">
        <f t="shared" si="63"/>
        <v>250000</v>
      </c>
    </row>
  </sheetData>
  <autoFilter ref="A1:Q2017" xr:uid="{00000000-0009-0000-0000-000001000000}">
    <filterColumn colId="9" showButton="0"/>
    <filterColumn colId="10" showButton="0"/>
  </autoFilter>
  <pageMargins left="0.70866141732283472" right="0.70866141732283472" top="0.98425196850393704" bottom="0.74803149606299213" header="0.23622047244094491" footer="0.31496062992125984"/>
  <pageSetup paperSize="9" scale="29" fitToHeight="0" orientation="portrait" r:id="rId1"/>
  <headerFooter>
    <oddHeader>&amp;R&amp;"-,Bold"MOGALAKWENA SCHOOLS INFRASTRUCTURE PROJECT
LEPHADIMISHA SECONDARY SCHOOL</oddHeader>
    <oddFooter>&amp;L&amp;F
&amp;A</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CF32AAFA-34CA-463B-830D-4A3C02D745A4}">
          <x14:formula1>
            <xm:f>'Trade Code'!$C$2:$C$23</xm:f>
          </x14:formula1>
          <xm:sqref>C2:C2017</xm:sqref>
        </x14:dataValidation>
        <x14:dataValidation type="list" allowBlank="1" showInputMessage="1" showErrorMessage="1" xr:uid="{66509EFE-ECAE-4EAF-901F-8D7D08A55F99}">
          <x14:formula1>
            <xm:f>'Account Code'!$C$2:$C$37</xm:f>
          </x14:formula1>
          <xm:sqref>D1:D1048576</xm:sqref>
        </x14:dataValidation>
        <x14:dataValidation type="list" allowBlank="1" showInputMessage="1" showErrorMessage="1" xr:uid="{58F09531-8720-4936-90E1-2FFBA22F59FB}">
          <x14:formula1>
            <xm:f>'Specification Code'!$C$4:$C$8</xm:f>
          </x14:formula1>
          <xm:sqref>E1:E1048576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D36021-21E6-4D98-9B5B-D3B12C0EF342}">
  <dimension ref="A1:D23"/>
  <sheetViews>
    <sheetView workbookViewId="0">
      <selection activeCell="A20" sqref="A20"/>
    </sheetView>
  </sheetViews>
  <sheetFormatPr defaultRowHeight="14.5" x14ac:dyDescent="0.35"/>
  <cols>
    <col min="1" max="1" width="11.453125" bestFit="1" customWidth="1"/>
    <col min="2" max="2" width="34.1796875" bestFit="1" customWidth="1"/>
    <col min="3" max="3" width="35.6328125" bestFit="1" customWidth="1"/>
  </cols>
  <sheetData>
    <row r="1" spans="1:4" x14ac:dyDescent="0.35">
      <c r="A1" s="362" t="s">
        <v>937</v>
      </c>
      <c r="B1" s="362" t="s">
        <v>908</v>
      </c>
      <c r="C1" s="364" t="s">
        <v>907</v>
      </c>
    </row>
    <row r="2" spans="1:4" x14ac:dyDescent="0.35">
      <c r="A2" t="s">
        <v>909</v>
      </c>
      <c r="B2" t="s">
        <v>910</v>
      </c>
      <c r="C2" t="str">
        <f>A2&amp;B2</f>
        <v>PRE-Preliminaries</v>
      </c>
    </row>
    <row r="3" spans="1:4" x14ac:dyDescent="0.35">
      <c r="A3" t="s">
        <v>911</v>
      </c>
      <c r="B3" t="s">
        <v>912</v>
      </c>
      <c r="C3" t="str">
        <f t="shared" ref="C3:C23" si="0">A3&amp;B3</f>
        <v>EAR-Earthworks</v>
      </c>
    </row>
    <row r="4" spans="1:4" x14ac:dyDescent="0.35">
      <c r="A4" t="s">
        <v>913</v>
      </c>
      <c r="B4" t="s">
        <v>914</v>
      </c>
      <c r="C4" t="str">
        <f t="shared" si="0"/>
        <v>CFR-Concrete, Formwork &amp; Reinforcement</v>
      </c>
    </row>
    <row r="5" spans="1:4" x14ac:dyDescent="0.35">
      <c r="A5" t="s">
        <v>915</v>
      </c>
      <c r="B5" t="s">
        <v>916</v>
      </c>
      <c r="C5" t="str">
        <f t="shared" si="0"/>
        <v>PRC-Precast Concrete</v>
      </c>
    </row>
    <row r="6" spans="1:4" x14ac:dyDescent="0.35">
      <c r="A6" t="s">
        <v>917</v>
      </c>
      <c r="B6" t="s">
        <v>918</v>
      </c>
      <c r="C6" t="str">
        <f t="shared" si="0"/>
        <v>MAN-Masonry</v>
      </c>
    </row>
    <row r="7" spans="1:4" x14ac:dyDescent="0.35">
      <c r="A7" t="s">
        <v>919</v>
      </c>
      <c r="B7" t="s">
        <v>920</v>
      </c>
      <c r="C7" t="str">
        <f t="shared" si="0"/>
        <v>WPR-Waterproofing</v>
      </c>
    </row>
    <row r="8" spans="1:4" x14ac:dyDescent="0.35">
      <c r="A8" t="s">
        <v>921</v>
      </c>
      <c r="B8" t="s">
        <v>922</v>
      </c>
      <c r="C8" t="str">
        <f t="shared" si="0"/>
        <v>ROF-Roofing Coverings</v>
      </c>
    </row>
    <row r="9" spans="1:4" x14ac:dyDescent="0.35">
      <c r="A9" t="s">
        <v>923</v>
      </c>
      <c r="B9" s="363" t="s">
        <v>924</v>
      </c>
      <c r="C9" t="str">
        <f t="shared" si="0"/>
        <v>CRJ-Carpentry and Joinery</v>
      </c>
    </row>
    <row r="10" spans="1:4" x14ac:dyDescent="0.35">
      <c r="A10" t="s">
        <v>925</v>
      </c>
      <c r="B10" s="363" t="s">
        <v>938</v>
      </c>
      <c r="C10" t="str">
        <f t="shared" si="0"/>
        <v>CPA-Ceilings, Partitions &amp; Access Flooring</v>
      </c>
      <c r="D10" s="363"/>
    </row>
    <row r="11" spans="1:4" x14ac:dyDescent="0.35">
      <c r="A11" t="s">
        <v>926</v>
      </c>
      <c r="B11" s="363" t="s">
        <v>939</v>
      </c>
      <c r="C11" t="str">
        <f t="shared" si="0"/>
        <v>FLR-Floor Coverings, Wall Linings, Etc</v>
      </c>
      <c r="D11" s="363"/>
    </row>
    <row r="12" spans="1:4" x14ac:dyDescent="0.35">
      <c r="A12" t="s">
        <v>927</v>
      </c>
      <c r="B12" s="363" t="s">
        <v>940</v>
      </c>
      <c r="C12" t="str">
        <f t="shared" si="0"/>
        <v>IRM-Ironmongery</v>
      </c>
      <c r="D12" s="363"/>
    </row>
    <row r="13" spans="1:4" x14ac:dyDescent="0.35">
      <c r="A13" t="s">
        <v>928</v>
      </c>
      <c r="B13" s="363" t="s">
        <v>337</v>
      </c>
      <c r="C13" t="str">
        <f t="shared" si="0"/>
        <v>STW-Structural Steelwork</v>
      </c>
      <c r="D13" s="363"/>
    </row>
    <row r="14" spans="1:4" x14ac:dyDescent="0.35">
      <c r="A14" t="s">
        <v>929</v>
      </c>
      <c r="B14" s="363" t="s">
        <v>941</v>
      </c>
      <c r="C14" t="str">
        <f t="shared" si="0"/>
        <v>MTW-Metalwork</v>
      </c>
      <c r="D14" s="363"/>
    </row>
    <row r="15" spans="1:4" x14ac:dyDescent="0.35">
      <c r="A15" t="s">
        <v>930</v>
      </c>
      <c r="B15" s="363" t="s">
        <v>942</v>
      </c>
      <c r="C15" t="str">
        <f t="shared" si="0"/>
        <v>PLA-Plastering</v>
      </c>
      <c r="D15" s="363"/>
    </row>
    <row r="16" spans="1:4" x14ac:dyDescent="0.35">
      <c r="A16" t="s">
        <v>931</v>
      </c>
      <c r="B16" s="363" t="s">
        <v>943</v>
      </c>
      <c r="C16" t="str">
        <f t="shared" si="0"/>
        <v>TIL-Tiling</v>
      </c>
      <c r="D16" s="363"/>
    </row>
    <row r="17" spans="1:4" x14ac:dyDescent="0.35">
      <c r="A17" t="s">
        <v>932</v>
      </c>
      <c r="B17" s="363" t="s">
        <v>944</v>
      </c>
      <c r="C17" t="str">
        <f t="shared" si="0"/>
        <v>PLD-Plumbing &amp; Drainage</v>
      </c>
      <c r="D17" s="363"/>
    </row>
    <row r="18" spans="1:4" x14ac:dyDescent="0.35">
      <c r="A18" t="s">
        <v>933</v>
      </c>
      <c r="B18" s="363" t="s">
        <v>945</v>
      </c>
      <c r="C18" t="str">
        <f t="shared" si="0"/>
        <v>ELW-Electrical Work</v>
      </c>
      <c r="D18" s="363"/>
    </row>
    <row r="19" spans="1:4" x14ac:dyDescent="0.35">
      <c r="A19" t="s">
        <v>934</v>
      </c>
      <c r="B19" s="363" t="s">
        <v>946</v>
      </c>
      <c r="C19" t="str">
        <f t="shared" si="0"/>
        <v>MEW-Mechanical Work</v>
      </c>
      <c r="D19" s="363"/>
    </row>
    <row r="20" spans="1:4" x14ac:dyDescent="0.35">
      <c r="A20" t="s">
        <v>935</v>
      </c>
      <c r="B20" s="363" t="s">
        <v>947</v>
      </c>
      <c r="C20" t="str">
        <f t="shared" si="0"/>
        <v>GLZ-Glazing</v>
      </c>
      <c r="D20" s="363"/>
    </row>
    <row r="21" spans="1:4" x14ac:dyDescent="0.35">
      <c r="A21" t="s">
        <v>2241</v>
      </c>
      <c r="B21" s="363" t="s">
        <v>948</v>
      </c>
      <c r="C21" t="str">
        <f t="shared" si="0"/>
        <v>PAW-Paintwork</v>
      </c>
      <c r="D21" s="363"/>
    </row>
    <row r="22" spans="1:4" x14ac:dyDescent="0.35">
      <c r="A22" t="s">
        <v>2242</v>
      </c>
      <c r="B22" s="363" t="s">
        <v>949</v>
      </c>
      <c r="C22" t="str">
        <f t="shared" si="0"/>
        <v>PAH-Paperhanging</v>
      </c>
      <c r="D22" s="363"/>
    </row>
    <row r="23" spans="1:4" x14ac:dyDescent="0.35">
      <c r="A23" t="s">
        <v>936</v>
      </c>
      <c r="B23" s="363" t="s">
        <v>950</v>
      </c>
      <c r="C23" t="str">
        <f t="shared" si="0"/>
        <v>EXT-External Work</v>
      </c>
      <c r="D23" s="36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D3C90B-D406-4CBC-A159-47C2D1D64CB9}">
  <dimension ref="A1:C44"/>
  <sheetViews>
    <sheetView topLeftCell="A16" workbookViewId="0">
      <selection activeCell="C39" sqref="C39"/>
    </sheetView>
  </sheetViews>
  <sheetFormatPr defaultRowHeight="14.5" x14ac:dyDescent="0.35"/>
  <cols>
    <col min="1" max="1" width="11.26953125" customWidth="1"/>
    <col min="2" max="2" width="26.6328125" bestFit="1" customWidth="1"/>
    <col min="3" max="3" width="47.26953125" bestFit="1" customWidth="1"/>
  </cols>
  <sheetData>
    <row r="1" spans="1:3" x14ac:dyDescent="0.35">
      <c r="A1" s="364" t="s">
        <v>952</v>
      </c>
      <c r="B1" s="364" t="s">
        <v>953</v>
      </c>
      <c r="C1" s="362" t="s">
        <v>1020</v>
      </c>
    </row>
    <row r="2" spans="1:3" x14ac:dyDescent="0.35">
      <c r="A2" s="382" t="s">
        <v>954</v>
      </c>
      <c r="B2" t="s">
        <v>955</v>
      </c>
      <c r="C2" t="str">
        <f>A2&amp;B2</f>
        <v>1001 - Sales/ Revenue</v>
      </c>
    </row>
    <row r="3" spans="1:3" x14ac:dyDescent="0.35">
      <c r="A3" s="382" t="s">
        <v>956</v>
      </c>
      <c r="B3" t="s">
        <v>957</v>
      </c>
      <c r="C3" t="str">
        <f t="shared" ref="C3:C37" si="0">A3&amp;B3</f>
        <v>1002 - Cash Deposit</v>
      </c>
    </row>
    <row r="4" spans="1:3" x14ac:dyDescent="0.35">
      <c r="A4" s="383" t="s">
        <v>958</v>
      </c>
      <c r="B4" t="s">
        <v>398</v>
      </c>
      <c r="C4" t="str">
        <f t="shared" si="0"/>
        <v>2000 - General</v>
      </c>
    </row>
    <row r="5" spans="1:3" x14ac:dyDescent="0.35">
      <c r="A5" s="383" t="s">
        <v>959</v>
      </c>
      <c r="B5" t="s">
        <v>960</v>
      </c>
      <c r="C5" t="str">
        <f t="shared" si="0"/>
        <v>2001 - Materials</v>
      </c>
    </row>
    <row r="6" spans="1:3" x14ac:dyDescent="0.35">
      <c r="A6" s="383" t="s">
        <v>961</v>
      </c>
      <c r="B6" t="s">
        <v>962</v>
      </c>
      <c r="C6" t="str">
        <f t="shared" si="0"/>
        <v>2002 - Labour</v>
      </c>
    </row>
    <row r="7" spans="1:3" x14ac:dyDescent="0.35">
      <c r="A7" s="383" t="s">
        <v>963</v>
      </c>
      <c r="B7" t="s">
        <v>964</v>
      </c>
      <c r="C7" t="str">
        <f t="shared" si="0"/>
        <v>2003 - Plant and Equipment</v>
      </c>
    </row>
    <row r="8" spans="1:3" x14ac:dyDescent="0.35">
      <c r="A8" s="383" t="s">
        <v>965</v>
      </c>
      <c r="B8" t="s">
        <v>966</v>
      </c>
      <c r="C8" t="str">
        <f t="shared" si="0"/>
        <v>2004 - Tools</v>
      </c>
    </row>
    <row r="9" spans="1:3" x14ac:dyDescent="0.35">
      <c r="A9" s="383" t="s">
        <v>967</v>
      </c>
      <c r="B9" t="s">
        <v>968</v>
      </c>
      <c r="C9" t="str">
        <f t="shared" si="0"/>
        <v>2005 - Consumables</v>
      </c>
    </row>
    <row r="10" spans="1:3" x14ac:dyDescent="0.35">
      <c r="A10" s="383" t="s">
        <v>969</v>
      </c>
      <c r="B10" t="s">
        <v>970</v>
      </c>
      <c r="C10" t="str">
        <f t="shared" si="0"/>
        <v>2006 - Inventory</v>
      </c>
    </row>
    <row r="11" spans="1:3" x14ac:dyDescent="0.35">
      <c r="A11" s="383" t="s">
        <v>971</v>
      </c>
      <c r="B11" t="s">
        <v>972</v>
      </c>
      <c r="C11" t="str">
        <f t="shared" si="0"/>
        <v>2007 - Subcontractor</v>
      </c>
    </row>
    <row r="12" spans="1:3" x14ac:dyDescent="0.35">
      <c r="A12" s="383" t="s">
        <v>973</v>
      </c>
      <c r="B12" t="s">
        <v>974</v>
      </c>
      <c r="C12" t="str">
        <f t="shared" si="0"/>
        <v>2008 - Other</v>
      </c>
    </row>
    <row r="13" spans="1:3" x14ac:dyDescent="0.35">
      <c r="A13" s="383" t="s">
        <v>975</v>
      </c>
      <c r="B13" t="s">
        <v>398</v>
      </c>
      <c r="C13" t="str">
        <f t="shared" si="0"/>
        <v>3000 - General</v>
      </c>
    </row>
    <row r="14" spans="1:3" x14ac:dyDescent="0.35">
      <c r="A14" s="383" t="s">
        <v>976</v>
      </c>
      <c r="B14" t="s">
        <v>977</v>
      </c>
      <c r="C14" t="str">
        <f t="shared" si="0"/>
        <v>3001 - Contractual Requirements</v>
      </c>
    </row>
    <row r="15" spans="1:3" x14ac:dyDescent="0.35">
      <c r="A15" s="383" t="s">
        <v>978</v>
      </c>
      <c r="B15" t="s">
        <v>979</v>
      </c>
      <c r="C15" t="str">
        <f t="shared" si="0"/>
        <v>3002 - Site Facilities Required</v>
      </c>
    </row>
    <row r="16" spans="1:3" x14ac:dyDescent="0.35">
      <c r="A16" s="383" t="s">
        <v>980</v>
      </c>
      <c r="B16" t="s">
        <v>981</v>
      </c>
      <c r="C16" t="str">
        <f t="shared" si="0"/>
        <v>3003 - Small Tools, PPE &amp; Accessories</v>
      </c>
    </row>
    <row r="17" spans="1:3" x14ac:dyDescent="0.35">
      <c r="A17" s="383" t="s">
        <v>982</v>
      </c>
      <c r="B17" t="s">
        <v>964</v>
      </c>
      <c r="C17" t="str">
        <f t="shared" si="0"/>
        <v>3004 - Plant and Equipment</v>
      </c>
    </row>
    <row r="18" spans="1:3" x14ac:dyDescent="0.35">
      <c r="A18" s="383" t="s">
        <v>983</v>
      </c>
      <c r="B18" t="s">
        <v>984</v>
      </c>
      <c r="C18" t="str">
        <f t="shared" si="0"/>
        <v>3005 - Site Supervision and Personnel</v>
      </c>
    </row>
    <row r="19" spans="1:3" x14ac:dyDescent="0.35">
      <c r="A19" s="383" t="s">
        <v>985</v>
      </c>
      <c r="B19" t="s">
        <v>986</v>
      </c>
      <c r="C19" t="str">
        <f t="shared" si="0"/>
        <v>3006 - Site Staff expense</v>
      </c>
    </row>
    <row r="20" spans="1:3" x14ac:dyDescent="0.35">
      <c r="A20" s="383" t="s">
        <v>987</v>
      </c>
      <c r="B20" t="s">
        <v>398</v>
      </c>
      <c r="C20" t="str">
        <f t="shared" si="0"/>
        <v>4000 - General</v>
      </c>
    </row>
    <row r="21" spans="1:3" x14ac:dyDescent="0.35">
      <c r="A21" s="383" t="s">
        <v>988</v>
      </c>
      <c r="B21" t="s">
        <v>989</v>
      </c>
      <c r="C21" t="str">
        <f t="shared" si="0"/>
        <v>4001 - Salaries</v>
      </c>
    </row>
    <row r="22" spans="1:3" x14ac:dyDescent="0.35">
      <c r="A22" s="383" t="s">
        <v>990</v>
      </c>
      <c r="B22" t="s">
        <v>991</v>
      </c>
      <c r="C22" t="str">
        <f t="shared" si="0"/>
        <v>4002 - Wages</v>
      </c>
    </row>
    <row r="23" spans="1:3" x14ac:dyDescent="0.35">
      <c r="A23" s="383" t="s">
        <v>992</v>
      </c>
      <c r="B23" t="s">
        <v>993</v>
      </c>
      <c r="C23" t="str">
        <f t="shared" si="0"/>
        <v>4003 - Rent</v>
      </c>
    </row>
    <row r="24" spans="1:3" x14ac:dyDescent="0.35">
      <c r="A24" s="383" t="s">
        <v>994</v>
      </c>
      <c r="B24" t="s">
        <v>995</v>
      </c>
      <c r="C24" t="str">
        <f t="shared" si="0"/>
        <v>4004 - Utilities</v>
      </c>
    </row>
    <row r="25" spans="1:3" x14ac:dyDescent="0.35">
      <c r="A25" s="383" t="s">
        <v>996</v>
      </c>
      <c r="B25" t="s">
        <v>997</v>
      </c>
      <c r="C25" t="str">
        <f t="shared" si="0"/>
        <v>4005 - Bank Charges</v>
      </c>
    </row>
    <row r="26" spans="1:3" x14ac:dyDescent="0.35">
      <c r="A26" s="383" t="s">
        <v>998</v>
      </c>
      <c r="B26" t="s">
        <v>999</v>
      </c>
      <c r="C26" t="str">
        <f t="shared" si="0"/>
        <v>4006 - Insurance</v>
      </c>
    </row>
    <row r="27" spans="1:3" x14ac:dyDescent="0.35">
      <c r="A27" s="383" t="s">
        <v>1000</v>
      </c>
      <c r="B27" t="s">
        <v>1001</v>
      </c>
      <c r="C27" t="str">
        <f t="shared" si="0"/>
        <v>4007 - Travel</v>
      </c>
    </row>
    <row r="28" spans="1:3" x14ac:dyDescent="0.35">
      <c r="A28" s="383" t="s">
        <v>1002</v>
      </c>
      <c r="B28" t="s">
        <v>1003</v>
      </c>
      <c r="C28" t="str">
        <f t="shared" si="0"/>
        <v>4008 - Staff expense</v>
      </c>
    </row>
    <row r="29" spans="1:3" x14ac:dyDescent="0.35">
      <c r="A29" s="383" t="s">
        <v>1004</v>
      </c>
      <c r="B29" t="s">
        <v>1005</v>
      </c>
      <c r="C29" t="str">
        <f t="shared" si="0"/>
        <v>4009 - Web hosting/Domains</v>
      </c>
    </row>
    <row r="30" spans="1:3" x14ac:dyDescent="0.35">
      <c r="A30" s="383" t="s">
        <v>1006</v>
      </c>
      <c r="B30" t="s">
        <v>1007</v>
      </c>
      <c r="C30" t="str">
        <f t="shared" si="0"/>
        <v>4010 - Software</v>
      </c>
    </row>
    <row r="31" spans="1:3" x14ac:dyDescent="0.35">
      <c r="A31" s="383" t="s">
        <v>1008</v>
      </c>
      <c r="B31" t="s">
        <v>1009</v>
      </c>
      <c r="C31" t="str">
        <f t="shared" si="0"/>
        <v>4011 - Office Supplies</v>
      </c>
    </row>
    <row r="32" spans="1:3" x14ac:dyDescent="0.35">
      <c r="A32" s="383" t="s">
        <v>1010</v>
      </c>
      <c r="B32" t="s">
        <v>1011</v>
      </c>
      <c r="C32" t="str">
        <f t="shared" si="0"/>
        <v>4012 - Computer Equipment *</v>
      </c>
    </row>
    <row r="33" spans="1:3" x14ac:dyDescent="0.35">
      <c r="A33" s="383" t="s">
        <v>1012</v>
      </c>
      <c r="B33" t="s">
        <v>1013</v>
      </c>
      <c r="C33" t="str">
        <f t="shared" si="0"/>
        <v>4013 - Furniture and Equipment</v>
      </c>
    </row>
    <row r="34" spans="1:3" x14ac:dyDescent="0.35">
      <c r="A34" s="383" t="s">
        <v>1014</v>
      </c>
      <c r="B34" t="s">
        <v>968</v>
      </c>
      <c r="C34" t="str">
        <f t="shared" si="0"/>
        <v>4014 - Consumables</v>
      </c>
    </row>
    <row r="35" spans="1:3" x14ac:dyDescent="0.35">
      <c r="A35" s="383" t="s">
        <v>1015</v>
      </c>
      <c r="B35" t="s">
        <v>1016</v>
      </c>
      <c r="C35" t="str">
        <f t="shared" si="0"/>
        <v>4015 - Loan Repayment</v>
      </c>
    </row>
    <row r="36" spans="1:3" x14ac:dyDescent="0.35">
      <c r="A36" s="383" t="s">
        <v>1017</v>
      </c>
      <c r="B36" t="s">
        <v>1018</v>
      </c>
      <c r="C36" t="str">
        <f t="shared" si="0"/>
        <v>4016 - Service providers</v>
      </c>
    </row>
    <row r="37" spans="1:3" x14ac:dyDescent="0.35">
      <c r="A37" s="383" t="s">
        <v>1019</v>
      </c>
      <c r="B37" t="s">
        <v>974</v>
      </c>
      <c r="C37" t="str">
        <f t="shared" si="0"/>
        <v>4017 - Other</v>
      </c>
    </row>
    <row r="44" spans="1:3" x14ac:dyDescent="0.35">
      <c r="C44" s="36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5D32D-EBE3-4BFE-977A-34AE174EA1BE}">
  <dimension ref="A1:N8"/>
  <sheetViews>
    <sheetView topLeftCell="B1" zoomScale="90" zoomScaleNormal="90" workbookViewId="0">
      <selection activeCell="J4" sqref="J4"/>
    </sheetView>
  </sheetViews>
  <sheetFormatPr defaultRowHeight="14.5" x14ac:dyDescent="0.35"/>
  <cols>
    <col min="1" max="1" width="36.1796875" style="396" bestFit="1" customWidth="1"/>
    <col min="2" max="2" width="20.36328125" bestFit="1" customWidth="1"/>
    <col min="3" max="3" width="19.7265625" customWidth="1"/>
    <col min="4" max="6" width="15.36328125" customWidth="1"/>
    <col min="7" max="7" width="12.81640625" customWidth="1"/>
    <col min="8" max="8" width="14.81640625" customWidth="1"/>
    <col min="9" max="9" width="14.36328125" bestFit="1" customWidth="1"/>
    <col min="10" max="10" width="10.1796875" bestFit="1" customWidth="1"/>
    <col min="11" max="11" width="10.1796875" style="450" customWidth="1"/>
    <col min="12" max="12" width="8.6328125" bestFit="1" customWidth="1"/>
  </cols>
  <sheetData>
    <row r="1" spans="1:14" x14ac:dyDescent="0.35">
      <c r="B1" t="s">
        <v>2247</v>
      </c>
    </row>
    <row r="2" spans="1:14" ht="15" thickBot="1" x14ac:dyDescent="0.4">
      <c r="G2" s="447" t="s">
        <v>2272</v>
      </c>
      <c r="H2" s="448"/>
      <c r="I2" s="449"/>
      <c r="K2" s="451"/>
      <c r="L2" s="452" t="s">
        <v>2273</v>
      </c>
      <c r="M2" s="453"/>
      <c r="N2" s="454"/>
    </row>
    <row r="3" spans="1:14" ht="23.5" thickBot="1" x14ac:dyDescent="0.4">
      <c r="A3" s="397" t="s">
        <v>906</v>
      </c>
      <c r="B3" s="384" t="s">
        <v>2248</v>
      </c>
      <c r="C3" s="384" t="s">
        <v>2249</v>
      </c>
      <c r="D3" s="384" t="s">
        <v>2264</v>
      </c>
      <c r="E3" s="384" t="s">
        <v>2265</v>
      </c>
      <c r="F3" s="384" t="s">
        <v>2266</v>
      </c>
      <c r="G3" s="445" t="s">
        <v>2269</v>
      </c>
      <c r="H3" s="445" t="s">
        <v>2270</v>
      </c>
      <c r="I3" s="446" t="s">
        <v>2271</v>
      </c>
      <c r="J3" s="461" t="s">
        <v>2267</v>
      </c>
      <c r="K3" s="455" t="s">
        <v>2268</v>
      </c>
      <c r="L3" s="456" t="s">
        <v>2269</v>
      </c>
      <c r="M3" s="456" t="s">
        <v>2270</v>
      </c>
      <c r="N3" s="457" t="s">
        <v>2271</v>
      </c>
    </row>
    <row r="4" spans="1:14" ht="28.5" thickBot="1" x14ac:dyDescent="0.4">
      <c r="A4" s="396" t="s">
        <v>2221</v>
      </c>
      <c r="B4" s="385" t="s">
        <v>2250</v>
      </c>
      <c r="C4" s="385" t="s">
        <v>2251</v>
      </c>
      <c r="D4" s="385" t="s">
        <v>2252</v>
      </c>
      <c r="E4" s="385" t="s">
        <v>2253</v>
      </c>
      <c r="F4" s="385" t="s">
        <v>2254</v>
      </c>
      <c r="G4" s="393">
        <v>4.2</v>
      </c>
      <c r="H4" s="393">
        <v>0.75</v>
      </c>
      <c r="I4" s="398">
        <v>0.75</v>
      </c>
      <c r="J4" s="462">
        <f>G4*'Materials Code'!G$2+'Specification Code'!H4*'Materials Code'!G$4+'Specification Code'!I4*'Materials Code'!G$5</f>
        <v>1366.8000000000002</v>
      </c>
      <c r="K4" s="458">
        <v>10</v>
      </c>
      <c r="L4" s="459">
        <f>K4*H4</f>
        <v>7.5</v>
      </c>
      <c r="M4" s="459">
        <f>K4*H4</f>
        <v>7.5</v>
      </c>
      <c r="N4" s="460">
        <f>K4*I4</f>
        <v>7.5</v>
      </c>
    </row>
    <row r="5" spans="1:14" ht="28.5" thickBot="1" x14ac:dyDescent="0.4">
      <c r="A5" s="396" t="s">
        <v>2221</v>
      </c>
      <c r="B5" s="385" t="s">
        <v>2255</v>
      </c>
      <c r="C5" s="385" t="s">
        <v>2256</v>
      </c>
      <c r="D5" s="385" t="s">
        <v>2252</v>
      </c>
      <c r="E5" s="385" t="s">
        <v>2253</v>
      </c>
      <c r="F5" s="385" t="s">
        <v>2254</v>
      </c>
      <c r="G5" s="393">
        <v>6.2</v>
      </c>
      <c r="H5" s="393">
        <v>0.7</v>
      </c>
      <c r="I5" s="398">
        <v>0.8</v>
      </c>
      <c r="J5" s="462">
        <f>G5*'Materials Code'!G$2+'Specification Code'!H5*'Materials Code'!G$4+'Specification Code'!I5*'Materials Code'!G$5</f>
        <v>1624.8000000000002</v>
      </c>
      <c r="K5" s="458">
        <f>'Output BoQ'!J107</f>
        <v>14</v>
      </c>
      <c r="L5" s="459">
        <f t="shared" ref="L5:L8" si="0">K5*H5</f>
        <v>9.7999999999999989</v>
      </c>
      <c r="M5" s="459">
        <f t="shared" ref="M5:M8" si="1">K5*H5</f>
        <v>9.7999999999999989</v>
      </c>
      <c r="N5" s="460">
        <f t="shared" ref="N5:N8" si="2">K5*I5</f>
        <v>11.200000000000001</v>
      </c>
    </row>
    <row r="6" spans="1:14" ht="28.5" thickBot="1" x14ac:dyDescent="0.4">
      <c r="A6" s="396" t="s">
        <v>2221</v>
      </c>
      <c r="B6" s="385" t="s">
        <v>2257</v>
      </c>
      <c r="C6" s="385" t="s">
        <v>2258</v>
      </c>
      <c r="D6" s="385" t="s">
        <v>2252</v>
      </c>
      <c r="E6" s="385" t="s">
        <v>2253</v>
      </c>
      <c r="F6" s="385" t="s">
        <v>2254</v>
      </c>
      <c r="G6" s="393">
        <v>7.5</v>
      </c>
      <c r="H6" s="393">
        <v>0.65</v>
      </c>
      <c r="I6" s="398">
        <v>0.85</v>
      </c>
      <c r="J6" s="462">
        <f>G6*'Materials Code'!G$2+'Specification Code'!H6*'Materials Code'!G$4+'Specification Code'!I6*'Materials Code'!G$5</f>
        <v>1792.5</v>
      </c>
      <c r="K6" s="458">
        <v>10</v>
      </c>
      <c r="L6" s="459">
        <f t="shared" si="0"/>
        <v>6.5</v>
      </c>
      <c r="M6" s="459">
        <f t="shared" si="1"/>
        <v>6.5</v>
      </c>
      <c r="N6" s="460">
        <f t="shared" si="2"/>
        <v>8.5</v>
      </c>
    </row>
    <row r="7" spans="1:14" ht="28.5" thickBot="1" x14ac:dyDescent="0.4">
      <c r="A7" s="396" t="s">
        <v>2221</v>
      </c>
      <c r="B7" s="390" t="s">
        <v>2259</v>
      </c>
      <c r="C7" s="390" t="s">
        <v>2260</v>
      </c>
      <c r="D7" s="385" t="s">
        <v>2261</v>
      </c>
      <c r="E7" s="385" t="s">
        <v>2253</v>
      </c>
      <c r="F7" s="385" t="s">
        <v>2254</v>
      </c>
      <c r="G7" s="394">
        <v>8.1999999999999993</v>
      </c>
      <c r="H7" s="394">
        <v>0.65</v>
      </c>
      <c r="I7" s="399">
        <v>0.85</v>
      </c>
      <c r="J7" s="462">
        <f>G7*'Materials Code'!G$2+'Specification Code'!H7*'Materials Code'!G$4+'Specification Code'!I7*'Materials Code'!G$5</f>
        <v>1882.8</v>
      </c>
      <c r="K7" s="458">
        <v>10</v>
      </c>
      <c r="L7" s="459">
        <f t="shared" si="0"/>
        <v>6.5</v>
      </c>
      <c r="M7" s="459">
        <f t="shared" si="1"/>
        <v>6.5</v>
      </c>
      <c r="N7" s="460">
        <f t="shared" si="2"/>
        <v>8.5</v>
      </c>
    </row>
    <row r="8" spans="1:14" ht="28.5" thickBot="1" x14ac:dyDescent="0.4">
      <c r="A8" s="396" t="s">
        <v>2221</v>
      </c>
      <c r="B8" s="391" t="s">
        <v>2262</v>
      </c>
      <c r="C8" s="392" t="s">
        <v>2263</v>
      </c>
      <c r="D8" s="385" t="s">
        <v>2252</v>
      </c>
      <c r="E8" s="385" t="s">
        <v>2253</v>
      </c>
      <c r="F8" s="385" t="s">
        <v>2254</v>
      </c>
      <c r="G8" s="395">
        <v>9.8000000000000007</v>
      </c>
      <c r="H8" s="395">
        <v>0.6</v>
      </c>
      <c r="I8" s="400">
        <v>0.9</v>
      </c>
      <c r="J8" s="462">
        <f>G8*'Materials Code'!G$2+'Specification Code'!H8*'Materials Code'!G$4+'Specification Code'!I8*'Materials Code'!G$5</f>
        <v>2089.1999999999998</v>
      </c>
      <c r="K8" s="458">
        <v>10</v>
      </c>
      <c r="L8" s="459">
        <f t="shared" si="0"/>
        <v>6</v>
      </c>
      <c r="M8" s="459">
        <f t="shared" si="1"/>
        <v>6</v>
      </c>
      <c r="N8" s="460">
        <f t="shared" si="2"/>
        <v>9</v>
      </c>
    </row>
  </sheetData>
  <mergeCells count="2">
    <mergeCell ref="G2:I2"/>
    <mergeCell ref="L2:N2"/>
  </mergeCells>
  <pageMargins left="0.7" right="0.7" top="0.75" bottom="0.75" header="0.3" footer="0.3"/>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88705D99-4BD0-4448-AD80-B0C9C44D2A36}">
          <x14:formula1>
            <xm:f>'Trade Code'!$C$2:$C$23</xm:f>
          </x14:formula1>
          <xm:sqref>A1:A1048576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AB485-016B-49D9-B0C9-14FD9F23BB0F}">
  <dimension ref="A1:H389"/>
  <sheetViews>
    <sheetView topLeftCell="D1" zoomScale="110" zoomScaleNormal="110" workbookViewId="0">
      <selection activeCell="G7" sqref="G7"/>
    </sheetView>
  </sheetViews>
  <sheetFormatPr defaultRowHeight="14.5" x14ac:dyDescent="0.35"/>
  <cols>
    <col min="1" max="1" width="15.453125" customWidth="1"/>
    <col min="2" max="2" width="35.6328125" bestFit="1" customWidth="1"/>
    <col min="3" max="3" width="47.1796875" style="386" customWidth="1"/>
    <col min="4" max="4" width="25.81640625" style="386" customWidth="1"/>
    <col min="5" max="5" width="20.1796875" customWidth="1"/>
    <col min="6" max="6" width="37.54296875" customWidth="1"/>
    <col min="7" max="7" width="16.90625" style="389" bestFit="1" customWidth="1"/>
    <col min="8" max="8" width="8.54296875" customWidth="1"/>
  </cols>
  <sheetData>
    <row r="1" spans="1:8" ht="17.25" customHeight="1" thickBot="1" x14ac:dyDescent="0.4">
      <c r="A1" s="364" t="s">
        <v>2222</v>
      </c>
      <c r="B1" s="384" t="s">
        <v>906</v>
      </c>
      <c r="C1" s="384" t="s">
        <v>899</v>
      </c>
      <c r="D1" s="384" t="s">
        <v>1021</v>
      </c>
      <c r="E1" s="384" t="s">
        <v>1022</v>
      </c>
      <c r="F1" s="384" t="s">
        <v>1023</v>
      </c>
      <c r="G1" s="387" t="s">
        <v>1024</v>
      </c>
      <c r="H1" s="384" t="s">
        <v>5</v>
      </c>
    </row>
    <row r="2" spans="1:8" ht="15.75" customHeight="1" thickBot="1" x14ac:dyDescent="0.4">
      <c r="A2" t="s">
        <v>1025</v>
      </c>
      <c r="B2" t="s">
        <v>2221</v>
      </c>
      <c r="C2" s="385" t="s">
        <v>1026</v>
      </c>
      <c r="D2" s="385" t="str">
        <f>A2&amp;C2</f>
        <v>CFR -CEM-42.5N</v>
      </c>
      <c r="E2" s="385" t="s">
        <v>1027</v>
      </c>
      <c r="F2" s="385" t="s">
        <v>1028</v>
      </c>
      <c r="G2" s="388">
        <v>129</v>
      </c>
      <c r="H2" s="385" t="s">
        <v>1029</v>
      </c>
    </row>
    <row r="3" spans="1:8" ht="28.5" customHeight="1" thickBot="1" x14ac:dyDescent="0.4">
      <c r="A3" t="s">
        <v>1025</v>
      </c>
      <c r="B3" t="s">
        <v>2221</v>
      </c>
      <c r="C3" s="385" t="s">
        <v>1030</v>
      </c>
      <c r="D3" s="385" t="str">
        <f t="shared" ref="D3:D9" si="0">A3&amp;C3</f>
        <v>CFR -CEM-52.5N</v>
      </c>
      <c r="E3" s="385" t="s">
        <v>1031</v>
      </c>
      <c r="F3" s="385" t="s">
        <v>1032</v>
      </c>
      <c r="G3" s="388">
        <v>145</v>
      </c>
      <c r="H3" s="385" t="s">
        <v>1029</v>
      </c>
    </row>
    <row r="4" spans="1:8" ht="16.5" customHeight="1" thickBot="1" x14ac:dyDescent="0.4">
      <c r="A4" t="s">
        <v>1025</v>
      </c>
      <c r="B4" t="s">
        <v>2221</v>
      </c>
      <c r="C4" s="385" t="s">
        <v>1033</v>
      </c>
      <c r="D4" s="385" t="str">
        <f t="shared" si="0"/>
        <v>CFR -SAN-RIV</v>
      </c>
      <c r="E4" s="385" t="s">
        <v>1034</v>
      </c>
      <c r="F4" s="385" t="s">
        <v>1035</v>
      </c>
      <c r="G4" s="388">
        <v>550</v>
      </c>
      <c r="H4" s="385" t="s">
        <v>587</v>
      </c>
    </row>
    <row r="5" spans="1:8" ht="16.5" customHeight="1" thickBot="1" x14ac:dyDescent="0.4">
      <c r="A5" t="s">
        <v>1025</v>
      </c>
      <c r="B5" t="s">
        <v>2221</v>
      </c>
      <c r="C5" s="385" t="s">
        <v>1036</v>
      </c>
      <c r="D5" s="385" t="str">
        <f t="shared" si="0"/>
        <v>CFR -STO-19</v>
      </c>
      <c r="E5" s="385" t="s">
        <v>1037</v>
      </c>
      <c r="F5" s="385" t="s">
        <v>1038</v>
      </c>
      <c r="G5" s="388">
        <v>550</v>
      </c>
      <c r="H5" s="385" t="s">
        <v>587</v>
      </c>
    </row>
    <row r="6" spans="1:8" ht="17.25" customHeight="1" thickBot="1" x14ac:dyDescent="0.4">
      <c r="A6" t="s">
        <v>1025</v>
      </c>
      <c r="B6" t="s">
        <v>2221</v>
      </c>
      <c r="C6" s="385" t="s">
        <v>1039</v>
      </c>
      <c r="D6" s="385" t="str">
        <f t="shared" si="0"/>
        <v>CFR -STO-13</v>
      </c>
      <c r="E6" s="385" t="s">
        <v>1037</v>
      </c>
      <c r="F6" s="385" t="s">
        <v>1040</v>
      </c>
      <c r="G6" s="388"/>
      <c r="H6" s="385" t="s">
        <v>587</v>
      </c>
    </row>
    <row r="7" spans="1:8" ht="20.25" customHeight="1" thickBot="1" x14ac:dyDescent="0.4">
      <c r="A7" t="s">
        <v>1025</v>
      </c>
      <c r="B7" t="s">
        <v>2221</v>
      </c>
      <c r="C7" s="385" t="s">
        <v>1041</v>
      </c>
      <c r="D7" s="385" t="str">
        <f t="shared" si="0"/>
        <v>CFR -STO-9.5</v>
      </c>
      <c r="E7" s="385" t="s">
        <v>1037</v>
      </c>
      <c r="F7" s="385" t="s">
        <v>1042</v>
      </c>
      <c r="G7" s="388"/>
      <c r="H7" s="385" t="s">
        <v>587</v>
      </c>
    </row>
    <row r="8" spans="1:8" ht="27" customHeight="1" thickBot="1" x14ac:dyDescent="0.4">
      <c r="A8" t="s">
        <v>1025</v>
      </c>
      <c r="B8" t="s">
        <v>2221</v>
      </c>
      <c r="C8" s="385" t="s">
        <v>1043</v>
      </c>
      <c r="D8" s="385" t="str">
        <f t="shared" si="0"/>
        <v>CFR -CON-CUR</v>
      </c>
      <c r="E8" s="385" t="s">
        <v>1044</v>
      </c>
      <c r="F8" s="385" t="s">
        <v>1045</v>
      </c>
      <c r="G8" s="388"/>
      <c r="H8" s="385" t="s">
        <v>1046</v>
      </c>
    </row>
    <row r="9" spans="1:8" ht="18.75" customHeight="1" thickBot="1" x14ac:dyDescent="0.4">
      <c r="A9" t="s">
        <v>1025</v>
      </c>
      <c r="B9" t="s">
        <v>2221</v>
      </c>
      <c r="C9" s="385" t="s">
        <v>1047</v>
      </c>
      <c r="D9" s="385" t="str">
        <f t="shared" si="0"/>
        <v>CFR -CON-GRO-NS</v>
      </c>
      <c r="E9" s="385" t="s">
        <v>1048</v>
      </c>
      <c r="F9" s="385" t="s">
        <v>1049</v>
      </c>
      <c r="G9" s="388"/>
      <c r="H9" s="385" t="s">
        <v>1050</v>
      </c>
    </row>
    <row r="10" spans="1:8" ht="15" thickBot="1" x14ac:dyDescent="0.4">
      <c r="A10" t="s">
        <v>1025</v>
      </c>
      <c r="B10" t="s">
        <v>2221</v>
      </c>
      <c r="C10" s="385" t="s">
        <v>1051</v>
      </c>
      <c r="D10" s="385" t="str">
        <f>A10&amp;C10</f>
        <v>CFR -FRM-PLY-21</v>
      </c>
      <c r="E10" s="385" t="s">
        <v>1052</v>
      </c>
      <c r="F10" s="385" t="s">
        <v>1053</v>
      </c>
      <c r="G10" s="388"/>
      <c r="H10" s="385" t="s">
        <v>1054</v>
      </c>
    </row>
    <row r="11" spans="1:8" ht="15" thickBot="1" x14ac:dyDescent="0.4">
      <c r="A11" t="s">
        <v>1025</v>
      </c>
      <c r="B11" t="s">
        <v>2221</v>
      </c>
      <c r="C11" s="385" t="s">
        <v>1055</v>
      </c>
      <c r="D11" s="385" t="str">
        <f t="shared" ref="D11:D15" si="1">A11&amp;C11</f>
        <v>CFR -FRM-TIM-S5</v>
      </c>
      <c r="E11" s="385" t="s">
        <v>1056</v>
      </c>
      <c r="F11" s="385" t="s">
        <v>1057</v>
      </c>
      <c r="G11" s="388"/>
      <c r="H11" s="385" t="s">
        <v>1058</v>
      </c>
    </row>
    <row r="12" spans="1:8" ht="15" thickBot="1" x14ac:dyDescent="0.4">
      <c r="A12" t="s">
        <v>1025</v>
      </c>
      <c r="B12" t="s">
        <v>2221</v>
      </c>
      <c r="C12" s="385" t="s">
        <v>1059</v>
      </c>
      <c r="D12" s="385" t="str">
        <f t="shared" si="1"/>
        <v>CFR -FRM-OIL-RE</v>
      </c>
      <c r="E12" s="385" t="s">
        <v>1060</v>
      </c>
      <c r="F12" s="385" t="s">
        <v>1061</v>
      </c>
      <c r="G12" s="388"/>
      <c r="H12" s="385" t="s">
        <v>1062</v>
      </c>
    </row>
    <row r="13" spans="1:8" ht="15" thickBot="1" x14ac:dyDescent="0.4">
      <c r="A13" t="s">
        <v>1025</v>
      </c>
      <c r="B13" t="s">
        <v>2221</v>
      </c>
      <c r="C13" s="385" t="s">
        <v>1063</v>
      </c>
      <c r="D13" s="385" t="str">
        <f t="shared" si="1"/>
        <v>CFR -FRM-TIE-RD</v>
      </c>
      <c r="E13" s="385" t="s">
        <v>1064</v>
      </c>
      <c r="F13" s="385" t="s">
        <v>1065</v>
      </c>
      <c r="G13" s="388"/>
      <c r="H13" s="385" t="s">
        <v>186</v>
      </c>
    </row>
    <row r="14" spans="1:8" ht="15" thickBot="1" x14ac:dyDescent="0.4">
      <c r="A14" t="s">
        <v>1025</v>
      </c>
      <c r="B14" t="s">
        <v>2221</v>
      </c>
      <c r="C14" s="385" t="s">
        <v>1066</v>
      </c>
      <c r="D14" s="385" t="str">
        <f t="shared" si="1"/>
        <v>CFR -FRM-TIE-CO</v>
      </c>
      <c r="E14" s="385" t="s">
        <v>1067</v>
      </c>
      <c r="F14" s="385" t="s">
        <v>1068</v>
      </c>
      <c r="G14" s="388"/>
      <c r="H14" s="385" t="s">
        <v>1069</v>
      </c>
    </row>
    <row r="15" spans="1:8" ht="15" thickBot="1" x14ac:dyDescent="0.4">
      <c r="A15" t="s">
        <v>1025</v>
      </c>
      <c r="B15" t="s">
        <v>2221</v>
      </c>
      <c r="C15" s="385" t="s">
        <v>1070</v>
      </c>
      <c r="D15" s="385" t="str">
        <f t="shared" si="1"/>
        <v>CFR -FRM-CHM-ST</v>
      </c>
      <c r="E15" s="385" t="s">
        <v>1071</v>
      </c>
      <c r="F15" s="385" t="s">
        <v>1072</v>
      </c>
      <c r="G15" s="388"/>
      <c r="H15" s="385" t="s">
        <v>1058</v>
      </c>
    </row>
    <row r="16" spans="1:8" ht="28.5" thickBot="1" x14ac:dyDescent="0.4">
      <c r="A16" t="s">
        <v>1025</v>
      </c>
      <c r="B16" t="s">
        <v>2221</v>
      </c>
      <c r="C16" s="385" t="s">
        <v>1073</v>
      </c>
      <c r="D16" s="385" t="str">
        <f>A16&amp;C16</f>
        <v>CFR -Y-REBAR-VAR</v>
      </c>
      <c r="E16" s="385" t="s">
        <v>1074</v>
      </c>
      <c r="F16" s="385" t="s">
        <v>1075</v>
      </c>
      <c r="G16" s="388"/>
      <c r="H16" s="385" t="s">
        <v>1076</v>
      </c>
    </row>
    <row r="17" spans="1:8" ht="28.5" thickBot="1" x14ac:dyDescent="0.4">
      <c r="A17" t="s">
        <v>1025</v>
      </c>
      <c r="B17" t="s">
        <v>2221</v>
      </c>
      <c r="C17" s="385" t="s">
        <v>1077</v>
      </c>
      <c r="D17" s="385" t="str">
        <f t="shared" ref="D17:D22" si="2">A17&amp;C17</f>
        <v>CFR -R-REBAR-VAR</v>
      </c>
      <c r="E17" s="385" t="s">
        <v>1078</v>
      </c>
      <c r="F17" s="385" t="s">
        <v>1079</v>
      </c>
      <c r="G17" s="388"/>
      <c r="H17" s="385" t="s">
        <v>1076</v>
      </c>
    </row>
    <row r="18" spans="1:8" ht="28.5" thickBot="1" x14ac:dyDescent="0.4">
      <c r="A18" t="s">
        <v>1025</v>
      </c>
      <c r="B18" t="s">
        <v>2221</v>
      </c>
      <c r="C18" s="385" t="s">
        <v>1080</v>
      </c>
      <c r="D18" s="385" t="str">
        <f t="shared" si="2"/>
        <v>CFR -REF-MESH-VAR</v>
      </c>
      <c r="E18" s="385" t="s">
        <v>1081</v>
      </c>
      <c r="F18" s="385" t="s">
        <v>1082</v>
      </c>
      <c r="G18" s="388"/>
      <c r="H18" s="385" t="s">
        <v>245</v>
      </c>
    </row>
    <row r="19" spans="1:8" ht="28.5" thickBot="1" x14ac:dyDescent="0.4">
      <c r="A19" t="s">
        <v>1025</v>
      </c>
      <c r="B19" t="s">
        <v>2221</v>
      </c>
      <c r="C19" s="385" t="s">
        <v>1083</v>
      </c>
      <c r="D19" s="385" t="str">
        <f t="shared" si="2"/>
        <v>CFR -STL-CPL-MECH</v>
      </c>
      <c r="E19" s="385" t="s">
        <v>1084</v>
      </c>
      <c r="F19" s="385" t="s">
        <v>1085</v>
      </c>
      <c r="G19" s="388"/>
      <c r="H19" s="385" t="s">
        <v>1069</v>
      </c>
    </row>
    <row r="20" spans="1:8" ht="15" thickBot="1" x14ac:dyDescent="0.4">
      <c r="A20" t="s">
        <v>1025</v>
      </c>
      <c r="B20" t="s">
        <v>2221</v>
      </c>
      <c r="C20" s="385" t="s">
        <v>1086</v>
      </c>
      <c r="D20" s="385" t="str">
        <f t="shared" si="2"/>
        <v>CFR -STL-SPC-PL</v>
      </c>
      <c r="E20" s="385" t="s">
        <v>1087</v>
      </c>
      <c r="F20" s="385" t="s">
        <v>1088</v>
      </c>
      <c r="G20" s="388"/>
      <c r="H20" s="385" t="s">
        <v>1069</v>
      </c>
    </row>
    <row r="21" spans="1:8" ht="15" thickBot="1" x14ac:dyDescent="0.4">
      <c r="A21" t="s">
        <v>1025</v>
      </c>
      <c r="B21" t="s">
        <v>2221</v>
      </c>
      <c r="C21" s="385" t="s">
        <v>1089</v>
      </c>
      <c r="D21" s="385" t="str">
        <f t="shared" si="2"/>
        <v>CFR -STL-CHR-ST</v>
      </c>
      <c r="E21" s="385" t="s">
        <v>1090</v>
      </c>
      <c r="F21" s="385" t="s">
        <v>1091</v>
      </c>
      <c r="G21" s="388"/>
      <c r="H21" s="385" t="s">
        <v>1069</v>
      </c>
    </row>
    <row r="22" spans="1:8" ht="15" thickBot="1" x14ac:dyDescent="0.4">
      <c r="A22" t="s">
        <v>1025</v>
      </c>
      <c r="B22" t="s">
        <v>2221</v>
      </c>
      <c r="C22" s="385" t="s">
        <v>1092</v>
      </c>
      <c r="D22" s="385" t="str">
        <f t="shared" si="2"/>
        <v>CFR -BIND-WIRE</v>
      </c>
      <c r="E22" s="385" t="s">
        <v>1093</v>
      </c>
      <c r="F22" s="385" t="s">
        <v>1094</v>
      </c>
      <c r="G22" s="388"/>
      <c r="H22" s="385" t="s">
        <v>1095</v>
      </c>
    </row>
    <row r="23" spans="1:8" ht="15" thickBot="1" x14ac:dyDescent="0.4">
      <c r="A23" t="s">
        <v>1096</v>
      </c>
      <c r="B23" t="s">
        <v>2223</v>
      </c>
      <c r="C23" s="385" t="s">
        <v>1097</v>
      </c>
      <c r="D23" s="385" t="str">
        <f>A23&amp;C23</f>
        <v>MAN -NFP-230</v>
      </c>
      <c r="E23" s="385" t="s">
        <v>1098</v>
      </c>
      <c r="F23" s="385" t="s">
        <v>1099</v>
      </c>
      <c r="G23" s="388"/>
      <c r="H23" s="385">
        <v>1000</v>
      </c>
    </row>
    <row r="24" spans="1:8" ht="15" thickBot="1" x14ac:dyDescent="0.4">
      <c r="A24" t="s">
        <v>1096</v>
      </c>
      <c r="B24" t="s">
        <v>2223</v>
      </c>
      <c r="C24" s="385" t="s">
        <v>1100</v>
      </c>
      <c r="D24" s="385" t="str">
        <f t="shared" ref="D24:D29" si="3">A24&amp;C24</f>
        <v>MAN -NFP-115</v>
      </c>
      <c r="E24" s="385" t="s">
        <v>1098</v>
      </c>
      <c r="F24" s="385" t="s">
        <v>1101</v>
      </c>
      <c r="G24" s="388"/>
      <c r="H24" s="385">
        <v>1000</v>
      </c>
    </row>
    <row r="25" spans="1:8" ht="15" thickBot="1" x14ac:dyDescent="0.4">
      <c r="A25" t="s">
        <v>1096</v>
      </c>
      <c r="B25" t="s">
        <v>2223</v>
      </c>
      <c r="C25" s="385" t="s">
        <v>1102</v>
      </c>
      <c r="D25" s="385" t="str">
        <f t="shared" si="3"/>
        <v>MAN -FBX-230</v>
      </c>
      <c r="E25" s="385" t="s">
        <v>1103</v>
      </c>
      <c r="F25" s="385" t="s">
        <v>1104</v>
      </c>
      <c r="G25" s="388"/>
      <c r="H25" s="385">
        <v>1000</v>
      </c>
    </row>
    <row r="26" spans="1:8" ht="15" thickBot="1" x14ac:dyDescent="0.4">
      <c r="A26" t="s">
        <v>1096</v>
      </c>
      <c r="B26" t="s">
        <v>2223</v>
      </c>
      <c r="C26" s="385" t="s">
        <v>1105</v>
      </c>
      <c r="D26" s="385" t="str">
        <f t="shared" si="3"/>
        <v>MAN -CEM-STD</v>
      </c>
      <c r="E26" s="385" t="s">
        <v>1106</v>
      </c>
      <c r="F26" s="385" t="s">
        <v>1107</v>
      </c>
      <c r="G26" s="388"/>
      <c r="H26" s="385">
        <v>1000</v>
      </c>
    </row>
    <row r="27" spans="1:8" ht="15" thickBot="1" x14ac:dyDescent="0.4">
      <c r="A27" t="s">
        <v>1096</v>
      </c>
      <c r="B27" t="s">
        <v>2223</v>
      </c>
      <c r="C27" s="385" t="s">
        <v>1108</v>
      </c>
      <c r="D27" s="385" t="str">
        <f t="shared" si="3"/>
        <v>MAN -BLOCK-M140</v>
      </c>
      <c r="E27" s="385" t="s">
        <v>1109</v>
      </c>
      <c r="F27" s="385" t="s">
        <v>1110</v>
      </c>
      <c r="G27" s="388"/>
      <c r="H27" s="385" t="s">
        <v>1069</v>
      </c>
    </row>
    <row r="28" spans="1:8" ht="15" thickBot="1" x14ac:dyDescent="0.4">
      <c r="A28" t="s">
        <v>1096</v>
      </c>
      <c r="B28" t="s">
        <v>2223</v>
      </c>
      <c r="C28" s="385" t="s">
        <v>1111</v>
      </c>
      <c r="D28" s="385" t="str">
        <f t="shared" si="3"/>
        <v>MAN -BLOCK-M90</v>
      </c>
      <c r="E28" s="385" t="s">
        <v>1109</v>
      </c>
      <c r="F28" s="385" t="s">
        <v>1112</v>
      </c>
      <c r="G28" s="388"/>
      <c r="H28" s="385" t="s">
        <v>1069</v>
      </c>
    </row>
    <row r="29" spans="1:8" ht="15" thickBot="1" x14ac:dyDescent="0.4">
      <c r="A29" t="s">
        <v>1096</v>
      </c>
      <c r="B29" t="s">
        <v>2223</v>
      </c>
      <c r="C29" s="385" t="s">
        <v>1113</v>
      </c>
      <c r="D29" s="385" t="str">
        <f t="shared" si="3"/>
        <v>MAN -BLOCK-U140</v>
      </c>
      <c r="E29" s="385" t="s">
        <v>1114</v>
      </c>
      <c r="F29" s="385" t="s">
        <v>1115</v>
      </c>
      <c r="G29" s="388"/>
      <c r="H29" s="385" t="s">
        <v>1069</v>
      </c>
    </row>
    <row r="30" spans="1:8" ht="36" customHeight="1" thickBot="1" x14ac:dyDescent="0.4">
      <c r="A30" t="s">
        <v>1096</v>
      </c>
      <c r="B30" t="s">
        <v>2223</v>
      </c>
      <c r="C30" s="385" t="s">
        <v>1116</v>
      </c>
      <c r="D30" s="385" t="str">
        <f>A30&amp;C30</f>
        <v>MAN -CEM-PORT-42.4N</v>
      </c>
      <c r="E30" s="385" t="s">
        <v>1027</v>
      </c>
      <c r="F30" s="385" t="s">
        <v>1117</v>
      </c>
      <c r="G30" s="388"/>
      <c r="H30" s="385" t="s">
        <v>1029</v>
      </c>
    </row>
    <row r="31" spans="1:8" ht="15" thickBot="1" x14ac:dyDescent="0.4">
      <c r="A31" t="s">
        <v>1096</v>
      </c>
      <c r="B31" t="s">
        <v>2223</v>
      </c>
      <c r="C31" s="385" t="s">
        <v>1118</v>
      </c>
      <c r="D31" s="385" t="str">
        <f t="shared" ref="D31:D33" si="4">A31&amp;C31</f>
        <v>MAN -BUILD-LIME</v>
      </c>
      <c r="E31" s="385" t="s">
        <v>1119</v>
      </c>
      <c r="F31" s="385" t="s">
        <v>1120</v>
      </c>
      <c r="G31" s="388"/>
      <c r="H31" s="385" t="s">
        <v>1029</v>
      </c>
    </row>
    <row r="32" spans="1:8" ht="15" thickBot="1" x14ac:dyDescent="0.4">
      <c r="A32" t="s">
        <v>1096</v>
      </c>
      <c r="B32" t="s">
        <v>2223</v>
      </c>
      <c r="C32" s="385" t="s">
        <v>1121</v>
      </c>
      <c r="D32" s="385" t="str">
        <f t="shared" si="4"/>
        <v>MAN -BUILD-SAND</v>
      </c>
      <c r="E32" s="385" t="s">
        <v>1122</v>
      </c>
      <c r="F32" s="385" t="s">
        <v>1123</v>
      </c>
      <c r="G32" s="388"/>
      <c r="H32" s="385" t="s">
        <v>587</v>
      </c>
    </row>
    <row r="33" spans="1:8" ht="15" thickBot="1" x14ac:dyDescent="0.4">
      <c r="A33" t="s">
        <v>1096</v>
      </c>
      <c r="B33" t="s">
        <v>2223</v>
      </c>
      <c r="C33" s="385" t="s">
        <v>1124</v>
      </c>
      <c r="D33" s="385" t="str">
        <f t="shared" si="4"/>
        <v>MAN -MOR-PIGM</v>
      </c>
      <c r="E33" s="385" t="s">
        <v>1125</v>
      </c>
      <c r="F33" s="385" t="s">
        <v>1126</v>
      </c>
      <c r="G33" s="388"/>
      <c r="H33" s="385" t="s">
        <v>1127</v>
      </c>
    </row>
    <row r="34" spans="1:8" ht="15" thickBot="1" x14ac:dyDescent="0.4">
      <c r="A34" t="s">
        <v>1096</v>
      </c>
      <c r="B34" t="s">
        <v>2223</v>
      </c>
      <c r="C34" s="385" t="s">
        <v>1128</v>
      </c>
      <c r="D34" s="385" t="str">
        <f>A34&amp;C34</f>
        <v>MAN -BRK-FOR-75</v>
      </c>
      <c r="E34" s="385" t="s">
        <v>1129</v>
      </c>
      <c r="F34" s="385" t="s">
        <v>1130</v>
      </c>
      <c r="G34" s="388"/>
      <c r="H34" s="385" t="s">
        <v>1131</v>
      </c>
    </row>
    <row r="35" spans="1:8" ht="15" thickBot="1" x14ac:dyDescent="0.4">
      <c r="A35" t="s">
        <v>1096</v>
      </c>
      <c r="B35" t="s">
        <v>2223</v>
      </c>
      <c r="C35" s="385" t="s">
        <v>1132</v>
      </c>
      <c r="D35" s="385" t="str">
        <f t="shared" ref="D35:D38" si="5">A35&amp;C35</f>
        <v>MAN -BRK-FOR-150</v>
      </c>
      <c r="E35" s="385" t="s">
        <v>1129</v>
      </c>
      <c r="F35" s="385" t="s">
        <v>1133</v>
      </c>
      <c r="G35" s="388"/>
      <c r="H35" s="385" t="s">
        <v>1131</v>
      </c>
    </row>
    <row r="36" spans="1:8" ht="15" thickBot="1" x14ac:dyDescent="0.4">
      <c r="A36" t="s">
        <v>1096</v>
      </c>
      <c r="B36" t="s">
        <v>2223</v>
      </c>
      <c r="C36" s="385" t="s">
        <v>1134</v>
      </c>
      <c r="D36" s="385" t="str">
        <f t="shared" si="5"/>
        <v>MAN -HOOP-32</v>
      </c>
      <c r="E36" s="385" t="s">
        <v>1135</v>
      </c>
      <c r="F36" s="385" t="s">
        <v>1136</v>
      </c>
      <c r="G36" s="388"/>
      <c r="H36" s="385" t="s">
        <v>1137</v>
      </c>
    </row>
    <row r="37" spans="1:8" ht="15" thickBot="1" x14ac:dyDescent="0.4">
      <c r="A37" t="s">
        <v>1096</v>
      </c>
      <c r="B37" t="s">
        <v>2223</v>
      </c>
      <c r="C37" s="385" t="s">
        <v>1138</v>
      </c>
      <c r="D37" s="385" t="str">
        <f t="shared" si="5"/>
        <v>MAN -WALL-TIE-C</v>
      </c>
      <c r="E37" s="385" t="s">
        <v>1139</v>
      </c>
      <c r="F37" s="385" t="s">
        <v>1140</v>
      </c>
      <c r="G37" s="388"/>
      <c r="H37" s="385" t="s">
        <v>1069</v>
      </c>
    </row>
    <row r="38" spans="1:8" ht="15" thickBot="1" x14ac:dyDescent="0.4">
      <c r="A38" t="s">
        <v>1096</v>
      </c>
      <c r="B38" t="s">
        <v>2223</v>
      </c>
      <c r="C38" s="385" t="s">
        <v>1141</v>
      </c>
      <c r="D38" s="385" t="str">
        <f t="shared" si="5"/>
        <v>MAN -Y10-REBAR</v>
      </c>
      <c r="E38" s="385" t="s">
        <v>1074</v>
      </c>
      <c r="F38" s="385" t="s">
        <v>1142</v>
      </c>
      <c r="G38" s="388"/>
      <c r="H38" s="385" t="s">
        <v>1143</v>
      </c>
    </row>
    <row r="39" spans="1:8" ht="15" thickBot="1" x14ac:dyDescent="0.4">
      <c r="A39" t="s">
        <v>1096</v>
      </c>
      <c r="B39" t="s">
        <v>2223</v>
      </c>
      <c r="C39" s="385" t="s">
        <v>1144</v>
      </c>
      <c r="D39" s="385" t="str">
        <f>A39&amp;C39</f>
        <v>MAN -PAV-BEV-50</v>
      </c>
      <c r="E39" s="385" t="s">
        <v>1145</v>
      </c>
      <c r="F39" s="385" t="s">
        <v>1146</v>
      </c>
      <c r="G39" s="388"/>
      <c r="H39" s="385" t="s">
        <v>1069</v>
      </c>
    </row>
    <row r="40" spans="1:8" ht="15" thickBot="1" x14ac:dyDescent="0.4">
      <c r="A40" t="s">
        <v>1096</v>
      </c>
      <c r="B40" t="s">
        <v>2223</v>
      </c>
      <c r="C40" s="385" t="s">
        <v>1147</v>
      </c>
      <c r="D40" s="385" t="str">
        <f t="shared" ref="D40:D43" si="6">A40&amp;C40</f>
        <v>MAN -PAV-TILE-C</v>
      </c>
      <c r="E40" s="385" t="s">
        <v>1148</v>
      </c>
      <c r="F40" s="385" t="s">
        <v>1149</v>
      </c>
      <c r="G40" s="388"/>
      <c r="H40" s="385" t="s">
        <v>1069</v>
      </c>
    </row>
    <row r="41" spans="1:8" ht="15" thickBot="1" x14ac:dyDescent="0.4">
      <c r="A41" t="s">
        <v>1096</v>
      </c>
      <c r="B41" t="s">
        <v>2223</v>
      </c>
      <c r="C41" s="385" t="s">
        <v>1150</v>
      </c>
      <c r="D41" s="385" t="str">
        <f t="shared" si="6"/>
        <v>MAN -PAV-QUARRY</v>
      </c>
      <c r="E41" s="385" t="s">
        <v>1151</v>
      </c>
      <c r="F41" s="385" t="s">
        <v>1152</v>
      </c>
      <c r="G41" s="388"/>
      <c r="H41" s="385" t="s">
        <v>1069</v>
      </c>
    </row>
    <row r="42" spans="1:8" ht="15" thickBot="1" x14ac:dyDescent="0.4">
      <c r="A42" t="s">
        <v>1096</v>
      </c>
      <c r="B42" t="s">
        <v>2223</v>
      </c>
      <c r="C42" s="385" t="s">
        <v>1153</v>
      </c>
      <c r="D42" s="385" t="str">
        <f t="shared" si="6"/>
        <v>MAN -SILL-PRE-1</v>
      </c>
      <c r="E42" s="385" t="s">
        <v>1154</v>
      </c>
      <c r="F42" s="385" t="s">
        <v>1155</v>
      </c>
      <c r="G42" s="388"/>
      <c r="H42" s="385" t="s">
        <v>186</v>
      </c>
    </row>
    <row r="43" spans="1:8" ht="15" thickBot="1" x14ac:dyDescent="0.4">
      <c r="A43" t="s">
        <v>1096</v>
      </c>
      <c r="B43" t="s">
        <v>2223</v>
      </c>
      <c r="C43" s="385" t="s">
        <v>1156</v>
      </c>
      <c r="D43" s="385" t="str">
        <f t="shared" si="6"/>
        <v>MAN -KERB-FIG10</v>
      </c>
      <c r="E43" s="385" t="s">
        <v>1157</v>
      </c>
      <c r="F43" s="385" t="s">
        <v>1158</v>
      </c>
      <c r="G43" s="388"/>
      <c r="H43" s="385" t="s">
        <v>1069</v>
      </c>
    </row>
    <row r="44" spans="1:8" ht="15" thickBot="1" x14ac:dyDescent="0.4">
      <c r="A44" t="s">
        <v>1096</v>
      </c>
      <c r="B44" t="s">
        <v>2223</v>
      </c>
      <c r="C44" s="385" t="s">
        <v>1159</v>
      </c>
      <c r="D44" s="385" t="str">
        <f>A44&amp;C44</f>
        <v>MAN -AIR-BRK-TC</v>
      </c>
      <c r="E44" s="385" t="s">
        <v>1160</v>
      </c>
      <c r="F44" s="385" t="s">
        <v>1161</v>
      </c>
      <c r="G44" s="388"/>
      <c r="H44" s="385" t="s">
        <v>1069</v>
      </c>
    </row>
    <row r="45" spans="1:8" ht="15" thickBot="1" x14ac:dyDescent="0.4">
      <c r="A45" t="s">
        <v>1096</v>
      </c>
      <c r="B45" t="s">
        <v>2223</v>
      </c>
      <c r="C45" s="385" t="s">
        <v>1162</v>
      </c>
      <c r="D45" s="385" t="str">
        <f t="shared" ref="D45:D47" si="7">A45&amp;C45</f>
        <v>MAN -CHIM-POT-C</v>
      </c>
      <c r="E45" s="385" t="s">
        <v>1163</v>
      </c>
      <c r="F45" s="385" t="s">
        <v>1164</v>
      </c>
      <c r="G45" s="388"/>
      <c r="H45" s="385" t="s">
        <v>1069</v>
      </c>
    </row>
    <row r="46" spans="1:8" ht="15" thickBot="1" x14ac:dyDescent="0.4">
      <c r="A46" t="s">
        <v>1096</v>
      </c>
      <c r="B46" t="s">
        <v>2223</v>
      </c>
      <c r="C46" s="385" t="s">
        <v>1165</v>
      </c>
      <c r="D46" s="385" t="str">
        <f t="shared" si="7"/>
        <v>MAN -FIRE-JET-I</v>
      </c>
      <c r="E46" s="385" t="s">
        <v>1166</v>
      </c>
      <c r="F46" s="385" t="s">
        <v>1167</v>
      </c>
      <c r="G46" s="388"/>
      <c r="H46" s="385" t="s">
        <v>1069</v>
      </c>
    </row>
    <row r="47" spans="1:8" ht="15" thickBot="1" x14ac:dyDescent="0.4">
      <c r="A47" t="s">
        <v>1096</v>
      </c>
      <c r="B47" t="s">
        <v>2223</v>
      </c>
      <c r="C47" s="385" t="s">
        <v>1168</v>
      </c>
      <c r="D47" s="385" t="str">
        <f t="shared" si="7"/>
        <v>MAN -BAG-MIX</v>
      </c>
      <c r="E47" s="385" t="s">
        <v>1169</v>
      </c>
      <c r="F47" s="385" t="s">
        <v>1170</v>
      </c>
      <c r="G47" s="388"/>
      <c r="H47" s="385" t="s">
        <v>1029</v>
      </c>
    </row>
    <row r="48" spans="1:8" ht="15" thickBot="1" x14ac:dyDescent="0.4">
      <c r="A48" t="s">
        <v>1171</v>
      </c>
      <c r="B48" t="s">
        <v>2224</v>
      </c>
      <c r="C48" s="385" t="s">
        <v>1172</v>
      </c>
      <c r="D48" s="385" t="str">
        <f>A48&amp;C48</f>
        <v>WPR  -DPC-BRK-375</v>
      </c>
      <c r="E48" s="385" t="s">
        <v>1173</v>
      </c>
      <c r="F48" s="385" t="s">
        <v>1174</v>
      </c>
      <c r="G48" s="388"/>
      <c r="H48" s="385" t="s">
        <v>1058</v>
      </c>
    </row>
    <row r="49" spans="1:8" ht="36.75" customHeight="1" thickBot="1" x14ac:dyDescent="0.4">
      <c r="A49" t="s">
        <v>1171</v>
      </c>
      <c r="B49" t="s">
        <v>2224</v>
      </c>
      <c r="C49" s="385" t="s">
        <v>1175</v>
      </c>
      <c r="D49" s="385" t="str">
        <f t="shared" ref="D49:D52" si="8">A49&amp;C49</f>
        <v>WPR  -DPC-TERM-75</v>
      </c>
      <c r="E49" s="385" t="s">
        <v>1176</v>
      </c>
      <c r="F49" s="385" t="s">
        <v>1177</v>
      </c>
      <c r="G49" s="388"/>
      <c r="H49" s="385" t="s">
        <v>1058</v>
      </c>
    </row>
    <row r="50" spans="1:8" ht="30.75" customHeight="1" thickBot="1" x14ac:dyDescent="0.4">
      <c r="A50" t="s">
        <v>1171</v>
      </c>
      <c r="B50" t="s">
        <v>2224</v>
      </c>
      <c r="C50" s="385" t="s">
        <v>1178</v>
      </c>
      <c r="D50" s="385" t="str">
        <f t="shared" si="8"/>
        <v>WPR  -DPC-BIT-FELT</v>
      </c>
      <c r="E50" s="385" t="s">
        <v>1179</v>
      </c>
      <c r="F50" s="385" t="s">
        <v>1180</v>
      </c>
      <c r="G50" s="388"/>
      <c r="H50" s="385" t="s">
        <v>1058</v>
      </c>
    </row>
    <row r="51" spans="1:8" ht="30.75" customHeight="1" thickBot="1" x14ac:dyDescent="0.4">
      <c r="A51" t="s">
        <v>1171</v>
      </c>
      <c r="B51" t="s">
        <v>2224</v>
      </c>
      <c r="C51" s="385" t="s">
        <v>1181</v>
      </c>
      <c r="D51" s="385" t="str">
        <f t="shared" si="8"/>
        <v>WPR  -DPM-USB-250</v>
      </c>
      <c r="E51" s="385" t="s">
        <v>1182</v>
      </c>
      <c r="F51" s="385" t="s">
        <v>1183</v>
      </c>
      <c r="G51" s="388"/>
      <c r="H51" s="385" t="s">
        <v>1184</v>
      </c>
    </row>
    <row r="52" spans="1:8" ht="15" thickBot="1" x14ac:dyDescent="0.4">
      <c r="A52" t="s">
        <v>1171</v>
      </c>
      <c r="B52" t="s">
        <v>2224</v>
      </c>
      <c r="C52" s="385" t="s">
        <v>1185</v>
      </c>
      <c r="D52" s="385" t="str">
        <f t="shared" si="8"/>
        <v>WPR  -DPM-HD-300</v>
      </c>
      <c r="E52" s="385" t="s">
        <v>1186</v>
      </c>
      <c r="F52" s="385" t="s">
        <v>1187</v>
      </c>
      <c r="G52" s="388"/>
      <c r="H52" s="385" t="s">
        <v>1184</v>
      </c>
    </row>
    <row r="53" spans="1:8" ht="15" thickBot="1" x14ac:dyDescent="0.4">
      <c r="A53" t="s">
        <v>1171</v>
      </c>
      <c r="B53" t="s">
        <v>2224</v>
      </c>
      <c r="C53" s="385" t="s">
        <v>1188</v>
      </c>
      <c r="D53" s="385" t="str">
        <f>A53&amp;C53</f>
        <v>WPR  -ACR-MEM-20</v>
      </c>
      <c r="E53" s="385" t="s">
        <v>1189</v>
      </c>
      <c r="F53" s="385" t="s">
        <v>1190</v>
      </c>
      <c r="G53" s="388"/>
      <c r="H53" s="385" t="s">
        <v>1191</v>
      </c>
    </row>
    <row r="54" spans="1:8" ht="15" thickBot="1" x14ac:dyDescent="0.4">
      <c r="A54" t="s">
        <v>1171</v>
      </c>
      <c r="B54" t="s">
        <v>2224</v>
      </c>
      <c r="C54" s="385" t="s">
        <v>1192</v>
      </c>
      <c r="D54" s="385" t="str">
        <f t="shared" ref="D54:D57" si="9">A54&amp;C54</f>
        <v>WPR  -BIT-LIQUI-20</v>
      </c>
      <c r="E54" s="385" t="s">
        <v>1193</v>
      </c>
      <c r="F54" s="385" t="s">
        <v>1194</v>
      </c>
      <c r="G54" s="388"/>
      <c r="H54" s="385" t="s">
        <v>1191</v>
      </c>
    </row>
    <row r="55" spans="1:8" ht="15" thickBot="1" x14ac:dyDescent="0.4">
      <c r="A55" t="s">
        <v>1171</v>
      </c>
      <c r="B55" t="s">
        <v>2224</v>
      </c>
      <c r="C55" s="385" t="s">
        <v>1195</v>
      </c>
      <c r="D55" s="385" t="str">
        <f t="shared" si="9"/>
        <v>WPR  -CEM-SEAL-5</v>
      </c>
      <c r="E55" s="385" t="s">
        <v>1196</v>
      </c>
      <c r="F55" s="385" t="s">
        <v>1197</v>
      </c>
      <c r="G55" s="388"/>
      <c r="H55" s="385" t="s">
        <v>1198</v>
      </c>
    </row>
    <row r="56" spans="1:8" ht="15" thickBot="1" x14ac:dyDescent="0.4">
      <c r="A56" t="s">
        <v>1171</v>
      </c>
      <c r="B56" t="s">
        <v>2224</v>
      </c>
      <c r="C56" s="385" t="s">
        <v>1199</v>
      </c>
      <c r="D56" s="385" t="str">
        <f t="shared" si="9"/>
        <v>WPR  -PU-SEAL-10</v>
      </c>
      <c r="E56" s="385" t="s">
        <v>1200</v>
      </c>
      <c r="F56" s="385" t="s">
        <v>1201</v>
      </c>
      <c r="G56" s="388"/>
      <c r="H56" s="385" t="s">
        <v>1191</v>
      </c>
    </row>
    <row r="57" spans="1:8" ht="40.5" customHeight="1" thickBot="1" x14ac:dyDescent="0.4">
      <c r="A57" t="s">
        <v>1171</v>
      </c>
      <c r="B57" t="s">
        <v>2224</v>
      </c>
      <c r="C57" s="385" t="s">
        <v>1202</v>
      </c>
      <c r="D57" s="385" t="str">
        <f t="shared" si="9"/>
        <v>WPR  -MEM-FAB-100</v>
      </c>
      <c r="E57" s="385" t="s">
        <v>1203</v>
      </c>
      <c r="F57" s="385" t="s">
        <v>1204</v>
      </c>
      <c r="G57" s="388"/>
      <c r="H57" s="385" t="s">
        <v>1184</v>
      </c>
    </row>
    <row r="58" spans="1:8" ht="15" thickBot="1" x14ac:dyDescent="0.4">
      <c r="A58" t="s">
        <v>1171</v>
      </c>
      <c r="B58" t="s">
        <v>2224</v>
      </c>
      <c r="C58" s="385" t="s">
        <v>1205</v>
      </c>
      <c r="D58" s="385" t="str">
        <f>A58&amp;C58</f>
        <v>WPR  -SL-ACR</v>
      </c>
      <c r="E58" s="385" t="s">
        <v>1206</v>
      </c>
      <c r="F58" s="385" t="s">
        <v>1207</v>
      </c>
      <c r="G58" s="388"/>
      <c r="H58" s="385" t="s">
        <v>1046</v>
      </c>
    </row>
    <row r="59" spans="1:8" ht="15" thickBot="1" x14ac:dyDescent="0.4">
      <c r="A59" t="s">
        <v>1171</v>
      </c>
      <c r="B59" t="s">
        <v>2224</v>
      </c>
      <c r="C59" s="385" t="s">
        <v>1208</v>
      </c>
      <c r="D59" s="385" t="str">
        <f t="shared" ref="D59:D61" si="10">A59&amp;C59</f>
        <v>WPR  -BIT-PR</v>
      </c>
      <c r="E59" s="385" t="s">
        <v>1209</v>
      </c>
      <c r="F59" s="385" t="s">
        <v>1210</v>
      </c>
      <c r="G59" s="388"/>
      <c r="H59" s="385" t="s">
        <v>1062</v>
      </c>
    </row>
    <row r="60" spans="1:8" ht="15" thickBot="1" x14ac:dyDescent="0.4">
      <c r="A60" t="s">
        <v>1171</v>
      </c>
      <c r="B60" t="s">
        <v>2224</v>
      </c>
      <c r="C60" s="385" t="s">
        <v>1211</v>
      </c>
      <c r="D60" s="385" t="str">
        <f t="shared" si="10"/>
        <v>WPR  -FLA-AL</v>
      </c>
      <c r="E60" s="385" t="s">
        <v>1212</v>
      </c>
      <c r="F60" s="385" t="s">
        <v>1213</v>
      </c>
      <c r="G60" s="388"/>
      <c r="H60" s="385" t="s">
        <v>1184</v>
      </c>
    </row>
    <row r="61" spans="1:8" ht="15" thickBot="1" x14ac:dyDescent="0.4">
      <c r="A61" t="s">
        <v>1171</v>
      </c>
      <c r="B61" t="s">
        <v>2224</v>
      </c>
      <c r="C61" s="385" t="s">
        <v>1214</v>
      </c>
      <c r="D61" s="385" t="str">
        <f t="shared" si="10"/>
        <v>WPR  -FLA-BT</v>
      </c>
      <c r="E61" s="385" t="s">
        <v>1215</v>
      </c>
      <c r="F61" s="385" t="s">
        <v>1216</v>
      </c>
      <c r="G61" s="388"/>
      <c r="H61" s="385" t="s">
        <v>1184</v>
      </c>
    </row>
    <row r="62" spans="1:8" ht="15" thickBot="1" x14ac:dyDescent="0.4">
      <c r="A62" t="s">
        <v>1171</v>
      </c>
      <c r="B62" t="s">
        <v>2224</v>
      </c>
      <c r="C62" s="385" t="s">
        <v>1217</v>
      </c>
      <c r="D62" s="385" t="str">
        <f>A62&amp;C62</f>
        <v>WPR  -PVC-WS</v>
      </c>
      <c r="E62" s="385" t="s">
        <v>1218</v>
      </c>
      <c r="F62" s="385" t="s">
        <v>1219</v>
      </c>
      <c r="G62" s="388"/>
      <c r="H62" s="385" t="s">
        <v>1058</v>
      </c>
    </row>
    <row r="63" spans="1:8" ht="15" thickBot="1" x14ac:dyDescent="0.4">
      <c r="A63" t="s">
        <v>1171</v>
      </c>
      <c r="B63" t="s">
        <v>2224</v>
      </c>
      <c r="C63" s="385" t="s">
        <v>1220</v>
      </c>
      <c r="D63" s="385" t="str">
        <f t="shared" ref="D63:D65" si="11">A63&amp;C63</f>
        <v>WPR  -SIL-300</v>
      </c>
      <c r="E63" s="385" t="s">
        <v>1221</v>
      </c>
      <c r="F63" s="385" t="s">
        <v>1222</v>
      </c>
      <c r="G63" s="388"/>
      <c r="H63" s="385" t="s">
        <v>1223</v>
      </c>
    </row>
    <row r="64" spans="1:8" ht="15" thickBot="1" x14ac:dyDescent="0.4">
      <c r="A64" t="s">
        <v>1171</v>
      </c>
      <c r="B64" t="s">
        <v>2224</v>
      </c>
      <c r="C64" s="385" t="s">
        <v>1224</v>
      </c>
      <c r="D64" s="385" t="str">
        <f t="shared" si="11"/>
        <v>WPR  -PU-JOINT</v>
      </c>
      <c r="E64" s="385" t="s">
        <v>1225</v>
      </c>
      <c r="F64" s="385" t="s">
        <v>1226</v>
      </c>
      <c r="G64" s="388"/>
      <c r="H64" s="385" t="s">
        <v>1069</v>
      </c>
    </row>
    <row r="65" spans="1:8" ht="15" thickBot="1" x14ac:dyDescent="0.4">
      <c r="A65" t="s">
        <v>1171</v>
      </c>
      <c r="B65" t="s">
        <v>2224</v>
      </c>
      <c r="C65" s="385" t="s">
        <v>1227</v>
      </c>
      <c r="D65" s="385" t="str">
        <f t="shared" si="11"/>
        <v>WPR  -SWELL-STR</v>
      </c>
      <c r="E65" s="385" t="s">
        <v>1228</v>
      </c>
      <c r="F65" s="385" t="s">
        <v>1229</v>
      </c>
      <c r="G65" s="388"/>
      <c r="H65" s="385" t="s">
        <v>1058</v>
      </c>
    </row>
    <row r="66" spans="1:8" ht="15" thickBot="1" x14ac:dyDescent="0.4">
      <c r="A66" t="s">
        <v>1230</v>
      </c>
      <c r="B66" t="s">
        <v>2225</v>
      </c>
      <c r="C66" s="385" t="s">
        <v>1231</v>
      </c>
      <c r="D66" s="385" t="str">
        <f>A66&amp;C66</f>
        <v>ROF -STR-LEAN</v>
      </c>
      <c r="E66" s="385" t="s">
        <v>1232</v>
      </c>
      <c r="F66" s="385" t="s">
        <v>1233</v>
      </c>
      <c r="G66" s="388"/>
      <c r="H66" s="385" t="s">
        <v>1058</v>
      </c>
    </row>
    <row r="67" spans="1:8" ht="15" thickBot="1" x14ac:dyDescent="0.4">
      <c r="A67" t="s">
        <v>1230</v>
      </c>
      <c r="B67" t="s">
        <v>2225</v>
      </c>
      <c r="C67" s="385" t="s">
        <v>1234</v>
      </c>
      <c r="D67" s="385" t="str">
        <f t="shared" ref="D67:D71" si="12">A67&amp;C67</f>
        <v>ROF -STR-CPLC</v>
      </c>
      <c r="E67" s="385" t="s">
        <v>1232</v>
      </c>
      <c r="F67" s="385" t="s">
        <v>1235</v>
      </c>
      <c r="G67" s="388"/>
      <c r="H67" s="385" t="s">
        <v>1058</v>
      </c>
    </row>
    <row r="68" spans="1:8" ht="15" thickBot="1" x14ac:dyDescent="0.4">
      <c r="A68" t="s">
        <v>1230</v>
      </c>
      <c r="B68" t="s">
        <v>2225</v>
      </c>
      <c r="C68" s="385" t="s">
        <v>1236</v>
      </c>
      <c r="D68" s="385" t="str">
        <f t="shared" si="12"/>
        <v>ROF -STR-KING</v>
      </c>
      <c r="E68" s="385" t="s">
        <v>1237</v>
      </c>
      <c r="F68" s="385" t="s">
        <v>1238</v>
      </c>
      <c r="G68" s="388"/>
      <c r="H68" s="385" t="s">
        <v>1069</v>
      </c>
    </row>
    <row r="69" spans="1:8" ht="15" thickBot="1" x14ac:dyDescent="0.4">
      <c r="A69" t="s">
        <v>1230</v>
      </c>
      <c r="B69" t="s">
        <v>2225</v>
      </c>
      <c r="C69" s="385" t="s">
        <v>1239</v>
      </c>
      <c r="D69" s="385" t="str">
        <f t="shared" si="12"/>
        <v>ROF -STR-PURL</v>
      </c>
      <c r="E69" s="385" t="s">
        <v>1240</v>
      </c>
      <c r="F69" s="385" t="s">
        <v>1241</v>
      </c>
      <c r="G69" s="388"/>
      <c r="H69" s="385" t="s">
        <v>1058</v>
      </c>
    </row>
    <row r="70" spans="1:8" ht="15" thickBot="1" x14ac:dyDescent="0.4">
      <c r="A70" t="s">
        <v>1230</v>
      </c>
      <c r="B70" t="s">
        <v>2225</v>
      </c>
      <c r="C70" s="385" t="s">
        <v>1242</v>
      </c>
      <c r="D70" s="385" t="str">
        <f t="shared" si="12"/>
        <v>ROF -STR-WPLATE</v>
      </c>
      <c r="E70" s="385" t="s">
        <v>1243</v>
      </c>
      <c r="F70" s="385" t="s">
        <v>1244</v>
      </c>
      <c r="G70" s="388"/>
      <c r="H70" s="385" t="s">
        <v>1058</v>
      </c>
    </row>
    <row r="71" spans="1:8" ht="15" thickBot="1" x14ac:dyDescent="0.4">
      <c r="A71" t="s">
        <v>1230</v>
      </c>
      <c r="B71" t="s">
        <v>2225</v>
      </c>
      <c r="C71" s="385" t="s">
        <v>1245</v>
      </c>
      <c r="D71" s="385" t="str">
        <f t="shared" si="12"/>
        <v>ROF -TIM-TRE-CRE</v>
      </c>
      <c r="E71" s="385" t="s">
        <v>1246</v>
      </c>
      <c r="F71" s="385" t="s">
        <v>1247</v>
      </c>
      <c r="G71" s="388"/>
      <c r="H71" s="385" t="s">
        <v>1058</v>
      </c>
    </row>
    <row r="72" spans="1:8" ht="15" thickBot="1" x14ac:dyDescent="0.4">
      <c r="A72" t="s">
        <v>1230</v>
      </c>
      <c r="B72" t="s">
        <v>2225</v>
      </c>
      <c r="C72" s="385" t="s">
        <v>1248</v>
      </c>
      <c r="D72" s="385" t="str">
        <f>A72&amp;C72</f>
        <v>ROF -SKN-IBR580</v>
      </c>
      <c r="E72" s="385" t="s">
        <v>1249</v>
      </c>
      <c r="F72" s="385" t="s">
        <v>1250</v>
      </c>
      <c r="G72" s="388"/>
      <c r="H72" s="385" t="s">
        <v>245</v>
      </c>
    </row>
    <row r="73" spans="1:8" ht="15" thickBot="1" x14ac:dyDescent="0.4">
      <c r="A73" t="s">
        <v>1230</v>
      </c>
      <c r="B73" t="s">
        <v>2225</v>
      </c>
      <c r="C73" s="385" t="s">
        <v>1251</v>
      </c>
      <c r="D73" s="385" t="str">
        <f t="shared" ref="D73:D77" si="13">A73&amp;C73</f>
        <v>ROF -SKN-COR762</v>
      </c>
      <c r="E73" s="385" t="s">
        <v>1252</v>
      </c>
      <c r="F73" s="385" t="s">
        <v>1253</v>
      </c>
      <c r="G73" s="388"/>
      <c r="H73" s="385" t="s">
        <v>245</v>
      </c>
    </row>
    <row r="74" spans="1:8" ht="15" thickBot="1" x14ac:dyDescent="0.4">
      <c r="A74" t="s">
        <v>1230</v>
      </c>
      <c r="B74" t="s">
        <v>2225</v>
      </c>
      <c r="C74" s="385" t="s">
        <v>1254</v>
      </c>
      <c r="D74" s="385" t="str">
        <f t="shared" si="13"/>
        <v>ROF -SKN-DROM</v>
      </c>
      <c r="E74" s="385" t="s">
        <v>1255</v>
      </c>
      <c r="F74" s="385" t="s">
        <v>1256</v>
      </c>
      <c r="G74" s="388"/>
      <c r="H74" s="385" t="s">
        <v>1069</v>
      </c>
    </row>
    <row r="75" spans="1:8" ht="15" thickBot="1" x14ac:dyDescent="0.4">
      <c r="A75" t="s">
        <v>1230</v>
      </c>
      <c r="B75" t="s">
        <v>2225</v>
      </c>
      <c r="C75" s="385" t="s">
        <v>1257</v>
      </c>
      <c r="D75" s="385" t="str">
        <f t="shared" si="13"/>
        <v>ROF -SKN-CLAY</v>
      </c>
      <c r="E75" s="385" t="s">
        <v>1258</v>
      </c>
      <c r="F75" s="385" t="s">
        <v>1259</v>
      </c>
      <c r="G75" s="388"/>
      <c r="H75" s="385" t="s">
        <v>1069</v>
      </c>
    </row>
    <row r="76" spans="1:8" ht="15" thickBot="1" x14ac:dyDescent="0.4">
      <c r="A76" t="s">
        <v>1230</v>
      </c>
      <c r="B76" t="s">
        <v>2225</v>
      </c>
      <c r="C76" s="385" t="s">
        <v>1260</v>
      </c>
      <c r="D76" s="385" t="str">
        <f t="shared" si="13"/>
        <v>ROF -SKN-SLAT</v>
      </c>
      <c r="E76" s="385" t="s">
        <v>1261</v>
      </c>
      <c r="F76" s="385" t="s">
        <v>1262</v>
      </c>
      <c r="G76" s="388"/>
      <c r="H76" s="385" t="s">
        <v>245</v>
      </c>
    </row>
    <row r="77" spans="1:8" ht="15" thickBot="1" x14ac:dyDescent="0.4">
      <c r="A77" t="s">
        <v>1230</v>
      </c>
      <c r="B77" t="s">
        <v>2225</v>
      </c>
      <c r="C77" s="385" t="s">
        <v>1263</v>
      </c>
      <c r="D77" s="385" t="str">
        <f t="shared" si="13"/>
        <v>ROF -SKN-POLY</v>
      </c>
      <c r="E77" s="385" t="s">
        <v>1264</v>
      </c>
      <c r="F77" s="385" t="s">
        <v>1265</v>
      </c>
      <c r="G77" s="388"/>
      <c r="H77" s="385" t="s">
        <v>245</v>
      </c>
    </row>
    <row r="78" spans="1:8" ht="15" thickBot="1" x14ac:dyDescent="0.4">
      <c r="A78" t="s">
        <v>1230</v>
      </c>
      <c r="B78" t="s">
        <v>2225</v>
      </c>
      <c r="C78" s="385" t="s">
        <v>1266</v>
      </c>
      <c r="D78" s="385" t="str">
        <f>A78&amp;C78</f>
        <v>ROF -ACC-RIDG</v>
      </c>
      <c r="E78" s="385" t="s">
        <v>1267</v>
      </c>
      <c r="F78" s="385" t="s">
        <v>1268</v>
      </c>
      <c r="G78" s="388"/>
      <c r="H78" s="385" t="s">
        <v>1058</v>
      </c>
    </row>
    <row r="79" spans="1:8" ht="15" thickBot="1" x14ac:dyDescent="0.4">
      <c r="A79" t="s">
        <v>1230</v>
      </c>
      <c r="B79" t="s">
        <v>2225</v>
      </c>
      <c r="C79" s="385" t="s">
        <v>1269</v>
      </c>
      <c r="D79" s="385" t="str">
        <f t="shared" ref="D79:D82" si="14">A79&amp;C79</f>
        <v>ROF -ACC-VAL</v>
      </c>
      <c r="E79" s="385" t="s">
        <v>1270</v>
      </c>
      <c r="F79" s="385" t="s">
        <v>1271</v>
      </c>
      <c r="G79" s="388"/>
      <c r="H79" s="385" t="s">
        <v>1058</v>
      </c>
    </row>
    <row r="80" spans="1:8" ht="15" thickBot="1" x14ac:dyDescent="0.4">
      <c r="A80" t="s">
        <v>1230</v>
      </c>
      <c r="B80" t="s">
        <v>2225</v>
      </c>
      <c r="C80" s="385" t="s">
        <v>1272</v>
      </c>
      <c r="D80" s="385" t="str">
        <f t="shared" si="14"/>
        <v>ROF -ACC-EAVE</v>
      </c>
      <c r="E80" s="385" t="s">
        <v>1273</v>
      </c>
      <c r="F80" s="385" t="s">
        <v>1274</v>
      </c>
      <c r="G80" s="388"/>
      <c r="H80" s="385" t="s">
        <v>1058</v>
      </c>
    </row>
    <row r="81" spans="1:8" ht="15" thickBot="1" x14ac:dyDescent="0.4">
      <c r="A81" t="s">
        <v>1230</v>
      </c>
      <c r="B81" t="s">
        <v>2225</v>
      </c>
      <c r="C81" s="385" t="s">
        <v>1275</v>
      </c>
      <c r="D81" s="385" t="str">
        <f t="shared" si="14"/>
        <v>ROF -ACC-VERG</v>
      </c>
      <c r="E81" s="385" t="s">
        <v>1276</v>
      </c>
      <c r="F81" s="385" t="s">
        <v>1277</v>
      </c>
      <c r="G81" s="388"/>
      <c r="H81" s="385" t="s">
        <v>1069</v>
      </c>
    </row>
    <row r="82" spans="1:8" ht="15" thickBot="1" x14ac:dyDescent="0.4">
      <c r="A82" t="s">
        <v>1230</v>
      </c>
      <c r="B82" t="s">
        <v>2225</v>
      </c>
      <c r="C82" s="385" t="s">
        <v>1278</v>
      </c>
      <c r="D82" s="385" t="str">
        <f t="shared" si="14"/>
        <v>ROF -ACC-INS</v>
      </c>
      <c r="E82" s="385" t="s">
        <v>1279</v>
      </c>
      <c r="F82" s="385" t="s">
        <v>1280</v>
      </c>
      <c r="G82" s="388"/>
      <c r="H82" s="385" t="s">
        <v>245</v>
      </c>
    </row>
    <row r="83" spans="1:8" ht="28.5" thickBot="1" x14ac:dyDescent="0.4">
      <c r="A83" t="s">
        <v>1230</v>
      </c>
      <c r="B83" t="s">
        <v>2225</v>
      </c>
      <c r="C83" s="385" t="s">
        <v>1281</v>
      </c>
      <c r="D83" s="385" t="str">
        <f>A83&amp;C83</f>
        <v>ROF -FIX-TIT-50</v>
      </c>
      <c r="E83" s="385" t="s">
        <v>1282</v>
      </c>
      <c r="F83" s="385" t="s">
        <v>1283</v>
      </c>
      <c r="G83" s="388"/>
      <c r="H83" s="385" t="s">
        <v>1284</v>
      </c>
    </row>
    <row r="84" spans="1:8" ht="28.5" thickBot="1" x14ac:dyDescent="0.4">
      <c r="A84" t="s">
        <v>1230</v>
      </c>
      <c r="B84" t="s">
        <v>2225</v>
      </c>
      <c r="C84" s="385" t="s">
        <v>1285</v>
      </c>
      <c r="D84" s="385" t="str">
        <f t="shared" ref="D84:D87" si="15">A84&amp;C84</f>
        <v>ROF -FIX-TEX-65</v>
      </c>
      <c r="E84" s="385" t="s">
        <v>1286</v>
      </c>
      <c r="F84" s="385" t="s">
        <v>1287</v>
      </c>
      <c r="G84" s="388"/>
      <c r="H84" s="385" t="s">
        <v>1284</v>
      </c>
    </row>
    <row r="85" spans="1:8" ht="28.5" thickBot="1" x14ac:dyDescent="0.4">
      <c r="A85" t="s">
        <v>1230</v>
      </c>
      <c r="B85" t="s">
        <v>2225</v>
      </c>
      <c r="C85" s="385" t="s">
        <v>1288</v>
      </c>
      <c r="D85" s="385" t="str">
        <f t="shared" si="15"/>
        <v>ROF -FIX-STT</v>
      </c>
      <c r="E85" s="385" t="s">
        <v>1289</v>
      </c>
      <c r="F85" s="385" t="s">
        <v>1290</v>
      </c>
      <c r="G85" s="388"/>
      <c r="H85" s="385" t="s">
        <v>1284</v>
      </c>
    </row>
    <row r="86" spans="1:8" ht="15" thickBot="1" x14ac:dyDescent="0.4">
      <c r="A86" t="s">
        <v>1230</v>
      </c>
      <c r="B86" t="s">
        <v>2225</v>
      </c>
      <c r="C86" s="385" t="s">
        <v>1291</v>
      </c>
      <c r="D86" s="385" t="str">
        <f t="shared" si="15"/>
        <v>ROF -FIX-COAC</v>
      </c>
      <c r="E86" s="385" t="s">
        <v>1292</v>
      </c>
      <c r="F86" s="385" t="s">
        <v>1293</v>
      </c>
      <c r="G86" s="388"/>
      <c r="H86" s="385" t="s">
        <v>1069</v>
      </c>
    </row>
    <row r="87" spans="1:8" ht="15" thickBot="1" x14ac:dyDescent="0.4">
      <c r="A87" t="s">
        <v>1230</v>
      </c>
      <c r="B87" t="s">
        <v>2225</v>
      </c>
      <c r="C87" s="385" t="s">
        <v>1294</v>
      </c>
      <c r="D87" s="385" t="str">
        <f t="shared" si="15"/>
        <v>ROF -ACC-VENT</v>
      </c>
      <c r="E87" s="385" t="s">
        <v>1295</v>
      </c>
      <c r="F87" s="385" t="s">
        <v>1296</v>
      </c>
      <c r="G87" s="388"/>
      <c r="H87" s="385" t="s">
        <v>1069</v>
      </c>
    </row>
    <row r="88" spans="1:8" ht="15" thickBot="1" x14ac:dyDescent="0.4">
      <c r="A88" t="s">
        <v>1297</v>
      </c>
      <c r="B88" t="s">
        <v>2226</v>
      </c>
      <c r="C88" s="385" t="s">
        <v>1298</v>
      </c>
      <c r="D88" s="385" t="str">
        <f>A88&amp;C88</f>
        <v>CRJ -TIM-S5-114</v>
      </c>
      <c r="E88" s="385" t="s">
        <v>1232</v>
      </c>
      <c r="F88" s="385" t="s">
        <v>1299</v>
      </c>
      <c r="G88" s="388"/>
      <c r="H88" s="385" t="s">
        <v>1058</v>
      </c>
    </row>
    <row r="89" spans="1:8" ht="15" thickBot="1" x14ac:dyDescent="0.4">
      <c r="A89" t="s">
        <v>1297</v>
      </c>
      <c r="B89" t="s">
        <v>2226</v>
      </c>
      <c r="C89" s="385" t="s">
        <v>1300</v>
      </c>
      <c r="D89" s="385" t="str">
        <f t="shared" ref="D89:D93" si="16">A89&amp;C89</f>
        <v>CRJ -TIM-S5-152</v>
      </c>
      <c r="E89" s="385" t="s">
        <v>1232</v>
      </c>
      <c r="F89" s="385" t="s">
        <v>1301</v>
      </c>
      <c r="G89" s="388"/>
      <c r="H89" s="385" t="s">
        <v>1058</v>
      </c>
    </row>
    <row r="90" spans="1:8" ht="15" thickBot="1" x14ac:dyDescent="0.4">
      <c r="A90" t="s">
        <v>1297</v>
      </c>
      <c r="B90" t="s">
        <v>2226</v>
      </c>
      <c r="C90" s="385" t="s">
        <v>1302</v>
      </c>
      <c r="D90" s="385" t="str">
        <f t="shared" si="16"/>
        <v>CRJ -TIM-LAM-BEAM</v>
      </c>
      <c r="E90" s="385" t="s">
        <v>1303</v>
      </c>
      <c r="F90" s="385" t="s">
        <v>1304</v>
      </c>
      <c r="G90" s="388"/>
      <c r="H90" s="385" t="s">
        <v>1058</v>
      </c>
    </row>
    <row r="91" spans="1:8" ht="15" thickBot="1" x14ac:dyDescent="0.4">
      <c r="A91" t="s">
        <v>1297</v>
      </c>
      <c r="B91" t="s">
        <v>2226</v>
      </c>
      <c r="C91" s="385" t="s">
        <v>1305</v>
      </c>
      <c r="D91" s="385" t="str">
        <f t="shared" si="16"/>
        <v>CRJ -TIM-TRUSS-PL</v>
      </c>
      <c r="E91" s="385" t="s">
        <v>1306</v>
      </c>
      <c r="F91" s="385" t="s">
        <v>1307</v>
      </c>
      <c r="G91" s="388"/>
      <c r="H91" s="385" t="s">
        <v>1069</v>
      </c>
    </row>
    <row r="92" spans="1:8" ht="15" thickBot="1" x14ac:dyDescent="0.4">
      <c r="A92" t="s">
        <v>1297</v>
      </c>
      <c r="B92" t="s">
        <v>2226</v>
      </c>
      <c r="C92" s="385" t="s">
        <v>1308</v>
      </c>
      <c r="D92" s="385" t="str">
        <f t="shared" si="16"/>
        <v>CRJ -TIM-FIX-CONN</v>
      </c>
      <c r="E92" s="385" t="s">
        <v>1309</v>
      </c>
      <c r="F92" s="385" t="s">
        <v>1310</v>
      </c>
      <c r="G92" s="388"/>
      <c r="H92" s="385" t="s">
        <v>1069</v>
      </c>
    </row>
    <row r="93" spans="1:8" ht="25.5" customHeight="1" thickBot="1" x14ac:dyDescent="0.4">
      <c r="A93" t="s">
        <v>1297</v>
      </c>
      <c r="B93" t="s">
        <v>2226</v>
      </c>
      <c r="C93" s="385" t="s">
        <v>1311</v>
      </c>
      <c r="D93" s="385" t="str">
        <f t="shared" si="16"/>
        <v>CRJ -TIM-TRE-CREO</v>
      </c>
      <c r="E93" s="385" t="s">
        <v>1312</v>
      </c>
      <c r="F93" s="385" t="s">
        <v>1313</v>
      </c>
      <c r="G93" s="388"/>
      <c r="H93" s="385" t="s">
        <v>1062</v>
      </c>
    </row>
    <row r="94" spans="1:8" ht="15" thickBot="1" x14ac:dyDescent="0.4">
      <c r="A94" t="s">
        <v>1297</v>
      </c>
      <c r="B94" t="s">
        <v>2226</v>
      </c>
      <c r="C94" s="385" t="s">
        <v>1314</v>
      </c>
      <c r="D94" s="385" t="str">
        <f>A94&amp;C94</f>
        <v>CRJ -TIM-FAS-PVC</v>
      </c>
      <c r="E94" s="385" t="s">
        <v>1315</v>
      </c>
      <c r="F94" s="385" t="s">
        <v>1316</v>
      </c>
      <c r="G94" s="388"/>
      <c r="H94" s="385" t="s">
        <v>1058</v>
      </c>
    </row>
    <row r="95" spans="1:8" ht="15" thickBot="1" x14ac:dyDescent="0.4">
      <c r="A95" t="s">
        <v>1297</v>
      </c>
      <c r="B95" t="s">
        <v>2226</v>
      </c>
      <c r="C95" s="385" t="s">
        <v>1317</v>
      </c>
      <c r="D95" s="385" t="str">
        <f t="shared" ref="D95:D98" si="17">A95&amp;C95</f>
        <v>CRJ -TIM-FAS-FIB</v>
      </c>
      <c r="E95" s="385" t="s">
        <v>1315</v>
      </c>
      <c r="F95" s="385" t="s">
        <v>1318</v>
      </c>
      <c r="G95" s="388"/>
      <c r="H95" s="385" t="s">
        <v>1058</v>
      </c>
    </row>
    <row r="96" spans="1:8" ht="15" thickBot="1" x14ac:dyDescent="0.4">
      <c r="A96" t="s">
        <v>1297</v>
      </c>
      <c r="B96" t="s">
        <v>2226</v>
      </c>
      <c r="C96" s="385" t="s">
        <v>1319</v>
      </c>
      <c r="D96" s="385" t="str">
        <f t="shared" si="17"/>
        <v>CRJ -TIM-FLR-PIN</v>
      </c>
      <c r="E96" s="385" t="s">
        <v>1320</v>
      </c>
      <c r="F96" s="385" t="s">
        <v>1321</v>
      </c>
      <c r="G96" s="388"/>
      <c r="H96" s="385" t="s">
        <v>245</v>
      </c>
    </row>
    <row r="97" spans="1:8" ht="15" thickBot="1" x14ac:dyDescent="0.4">
      <c r="A97" t="s">
        <v>1297</v>
      </c>
      <c r="B97" t="s">
        <v>2226</v>
      </c>
      <c r="C97" s="385" t="s">
        <v>1322</v>
      </c>
      <c r="D97" s="385" t="str">
        <f t="shared" si="17"/>
        <v>CRJ -TIM-SKR-PIN</v>
      </c>
      <c r="E97" s="385" t="s">
        <v>1323</v>
      </c>
      <c r="F97" s="385" t="s">
        <v>1324</v>
      </c>
      <c r="G97" s="388"/>
      <c r="H97" s="385" t="s">
        <v>1058</v>
      </c>
    </row>
    <row r="98" spans="1:8" ht="15" thickBot="1" x14ac:dyDescent="0.4">
      <c r="A98" t="s">
        <v>1297</v>
      </c>
      <c r="B98" t="s">
        <v>2226</v>
      </c>
      <c r="C98" s="385" t="s">
        <v>1325</v>
      </c>
      <c r="D98" s="385" t="str">
        <f t="shared" si="17"/>
        <v>CRJ -TIM-BAT-FLR</v>
      </c>
      <c r="E98" s="385" t="s">
        <v>1326</v>
      </c>
      <c r="F98" s="385" t="s">
        <v>1327</v>
      </c>
      <c r="G98" s="388"/>
      <c r="H98" s="385" t="s">
        <v>1058</v>
      </c>
    </row>
    <row r="99" spans="1:8" ht="15" thickBot="1" x14ac:dyDescent="0.4">
      <c r="A99" t="s">
        <v>1297</v>
      </c>
      <c r="B99" t="s">
        <v>2226</v>
      </c>
      <c r="C99" s="385" t="s">
        <v>1328</v>
      </c>
      <c r="D99" s="385" t="str">
        <f>A99&amp;C99</f>
        <v>CRJ -DR-FRM-MER</v>
      </c>
      <c r="E99" s="385" t="s">
        <v>1329</v>
      </c>
      <c r="F99" s="385" t="s">
        <v>1330</v>
      </c>
      <c r="G99" s="388"/>
      <c r="H99" s="385" t="s">
        <v>1069</v>
      </c>
    </row>
    <row r="100" spans="1:8" ht="15" thickBot="1" x14ac:dyDescent="0.4">
      <c r="A100" t="s">
        <v>1297</v>
      </c>
      <c r="B100" t="s">
        <v>2226</v>
      </c>
      <c r="C100" s="385" t="s">
        <v>1331</v>
      </c>
      <c r="D100" s="385" t="str">
        <f t="shared" ref="D100:D103" si="18">A100&amp;C100</f>
        <v>CRJ -DR-HLO-INT</v>
      </c>
      <c r="E100" s="385" t="s">
        <v>1332</v>
      </c>
      <c r="F100" s="385" t="s">
        <v>1333</v>
      </c>
      <c r="G100" s="388"/>
      <c r="H100" s="385" t="s">
        <v>1069</v>
      </c>
    </row>
    <row r="101" spans="1:8" ht="15" thickBot="1" x14ac:dyDescent="0.4">
      <c r="A101" t="s">
        <v>1297</v>
      </c>
      <c r="B101" t="s">
        <v>2226</v>
      </c>
      <c r="C101" s="385" t="s">
        <v>1334</v>
      </c>
      <c r="D101" s="385" t="str">
        <f t="shared" si="18"/>
        <v>CRJ -DR-SLD-EXT</v>
      </c>
      <c r="E101" s="385" t="s">
        <v>1335</v>
      </c>
      <c r="F101" s="385" t="s">
        <v>1336</v>
      </c>
      <c r="G101" s="388"/>
      <c r="H101" s="385" t="s">
        <v>1069</v>
      </c>
    </row>
    <row r="102" spans="1:8" ht="15" thickBot="1" x14ac:dyDescent="0.4">
      <c r="A102" t="s">
        <v>1297</v>
      </c>
      <c r="B102" t="s">
        <v>2226</v>
      </c>
      <c r="C102" s="385" t="s">
        <v>1337</v>
      </c>
      <c r="D102" s="385" t="str">
        <f t="shared" si="18"/>
        <v>CRJ -DR-ARC-MER</v>
      </c>
      <c r="E102" s="385" t="s">
        <v>1338</v>
      </c>
      <c r="F102" s="385" t="s">
        <v>1339</v>
      </c>
      <c r="G102" s="388"/>
      <c r="H102" s="385" t="s">
        <v>1058</v>
      </c>
    </row>
    <row r="103" spans="1:8" ht="15" thickBot="1" x14ac:dyDescent="0.4">
      <c r="A103" t="s">
        <v>1297</v>
      </c>
      <c r="B103" t="s">
        <v>2226</v>
      </c>
      <c r="C103" s="385" t="s">
        <v>1340</v>
      </c>
      <c r="D103" s="385" t="str">
        <f t="shared" si="18"/>
        <v>CRJ -DR-SHUT-WD</v>
      </c>
      <c r="E103" s="385" t="s">
        <v>1341</v>
      </c>
      <c r="F103" s="385" t="s">
        <v>1342</v>
      </c>
      <c r="G103" s="388"/>
      <c r="H103" s="385" t="s">
        <v>245</v>
      </c>
    </row>
    <row r="104" spans="1:8" ht="15" thickBot="1" x14ac:dyDescent="0.4">
      <c r="A104" t="s">
        <v>1297</v>
      </c>
      <c r="B104" t="s">
        <v>2226</v>
      </c>
      <c r="C104" s="385" t="s">
        <v>1343</v>
      </c>
      <c r="D104" s="385" t="str">
        <f>A104&amp;C104</f>
        <v>CRJ -BRD-MEL-WHT</v>
      </c>
      <c r="E104" s="385" t="s">
        <v>1344</v>
      </c>
      <c r="F104" s="385" t="s">
        <v>1345</v>
      </c>
      <c r="G104" s="388"/>
      <c r="H104" s="385" t="s">
        <v>1054</v>
      </c>
    </row>
    <row r="105" spans="1:8" ht="15" thickBot="1" x14ac:dyDescent="0.4">
      <c r="A105" t="s">
        <v>1297</v>
      </c>
      <c r="B105" t="s">
        <v>2226</v>
      </c>
      <c r="C105" s="385" t="s">
        <v>1346</v>
      </c>
      <c r="D105" s="385" t="str">
        <f t="shared" ref="D105:D108" si="19">A105&amp;C105</f>
        <v>CRJ -BRD-LAM-V</v>
      </c>
      <c r="E105" s="385" t="s">
        <v>1347</v>
      </c>
      <c r="F105" s="385" t="s">
        <v>1348</v>
      </c>
      <c r="G105" s="388"/>
      <c r="H105" s="385" t="s">
        <v>1054</v>
      </c>
    </row>
    <row r="106" spans="1:8" ht="15" thickBot="1" x14ac:dyDescent="0.4">
      <c r="A106" t="s">
        <v>1297</v>
      </c>
      <c r="B106" t="s">
        <v>2226</v>
      </c>
      <c r="C106" s="385" t="s">
        <v>1349</v>
      </c>
      <c r="D106" s="385" t="str">
        <f t="shared" si="19"/>
        <v>CRJ -STR-TRD-MER</v>
      </c>
      <c r="E106" s="385" t="s">
        <v>1350</v>
      </c>
      <c r="F106" s="385" t="s">
        <v>1351</v>
      </c>
      <c r="G106" s="388"/>
      <c r="H106" s="385" t="s">
        <v>1069</v>
      </c>
    </row>
    <row r="107" spans="1:8" ht="15" thickBot="1" x14ac:dyDescent="0.4">
      <c r="A107" t="s">
        <v>1297</v>
      </c>
      <c r="B107" t="s">
        <v>2226</v>
      </c>
      <c r="C107" s="385" t="s">
        <v>1352</v>
      </c>
      <c r="D107" s="385" t="str">
        <f t="shared" si="19"/>
        <v>CRJ -STR-BAL-PIN</v>
      </c>
      <c r="E107" s="385" t="s">
        <v>1353</v>
      </c>
      <c r="F107" s="385" t="s">
        <v>1354</v>
      </c>
      <c r="G107" s="388"/>
      <c r="H107" s="385" t="s">
        <v>1069</v>
      </c>
    </row>
    <row r="108" spans="1:8" ht="15" thickBot="1" x14ac:dyDescent="0.4">
      <c r="A108" t="s">
        <v>1297</v>
      </c>
      <c r="B108" t="s">
        <v>2226</v>
      </c>
      <c r="C108" s="385" t="s">
        <v>1355</v>
      </c>
      <c r="D108" s="385" t="str">
        <f t="shared" si="19"/>
        <v>CRJ -STR-HAN-MER</v>
      </c>
      <c r="E108" s="385" t="s">
        <v>1356</v>
      </c>
      <c r="F108" s="385" t="s">
        <v>1357</v>
      </c>
      <c r="G108" s="388"/>
      <c r="H108" s="385" t="s">
        <v>1058</v>
      </c>
    </row>
    <row r="109" spans="1:8" ht="30" customHeight="1" thickBot="1" x14ac:dyDescent="0.4">
      <c r="A109" t="s">
        <v>1297</v>
      </c>
      <c r="B109" t="s">
        <v>2226</v>
      </c>
      <c r="C109" s="385" t="s">
        <v>1358</v>
      </c>
      <c r="D109" s="385" t="str">
        <f>A109&amp;C109</f>
        <v>CRJ -PAN-ACO-BRD</v>
      </c>
      <c r="E109" s="385" t="s">
        <v>1359</v>
      </c>
      <c r="F109" s="385" t="s">
        <v>1360</v>
      </c>
      <c r="G109" s="388"/>
      <c r="H109" s="385" t="s">
        <v>245</v>
      </c>
    </row>
    <row r="110" spans="1:8" ht="15" thickBot="1" x14ac:dyDescent="0.4">
      <c r="A110" t="s">
        <v>1297</v>
      </c>
      <c r="B110" t="s">
        <v>2226</v>
      </c>
      <c r="C110" s="385" t="s">
        <v>1361</v>
      </c>
      <c r="D110" s="385" t="str">
        <f t="shared" ref="D110:D112" si="20">A110&amp;C110</f>
        <v>CRJ -PAN-GRN-TIM</v>
      </c>
      <c r="E110" s="385" t="s">
        <v>1362</v>
      </c>
      <c r="F110" s="385" t="s">
        <v>1363</v>
      </c>
      <c r="G110" s="388"/>
      <c r="H110" s="385" t="s">
        <v>1058</v>
      </c>
    </row>
    <row r="111" spans="1:8" ht="15" thickBot="1" x14ac:dyDescent="0.4">
      <c r="A111" t="s">
        <v>1297</v>
      </c>
      <c r="B111" t="s">
        <v>2226</v>
      </c>
      <c r="C111" s="385" t="s">
        <v>1364</v>
      </c>
      <c r="D111" s="385" t="str">
        <f t="shared" si="20"/>
        <v>CRJ -PAN-MOL-TIM</v>
      </c>
      <c r="E111" s="385" t="s">
        <v>1365</v>
      </c>
      <c r="F111" s="385" t="s">
        <v>1366</v>
      </c>
      <c r="G111" s="388"/>
      <c r="H111" s="385" t="s">
        <v>1058</v>
      </c>
    </row>
    <row r="112" spans="1:8" ht="15" thickBot="1" x14ac:dyDescent="0.4">
      <c r="A112" t="s">
        <v>1297</v>
      </c>
      <c r="B112" t="s">
        <v>2226</v>
      </c>
      <c r="C112" s="385" t="s">
        <v>1367</v>
      </c>
      <c r="D112" s="385" t="str">
        <f t="shared" si="20"/>
        <v>CRJ -FIX-SCW-TIM</v>
      </c>
      <c r="E112" s="385" t="s">
        <v>1368</v>
      </c>
      <c r="F112" s="385" t="s">
        <v>1369</v>
      </c>
      <c r="G112" s="388"/>
      <c r="H112" s="385" t="s">
        <v>1370</v>
      </c>
    </row>
    <row r="113" spans="1:8" ht="15" thickBot="1" x14ac:dyDescent="0.4">
      <c r="A113" t="s">
        <v>1371</v>
      </c>
      <c r="B113" t="s">
        <v>2227</v>
      </c>
      <c r="C113" s="385" t="s">
        <v>1372</v>
      </c>
      <c r="D113" s="385" t="str">
        <f>A113&amp;C113</f>
        <v>CPA -CEL-GYP-6.4</v>
      </c>
      <c r="E113" s="385" t="s">
        <v>1373</v>
      </c>
      <c r="F113" s="385" t="s">
        <v>1374</v>
      </c>
      <c r="G113" s="388"/>
      <c r="H113" s="385" t="s">
        <v>1375</v>
      </c>
    </row>
    <row r="114" spans="1:8" ht="15" thickBot="1" x14ac:dyDescent="0.4">
      <c r="A114" t="s">
        <v>1371</v>
      </c>
      <c r="B114" t="s">
        <v>2227</v>
      </c>
      <c r="C114" s="385" t="s">
        <v>1376</v>
      </c>
      <c r="D114" s="385" t="str">
        <f t="shared" ref="D114:D119" si="21">A114&amp;C114</f>
        <v>CPA -CEL-GYP-9.5</v>
      </c>
      <c r="E114" s="385" t="s">
        <v>1373</v>
      </c>
      <c r="F114" s="385" t="s">
        <v>1377</v>
      </c>
      <c r="G114" s="388"/>
      <c r="H114" s="385" t="s">
        <v>1375</v>
      </c>
    </row>
    <row r="115" spans="1:8" ht="15" thickBot="1" x14ac:dyDescent="0.4">
      <c r="A115" t="s">
        <v>1371</v>
      </c>
      <c r="B115" t="s">
        <v>2227</v>
      </c>
      <c r="C115" s="385" t="s">
        <v>1378</v>
      </c>
      <c r="D115" s="385" t="str">
        <f t="shared" si="21"/>
        <v>CPA -CEL-FR-12.5</v>
      </c>
      <c r="E115" s="385" t="s">
        <v>1379</v>
      </c>
      <c r="F115" s="385" t="s">
        <v>1380</v>
      </c>
      <c r="G115" s="388"/>
      <c r="H115" s="385" t="s">
        <v>1375</v>
      </c>
    </row>
    <row r="116" spans="1:8" ht="15" thickBot="1" x14ac:dyDescent="0.4">
      <c r="A116" t="s">
        <v>1371</v>
      </c>
      <c r="B116" t="s">
        <v>2227</v>
      </c>
      <c r="C116" s="385" t="s">
        <v>1381</v>
      </c>
      <c r="D116" s="385" t="str">
        <f t="shared" si="21"/>
        <v>CPA -CEL-PVC-9.0</v>
      </c>
      <c r="E116" s="385" t="s">
        <v>1382</v>
      </c>
      <c r="F116" s="385" t="s">
        <v>1383</v>
      </c>
      <c r="G116" s="388"/>
      <c r="H116" s="385" t="s">
        <v>245</v>
      </c>
    </row>
    <row r="117" spans="1:8" ht="15" thickBot="1" x14ac:dyDescent="0.4">
      <c r="A117" t="s">
        <v>1371</v>
      </c>
      <c r="B117" t="s">
        <v>2227</v>
      </c>
      <c r="C117" s="385" t="s">
        <v>1384</v>
      </c>
      <c r="D117" s="385" t="str">
        <f t="shared" si="21"/>
        <v>CPA -COR-TE10</v>
      </c>
      <c r="E117" s="385" t="s">
        <v>1385</v>
      </c>
      <c r="F117" s="385" t="s">
        <v>1386</v>
      </c>
      <c r="G117" s="388"/>
      <c r="H117" s="385" t="s">
        <v>1058</v>
      </c>
    </row>
    <row r="118" spans="1:8" ht="27.75" customHeight="1" thickBot="1" x14ac:dyDescent="0.4">
      <c r="A118" t="s">
        <v>1371</v>
      </c>
      <c r="B118" t="s">
        <v>2227</v>
      </c>
      <c r="C118" s="385" t="s">
        <v>1387</v>
      </c>
      <c r="D118" s="385" t="str">
        <f t="shared" si="21"/>
        <v>CPA -COR-COVE-75</v>
      </c>
      <c r="E118" s="385" t="s">
        <v>1388</v>
      </c>
      <c r="F118" s="385" t="s">
        <v>1389</v>
      </c>
      <c r="G118" s="388"/>
      <c r="H118" s="385" t="s">
        <v>1058</v>
      </c>
    </row>
    <row r="119" spans="1:8" ht="15" thickBot="1" x14ac:dyDescent="0.4">
      <c r="A119" t="s">
        <v>1371</v>
      </c>
      <c r="B119" t="s">
        <v>2227</v>
      </c>
      <c r="C119" s="385" t="s">
        <v>1390</v>
      </c>
      <c r="D119" s="385" t="str">
        <f t="shared" si="21"/>
        <v>CPA -CEL-INS-FIB</v>
      </c>
      <c r="E119" s="385" t="s">
        <v>1391</v>
      </c>
      <c r="F119" s="385" t="s">
        <v>1392</v>
      </c>
      <c r="G119" s="388"/>
      <c r="H119" s="385" t="s">
        <v>245</v>
      </c>
    </row>
    <row r="120" spans="1:8" ht="15" thickBot="1" x14ac:dyDescent="0.4">
      <c r="A120" t="s">
        <v>1371</v>
      </c>
      <c r="B120" t="s">
        <v>2227</v>
      </c>
      <c r="C120" s="385" t="s">
        <v>1393</v>
      </c>
      <c r="D120" s="385" t="str">
        <f>A120&amp;C120</f>
        <v>CPA -PAR-STUD-64</v>
      </c>
      <c r="E120" s="385" t="s">
        <v>1394</v>
      </c>
      <c r="F120" s="385" t="s">
        <v>1395</v>
      </c>
      <c r="G120" s="388"/>
      <c r="H120" s="385" t="s">
        <v>1069</v>
      </c>
    </row>
    <row r="121" spans="1:8" ht="15" thickBot="1" x14ac:dyDescent="0.4">
      <c r="A121" t="s">
        <v>1371</v>
      </c>
      <c r="B121" t="s">
        <v>2227</v>
      </c>
      <c r="C121" s="385" t="s">
        <v>1396</v>
      </c>
      <c r="D121" s="385" t="str">
        <f t="shared" ref="D121:D125" si="22">A121&amp;C121</f>
        <v>CPA -PAR-TRK-64</v>
      </c>
      <c r="E121" s="385" t="s">
        <v>1397</v>
      </c>
      <c r="F121" s="385" t="s">
        <v>1398</v>
      </c>
      <c r="G121" s="388"/>
      <c r="H121" s="385" t="s">
        <v>1069</v>
      </c>
    </row>
    <row r="122" spans="1:8" ht="15" thickBot="1" x14ac:dyDescent="0.4">
      <c r="A122" t="s">
        <v>1371</v>
      </c>
      <c r="B122" t="s">
        <v>2227</v>
      </c>
      <c r="C122" s="385" t="s">
        <v>1399</v>
      </c>
      <c r="D122" s="385" t="str">
        <f t="shared" si="22"/>
        <v>CPA -PAR-BRD-MOIS</v>
      </c>
      <c r="E122" s="385" t="s">
        <v>1400</v>
      </c>
      <c r="F122" s="385" t="s">
        <v>1401</v>
      </c>
      <c r="G122" s="388"/>
      <c r="H122" s="385" t="s">
        <v>1375</v>
      </c>
    </row>
    <row r="123" spans="1:8" ht="15" thickBot="1" x14ac:dyDescent="0.4">
      <c r="A123" t="s">
        <v>1371</v>
      </c>
      <c r="B123" t="s">
        <v>2227</v>
      </c>
      <c r="C123" s="385" t="s">
        <v>1402</v>
      </c>
      <c r="D123" s="385" t="str">
        <f t="shared" si="22"/>
        <v>CPA -PAR-INS-RW</v>
      </c>
      <c r="E123" s="385" t="s">
        <v>1403</v>
      </c>
      <c r="F123" s="385" t="s">
        <v>1404</v>
      </c>
      <c r="G123" s="388"/>
      <c r="H123" s="385" t="s">
        <v>245</v>
      </c>
    </row>
    <row r="124" spans="1:8" ht="28.5" thickBot="1" x14ac:dyDescent="0.4">
      <c r="A124" t="s">
        <v>1371</v>
      </c>
      <c r="B124" t="s">
        <v>2227</v>
      </c>
      <c r="C124" s="385" t="s">
        <v>1405</v>
      </c>
      <c r="D124" s="385" t="str">
        <f t="shared" si="22"/>
        <v>CPA -FIX-SCW-35</v>
      </c>
      <c r="E124" s="385" t="s">
        <v>1406</v>
      </c>
      <c r="F124" s="385" t="s">
        <v>1407</v>
      </c>
      <c r="G124" s="388"/>
      <c r="H124" s="385" t="s">
        <v>1408</v>
      </c>
    </row>
    <row r="125" spans="1:8" ht="15" thickBot="1" x14ac:dyDescent="0.4">
      <c r="A125" t="s">
        <v>1371</v>
      </c>
      <c r="B125" t="s">
        <v>2227</v>
      </c>
      <c r="C125" s="385" t="s">
        <v>1409</v>
      </c>
      <c r="D125" s="385" t="str">
        <f t="shared" si="22"/>
        <v>CPA -CEL-TAPE-80</v>
      </c>
      <c r="E125" s="385" t="s">
        <v>1410</v>
      </c>
      <c r="F125" s="385" t="s">
        <v>1411</v>
      </c>
      <c r="G125" s="388"/>
      <c r="H125" s="385" t="s">
        <v>1184</v>
      </c>
    </row>
    <row r="126" spans="1:8" ht="15" thickBot="1" x14ac:dyDescent="0.4">
      <c r="A126" t="s">
        <v>1371</v>
      </c>
      <c r="B126" t="s">
        <v>2227</v>
      </c>
      <c r="C126" s="385" t="s">
        <v>1412</v>
      </c>
      <c r="D126" s="385" t="str">
        <f>A126&amp;C126</f>
        <v>CPA -PAN-STL</v>
      </c>
      <c r="E126" s="385" t="s">
        <v>1413</v>
      </c>
      <c r="F126" s="385" t="s">
        <v>1414</v>
      </c>
      <c r="G126" s="388"/>
      <c r="H126" s="385" t="s">
        <v>1069</v>
      </c>
    </row>
    <row r="127" spans="1:8" ht="15" thickBot="1" x14ac:dyDescent="0.4">
      <c r="A127" t="s">
        <v>1371</v>
      </c>
      <c r="B127" t="s">
        <v>2227</v>
      </c>
      <c r="C127" s="385" t="s">
        <v>1415</v>
      </c>
      <c r="D127" s="385" t="str">
        <f t="shared" ref="D127:D132" si="23">A127&amp;C127</f>
        <v>CPA -PAN-WOOD</v>
      </c>
      <c r="E127" s="385" t="s">
        <v>1413</v>
      </c>
      <c r="F127" s="385" t="s">
        <v>1416</v>
      </c>
      <c r="G127" s="388"/>
      <c r="H127" s="385" t="s">
        <v>1069</v>
      </c>
    </row>
    <row r="128" spans="1:8" ht="15" thickBot="1" x14ac:dyDescent="0.4">
      <c r="A128" t="s">
        <v>1371</v>
      </c>
      <c r="B128" t="s">
        <v>2227</v>
      </c>
      <c r="C128" s="385" t="s">
        <v>1417</v>
      </c>
      <c r="D128" s="385" t="str">
        <f t="shared" si="23"/>
        <v>CPA -PED-150</v>
      </c>
      <c r="E128" s="385" t="s">
        <v>1418</v>
      </c>
      <c r="F128" s="385" t="s">
        <v>1419</v>
      </c>
      <c r="G128" s="388"/>
      <c r="H128" s="385" t="s">
        <v>1069</v>
      </c>
    </row>
    <row r="129" spans="1:8" ht="15" thickBot="1" x14ac:dyDescent="0.4">
      <c r="A129" t="s">
        <v>1371</v>
      </c>
      <c r="B129" t="s">
        <v>2227</v>
      </c>
      <c r="C129" s="385" t="s">
        <v>1420</v>
      </c>
      <c r="D129" s="385" t="str">
        <f t="shared" si="23"/>
        <v>CPA -STR-600</v>
      </c>
      <c r="E129" s="385" t="s">
        <v>1421</v>
      </c>
      <c r="F129" s="385" t="s">
        <v>1422</v>
      </c>
      <c r="G129" s="388"/>
      <c r="H129" s="385" t="s">
        <v>1069</v>
      </c>
    </row>
    <row r="130" spans="1:8" ht="15" thickBot="1" x14ac:dyDescent="0.4">
      <c r="A130" t="s">
        <v>1371</v>
      </c>
      <c r="B130" t="s">
        <v>2227</v>
      </c>
      <c r="C130" s="385" t="s">
        <v>1423</v>
      </c>
      <c r="D130" s="385" t="str">
        <f t="shared" si="23"/>
        <v>CPA -ADH-EP</v>
      </c>
      <c r="E130" s="385" t="s">
        <v>1424</v>
      </c>
      <c r="F130" s="385" t="s">
        <v>1425</v>
      </c>
      <c r="G130" s="388"/>
      <c r="H130" s="385" t="s">
        <v>1127</v>
      </c>
    </row>
    <row r="131" spans="1:8" ht="15" thickBot="1" x14ac:dyDescent="0.4">
      <c r="A131" t="s">
        <v>1371</v>
      </c>
      <c r="B131" t="s">
        <v>2227</v>
      </c>
      <c r="C131" s="385" t="s">
        <v>1426</v>
      </c>
      <c r="D131" s="385" t="str">
        <f t="shared" si="23"/>
        <v>CPA -LFT-SUC</v>
      </c>
      <c r="E131" s="385" t="s">
        <v>1427</v>
      </c>
      <c r="F131" s="385" t="s">
        <v>1428</v>
      </c>
      <c r="G131" s="388"/>
      <c r="H131" s="385" t="s">
        <v>1069</v>
      </c>
    </row>
    <row r="132" spans="1:8" ht="15" thickBot="1" x14ac:dyDescent="0.4">
      <c r="A132" t="s">
        <v>1371</v>
      </c>
      <c r="B132" t="s">
        <v>2227</v>
      </c>
      <c r="C132" s="385" t="s">
        <v>1429</v>
      </c>
      <c r="D132" s="385" t="str">
        <f t="shared" si="23"/>
        <v>CPA -GRL-PAN</v>
      </c>
      <c r="E132" s="385" t="s">
        <v>1430</v>
      </c>
      <c r="F132" s="385" t="s">
        <v>1431</v>
      </c>
      <c r="G132" s="388"/>
      <c r="H132" s="385" t="s">
        <v>1069</v>
      </c>
    </row>
    <row r="133" spans="1:8" ht="36.75" customHeight="1" thickBot="1" x14ac:dyDescent="0.4">
      <c r="A133" t="s">
        <v>1371</v>
      </c>
      <c r="B133" t="s">
        <v>2227</v>
      </c>
      <c r="C133" s="385" t="s">
        <v>1432</v>
      </c>
      <c r="D133" s="385" t="str">
        <f>A133&amp;C133</f>
        <v>CPA -GRID-MAIN-3.6</v>
      </c>
      <c r="E133" s="385" t="s">
        <v>1433</v>
      </c>
      <c r="F133" s="385" t="s">
        <v>1434</v>
      </c>
      <c r="G133" s="388"/>
      <c r="H133" s="385" t="s">
        <v>1069</v>
      </c>
    </row>
    <row r="134" spans="1:8" ht="37.5" customHeight="1" thickBot="1" x14ac:dyDescent="0.4">
      <c r="A134" t="s">
        <v>1371</v>
      </c>
      <c r="B134" t="s">
        <v>2227</v>
      </c>
      <c r="C134" s="385" t="s">
        <v>1435</v>
      </c>
      <c r="D134" s="385" t="str">
        <f t="shared" ref="D134:D137" si="24">A134&amp;C134</f>
        <v>CPA -GRID-CRSS-1.2</v>
      </c>
      <c r="E134" s="385" t="s">
        <v>1436</v>
      </c>
      <c r="F134" s="385" t="s">
        <v>1437</v>
      </c>
      <c r="G134" s="388"/>
      <c r="H134" s="385" t="s">
        <v>1069</v>
      </c>
    </row>
    <row r="135" spans="1:8" ht="32.25" customHeight="1" thickBot="1" x14ac:dyDescent="0.4">
      <c r="A135" t="s">
        <v>1371</v>
      </c>
      <c r="B135" t="s">
        <v>2227</v>
      </c>
      <c r="C135" s="385" t="s">
        <v>1438</v>
      </c>
      <c r="D135" s="385" t="str">
        <f t="shared" si="24"/>
        <v>CPA -GRID-ANGLE-36</v>
      </c>
      <c r="E135" s="385" t="s">
        <v>1439</v>
      </c>
      <c r="F135" s="385" t="s">
        <v>1440</v>
      </c>
      <c r="G135" s="388"/>
      <c r="H135" s="385" t="s">
        <v>1069</v>
      </c>
    </row>
    <row r="136" spans="1:8" ht="15" thickBot="1" x14ac:dyDescent="0.4">
      <c r="A136" t="s">
        <v>1371</v>
      </c>
      <c r="B136" t="s">
        <v>2227</v>
      </c>
      <c r="C136" s="385" t="s">
        <v>1441</v>
      </c>
      <c r="D136" s="385" t="str">
        <f t="shared" si="24"/>
        <v>CPA -CEL-TILE-VIN</v>
      </c>
      <c r="E136" s="385" t="s">
        <v>1442</v>
      </c>
      <c r="F136" s="385" t="s">
        <v>1443</v>
      </c>
      <c r="G136" s="388"/>
      <c r="H136" s="385" t="s">
        <v>1069</v>
      </c>
    </row>
    <row r="137" spans="1:8" ht="40.5" customHeight="1" thickBot="1" x14ac:dyDescent="0.4">
      <c r="A137" t="s">
        <v>1371</v>
      </c>
      <c r="B137" t="s">
        <v>2227</v>
      </c>
      <c r="C137" s="385" t="s">
        <v>1444</v>
      </c>
      <c r="D137" s="385" t="str">
        <f t="shared" si="24"/>
        <v>CPA -CEL-TILE-ACO</v>
      </c>
      <c r="E137" s="385" t="s">
        <v>1445</v>
      </c>
      <c r="F137" s="385" t="s">
        <v>1446</v>
      </c>
      <c r="G137" s="388"/>
      <c r="H137" s="385" t="s">
        <v>1069</v>
      </c>
    </row>
    <row r="138" spans="1:8" ht="15" thickBot="1" x14ac:dyDescent="0.4">
      <c r="A138" t="s">
        <v>1447</v>
      </c>
      <c r="B138" t="s">
        <v>2228</v>
      </c>
      <c r="C138" s="385" t="s">
        <v>1448</v>
      </c>
      <c r="D138" s="385" t="str">
        <f>A138&amp;C138</f>
        <v>FLR -VIN-SHT</v>
      </c>
      <c r="E138" s="385" t="s">
        <v>1449</v>
      </c>
      <c r="F138" s="385" t="s">
        <v>1450</v>
      </c>
      <c r="G138" s="388"/>
      <c r="H138" s="385" t="s">
        <v>186</v>
      </c>
    </row>
    <row r="139" spans="1:8" ht="15" thickBot="1" x14ac:dyDescent="0.4">
      <c r="A139" t="s">
        <v>1447</v>
      </c>
      <c r="B139" t="s">
        <v>2228</v>
      </c>
      <c r="C139" s="385" t="s">
        <v>1451</v>
      </c>
      <c r="D139" s="385" t="str">
        <f t="shared" ref="D139:D142" si="25">A139&amp;C139</f>
        <v>FLR -VIN-LVT</v>
      </c>
      <c r="E139" s="385" t="s">
        <v>1452</v>
      </c>
      <c r="F139" s="385" t="s">
        <v>1453</v>
      </c>
      <c r="G139" s="388"/>
      <c r="H139" s="385" t="s">
        <v>245</v>
      </c>
    </row>
    <row r="140" spans="1:8" ht="15" thickBot="1" x14ac:dyDescent="0.4">
      <c r="A140" t="s">
        <v>1447</v>
      </c>
      <c r="B140" t="s">
        <v>2228</v>
      </c>
      <c r="C140" s="385" t="s">
        <v>1454</v>
      </c>
      <c r="D140" s="385" t="str">
        <f t="shared" si="25"/>
        <v>FLR -RUB-DOT</v>
      </c>
      <c r="E140" s="385" t="s">
        <v>1455</v>
      </c>
      <c r="F140" s="385" t="s">
        <v>1456</v>
      </c>
      <c r="G140" s="388"/>
      <c r="H140" s="385" t="s">
        <v>186</v>
      </c>
    </row>
    <row r="141" spans="1:8" ht="15" thickBot="1" x14ac:dyDescent="0.4">
      <c r="A141" t="s">
        <v>1447</v>
      </c>
      <c r="B141" t="s">
        <v>2228</v>
      </c>
      <c r="C141" s="385" t="s">
        <v>1457</v>
      </c>
      <c r="D141" s="385" t="str">
        <f t="shared" si="25"/>
        <v>FLR -CRK-NAT</v>
      </c>
      <c r="E141" s="385" t="s">
        <v>1458</v>
      </c>
      <c r="F141" s="385" t="s">
        <v>1459</v>
      </c>
      <c r="G141" s="388"/>
      <c r="H141" s="385" t="s">
        <v>245</v>
      </c>
    </row>
    <row r="142" spans="1:8" ht="15" thickBot="1" x14ac:dyDescent="0.4">
      <c r="A142" t="s">
        <v>1447</v>
      </c>
      <c r="B142" t="s">
        <v>2228</v>
      </c>
      <c r="C142" s="385" t="s">
        <v>1460</v>
      </c>
      <c r="D142" s="385" t="str">
        <f t="shared" si="25"/>
        <v>FLR -LIN-SHT</v>
      </c>
      <c r="E142" s="385" t="s">
        <v>1461</v>
      </c>
      <c r="F142" s="385" t="s">
        <v>1462</v>
      </c>
      <c r="G142" s="388"/>
      <c r="H142" s="385" t="s">
        <v>245</v>
      </c>
    </row>
    <row r="143" spans="1:8" ht="15" thickBot="1" x14ac:dyDescent="0.4">
      <c r="A143" t="s">
        <v>1447</v>
      </c>
      <c r="B143" t="s">
        <v>2228</v>
      </c>
      <c r="C143" s="385" t="s">
        <v>1463</v>
      </c>
      <c r="D143" s="385" t="str">
        <f>A143&amp;C143</f>
        <v>FLR -CPT-SHT-VAR</v>
      </c>
      <c r="E143" s="385" t="s">
        <v>1464</v>
      </c>
      <c r="F143" s="385" t="s">
        <v>1465</v>
      </c>
      <c r="G143" s="388"/>
      <c r="H143" s="385" t="s">
        <v>245</v>
      </c>
    </row>
    <row r="144" spans="1:8" ht="15" thickBot="1" x14ac:dyDescent="0.4">
      <c r="A144" t="s">
        <v>1447</v>
      </c>
      <c r="B144" t="s">
        <v>2228</v>
      </c>
      <c r="C144" s="385" t="s">
        <v>1466</v>
      </c>
      <c r="D144" s="385" t="str">
        <f t="shared" ref="D144:D146" si="26">A144&amp;C144</f>
        <v>FLR -CPT-TILE-C</v>
      </c>
      <c r="E144" s="385" t="s">
        <v>1467</v>
      </c>
      <c r="F144" s="385" t="s">
        <v>1468</v>
      </c>
      <c r="G144" s="388"/>
      <c r="H144" s="385" t="s">
        <v>245</v>
      </c>
    </row>
    <row r="145" spans="1:8" ht="15" thickBot="1" x14ac:dyDescent="0.4">
      <c r="A145" t="s">
        <v>1447</v>
      </c>
      <c r="B145" t="s">
        <v>2228</v>
      </c>
      <c r="C145" s="385" t="s">
        <v>1469</v>
      </c>
      <c r="D145" s="385" t="str">
        <f t="shared" si="26"/>
        <v>FLR -CPT-UND-STD</v>
      </c>
      <c r="E145" s="385" t="s">
        <v>1470</v>
      </c>
      <c r="F145" s="385" t="s">
        <v>1471</v>
      </c>
      <c r="G145" s="388"/>
      <c r="H145" s="385" t="s">
        <v>245</v>
      </c>
    </row>
    <row r="146" spans="1:8" ht="15" thickBot="1" x14ac:dyDescent="0.4">
      <c r="A146" t="s">
        <v>1447</v>
      </c>
      <c r="B146" t="s">
        <v>2228</v>
      </c>
      <c r="C146" s="385" t="s">
        <v>1472</v>
      </c>
      <c r="D146" s="385" t="str">
        <f t="shared" si="26"/>
        <v>FLR -CPT-UND-PRM</v>
      </c>
      <c r="E146" s="385" t="s">
        <v>1473</v>
      </c>
      <c r="F146" s="385" t="s">
        <v>1474</v>
      </c>
      <c r="G146" s="388"/>
      <c r="H146" s="385" t="s">
        <v>245</v>
      </c>
    </row>
    <row r="147" spans="1:8" ht="15" thickBot="1" x14ac:dyDescent="0.4">
      <c r="A147" t="s">
        <v>1447</v>
      </c>
      <c r="B147" t="s">
        <v>2228</v>
      </c>
      <c r="C147" s="385" t="s">
        <v>1475</v>
      </c>
      <c r="D147" s="385" t="str">
        <f>A147&amp;C147</f>
        <v>FLR -WD-PAR-OAK</v>
      </c>
      <c r="E147" s="385" t="s">
        <v>1476</v>
      </c>
      <c r="F147" s="385" t="s">
        <v>1477</v>
      </c>
      <c r="G147" s="388"/>
      <c r="H147" s="385" t="s">
        <v>245</v>
      </c>
    </row>
    <row r="148" spans="1:8" ht="15" thickBot="1" x14ac:dyDescent="0.4">
      <c r="A148" t="s">
        <v>1447</v>
      </c>
      <c r="B148" t="s">
        <v>2228</v>
      </c>
      <c r="C148" s="385" t="s">
        <v>1478</v>
      </c>
      <c r="D148" s="385" t="str">
        <f t="shared" ref="D148:D150" si="27">A148&amp;C148</f>
        <v>FLR -WD-ENG-OAK</v>
      </c>
      <c r="E148" s="385" t="s">
        <v>1479</v>
      </c>
      <c r="F148" s="385" t="s">
        <v>1480</v>
      </c>
      <c r="G148" s="388"/>
      <c r="H148" s="385" t="s">
        <v>245</v>
      </c>
    </row>
    <row r="149" spans="1:8" ht="15" thickBot="1" x14ac:dyDescent="0.4">
      <c r="A149" t="s">
        <v>1447</v>
      </c>
      <c r="B149" t="s">
        <v>2228</v>
      </c>
      <c r="C149" s="385" t="s">
        <v>1481</v>
      </c>
      <c r="D149" s="385" t="str">
        <f t="shared" si="27"/>
        <v>FLR -WD-LAM-S5</v>
      </c>
      <c r="E149" s="385" t="s">
        <v>1482</v>
      </c>
      <c r="F149" s="385" t="s">
        <v>1483</v>
      </c>
      <c r="G149" s="388"/>
      <c r="H149" s="385" t="s">
        <v>245</v>
      </c>
    </row>
    <row r="150" spans="1:8" ht="38.25" customHeight="1" thickBot="1" x14ac:dyDescent="0.4">
      <c r="A150" t="s">
        <v>1447</v>
      </c>
      <c r="B150" t="s">
        <v>2228</v>
      </c>
      <c r="C150" s="385" t="s">
        <v>1484</v>
      </c>
      <c r="D150" s="385" t="str">
        <f t="shared" si="27"/>
        <v>FLR -WD-BAM-SUST</v>
      </c>
      <c r="E150" s="385" t="s">
        <v>1485</v>
      </c>
      <c r="F150" s="385" t="s">
        <v>1486</v>
      </c>
      <c r="G150" s="388"/>
      <c r="H150" s="385" t="s">
        <v>245</v>
      </c>
    </row>
    <row r="151" spans="1:8" ht="15" thickBot="1" x14ac:dyDescent="0.4">
      <c r="A151" t="s">
        <v>1447</v>
      </c>
      <c r="B151" t="s">
        <v>2228</v>
      </c>
      <c r="C151" s="385" t="s">
        <v>1487</v>
      </c>
      <c r="D151" s="385" t="str">
        <f>A151&amp;C151</f>
        <v>FLR -SKR-PVC</v>
      </c>
      <c r="E151" s="385" t="s">
        <v>1488</v>
      </c>
      <c r="F151" s="385" t="s">
        <v>1489</v>
      </c>
      <c r="G151" s="388"/>
      <c r="H151" s="385" t="s">
        <v>186</v>
      </c>
    </row>
    <row r="152" spans="1:8" ht="15" thickBot="1" x14ac:dyDescent="0.4">
      <c r="A152" t="s">
        <v>1447</v>
      </c>
      <c r="B152" t="s">
        <v>2228</v>
      </c>
      <c r="C152" s="385" t="s">
        <v>1490</v>
      </c>
      <c r="D152" s="385" t="str">
        <f t="shared" ref="D152:D156" si="28">A152&amp;C152</f>
        <v>FLR -SKR-POL</v>
      </c>
      <c r="E152" s="385" t="s">
        <v>1491</v>
      </c>
      <c r="F152" s="385" t="s">
        <v>1492</v>
      </c>
      <c r="G152" s="388"/>
      <c r="H152" s="385" t="s">
        <v>1493</v>
      </c>
    </row>
    <row r="153" spans="1:8" ht="15" thickBot="1" x14ac:dyDescent="0.4">
      <c r="A153" t="s">
        <v>1447</v>
      </c>
      <c r="B153" t="s">
        <v>2228</v>
      </c>
      <c r="C153" s="385" t="s">
        <v>1494</v>
      </c>
      <c r="D153" s="385" t="str">
        <f t="shared" si="28"/>
        <v>FLR -HAN-PL</v>
      </c>
      <c r="E153" s="385" t="s">
        <v>1495</v>
      </c>
      <c r="F153" s="385" t="s">
        <v>1496</v>
      </c>
      <c r="G153" s="388"/>
      <c r="H153" s="385" t="s">
        <v>186</v>
      </c>
    </row>
    <row r="154" spans="1:8" ht="15" thickBot="1" x14ac:dyDescent="0.4">
      <c r="A154" t="s">
        <v>1447</v>
      </c>
      <c r="B154" t="s">
        <v>2228</v>
      </c>
      <c r="C154" s="385" t="s">
        <v>1497</v>
      </c>
      <c r="D154" s="385" t="str">
        <f t="shared" si="28"/>
        <v>FLR -FIN-POL-VIN</v>
      </c>
      <c r="E154" s="385" t="s">
        <v>1498</v>
      </c>
      <c r="F154" s="385" t="s">
        <v>1499</v>
      </c>
      <c r="G154" s="388"/>
      <c r="H154" s="385" t="s">
        <v>1191</v>
      </c>
    </row>
    <row r="155" spans="1:8" ht="15" thickBot="1" x14ac:dyDescent="0.4">
      <c r="A155" t="s">
        <v>1447</v>
      </c>
      <c r="B155" t="s">
        <v>2228</v>
      </c>
      <c r="C155" s="385" t="s">
        <v>1500</v>
      </c>
      <c r="D155" s="385" t="str">
        <f t="shared" si="28"/>
        <v>FLR -FIN-SEA-WD</v>
      </c>
      <c r="E155" s="385" t="s">
        <v>1501</v>
      </c>
      <c r="F155" s="385" t="s">
        <v>1502</v>
      </c>
      <c r="G155" s="388"/>
      <c r="H155" s="385" t="s">
        <v>1191</v>
      </c>
    </row>
    <row r="156" spans="1:8" ht="15" thickBot="1" x14ac:dyDescent="0.4">
      <c r="A156" t="s">
        <v>1447</v>
      </c>
      <c r="B156" t="s">
        <v>2228</v>
      </c>
      <c r="C156" s="385" t="s">
        <v>1503</v>
      </c>
      <c r="D156" s="385" t="str">
        <f t="shared" si="28"/>
        <v>FLR -ACC-EDG-STL</v>
      </c>
      <c r="E156" s="385" t="s">
        <v>1504</v>
      </c>
      <c r="F156" s="385" t="s">
        <v>1505</v>
      </c>
      <c r="G156" s="388"/>
      <c r="H156" s="385" t="s">
        <v>1069</v>
      </c>
    </row>
    <row r="157" spans="1:8" ht="15" thickBot="1" x14ac:dyDescent="0.4">
      <c r="A157" t="s">
        <v>1506</v>
      </c>
      <c r="B157" t="s">
        <v>2230</v>
      </c>
      <c r="C157" s="385" t="s">
        <v>1507</v>
      </c>
      <c r="D157" s="385"/>
      <c r="E157" s="385" t="s">
        <v>1508</v>
      </c>
      <c r="F157" s="385" t="s">
        <v>1509</v>
      </c>
      <c r="G157" s="388"/>
      <c r="H157" s="385" t="s">
        <v>1510</v>
      </c>
    </row>
    <row r="158" spans="1:8" ht="15" thickBot="1" x14ac:dyDescent="0.4">
      <c r="A158" t="s">
        <v>1506</v>
      </c>
      <c r="B158" t="s">
        <v>2230</v>
      </c>
      <c r="C158" s="385" t="s">
        <v>1511</v>
      </c>
      <c r="D158" s="385"/>
      <c r="E158" s="385" t="s">
        <v>1512</v>
      </c>
      <c r="F158" s="385" t="s">
        <v>1513</v>
      </c>
      <c r="G158" s="388"/>
      <c r="H158" s="385" t="s">
        <v>1514</v>
      </c>
    </row>
    <row r="159" spans="1:8" ht="15" thickBot="1" x14ac:dyDescent="0.4">
      <c r="A159" t="s">
        <v>1506</v>
      </c>
      <c r="B159" t="s">
        <v>2230</v>
      </c>
      <c r="C159" s="385" t="s">
        <v>1515</v>
      </c>
      <c r="D159" s="385"/>
      <c r="E159" s="385" t="s">
        <v>1516</v>
      </c>
      <c r="F159" s="385" t="s">
        <v>1517</v>
      </c>
      <c r="G159" s="388"/>
      <c r="H159" s="385" t="s">
        <v>1514</v>
      </c>
    </row>
    <row r="160" spans="1:8" ht="15" thickBot="1" x14ac:dyDescent="0.4">
      <c r="A160" t="s">
        <v>1506</v>
      </c>
      <c r="B160" t="s">
        <v>2230</v>
      </c>
      <c r="C160" s="385" t="s">
        <v>1518</v>
      </c>
      <c r="D160" s="385"/>
      <c r="E160" s="385" t="s">
        <v>1519</v>
      </c>
      <c r="F160" s="385" t="s">
        <v>1520</v>
      </c>
      <c r="G160" s="388"/>
      <c r="H160" s="385" t="s">
        <v>1069</v>
      </c>
    </row>
    <row r="161" spans="1:8" ht="15" thickBot="1" x14ac:dyDescent="0.4">
      <c r="A161" t="s">
        <v>1506</v>
      </c>
      <c r="B161" t="s">
        <v>2230</v>
      </c>
      <c r="C161" s="385" t="s">
        <v>1521</v>
      </c>
      <c r="D161" s="385"/>
      <c r="E161" s="385" t="s">
        <v>1522</v>
      </c>
      <c r="F161" s="385" t="s">
        <v>1523</v>
      </c>
      <c r="G161" s="388"/>
      <c r="H161" s="385" t="s">
        <v>1069</v>
      </c>
    </row>
    <row r="162" spans="1:8" ht="15" thickBot="1" x14ac:dyDescent="0.4">
      <c r="A162" t="s">
        <v>1506</v>
      </c>
      <c r="B162" t="s">
        <v>2230</v>
      </c>
      <c r="C162" s="385" t="s">
        <v>1524</v>
      </c>
      <c r="D162" s="385" t="str">
        <f>A162&amp;C162</f>
        <v>IRM -LCK-CYL-3L</v>
      </c>
      <c r="E162" s="385" t="s">
        <v>1525</v>
      </c>
      <c r="F162" s="385" t="s">
        <v>1526</v>
      </c>
      <c r="G162" s="388"/>
      <c r="H162" s="385" t="s">
        <v>1069</v>
      </c>
    </row>
    <row r="163" spans="1:8" ht="15" thickBot="1" x14ac:dyDescent="0.4">
      <c r="A163" t="s">
        <v>1506</v>
      </c>
      <c r="B163" t="s">
        <v>2230</v>
      </c>
      <c r="C163" s="385" t="s">
        <v>1527</v>
      </c>
      <c r="D163" s="385" t="str">
        <f t="shared" ref="D163:D166" si="29">A163&amp;C163</f>
        <v>IRM -LCK-CYL-EUR</v>
      </c>
      <c r="E163" s="385" t="s">
        <v>1528</v>
      </c>
      <c r="F163" s="385" t="s">
        <v>1529</v>
      </c>
      <c r="G163" s="388"/>
      <c r="H163" s="385" t="s">
        <v>1069</v>
      </c>
    </row>
    <row r="164" spans="1:8" ht="28.5" thickBot="1" x14ac:dyDescent="0.4">
      <c r="A164" t="s">
        <v>1506</v>
      </c>
      <c r="B164" t="s">
        <v>2230</v>
      </c>
      <c r="C164" s="385" t="s">
        <v>1530</v>
      </c>
      <c r="D164" s="385" t="str">
        <f t="shared" si="29"/>
        <v>IRM -LCK-MAS-KEY</v>
      </c>
      <c r="E164" s="385" t="s">
        <v>1531</v>
      </c>
      <c r="F164" s="385" t="s">
        <v>1532</v>
      </c>
      <c r="G164" s="388"/>
      <c r="H164" s="385" t="s">
        <v>1533</v>
      </c>
    </row>
    <row r="165" spans="1:8" ht="15" thickBot="1" x14ac:dyDescent="0.4">
      <c r="A165" t="s">
        <v>1506</v>
      </c>
      <c r="B165" t="s">
        <v>2230</v>
      </c>
      <c r="C165" s="385" t="s">
        <v>1534</v>
      </c>
      <c r="D165" s="385" t="str">
        <f t="shared" si="29"/>
        <v>IRM -LCK-ENS-SUITE</v>
      </c>
      <c r="E165" s="385" t="s">
        <v>1535</v>
      </c>
      <c r="F165" s="385" t="s">
        <v>1536</v>
      </c>
      <c r="G165" s="388"/>
      <c r="H165" s="385" t="s">
        <v>1514</v>
      </c>
    </row>
    <row r="166" spans="1:8" ht="15" thickBot="1" x14ac:dyDescent="0.4">
      <c r="A166" t="s">
        <v>1506</v>
      </c>
      <c r="B166" t="s">
        <v>2230</v>
      </c>
      <c r="C166" s="385" t="s">
        <v>1537</v>
      </c>
      <c r="D166" s="385" t="str">
        <f t="shared" si="29"/>
        <v>IRM -CRD-SET</v>
      </c>
      <c r="E166" s="385" t="s">
        <v>1538</v>
      </c>
      <c r="F166" s="385" t="s">
        <v>1539</v>
      </c>
      <c r="G166" s="388"/>
      <c r="H166" s="385" t="s">
        <v>1514</v>
      </c>
    </row>
    <row r="167" spans="1:8" ht="15" thickBot="1" x14ac:dyDescent="0.4">
      <c r="A167" t="s">
        <v>1506</v>
      </c>
      <c r="B167" t="s">
        <v>2230</v>
      </c>
      <c r="C167" s="385" t="s">
        <v>1540</v>
      </c>
      <c r="D167" s="385" t="str">
        <f>A167&amp;C167</f>
        <v>IRM -SLD-GR-INT</v>
      </c>
      <c r="E167" s="385" t="s">
        <v>1541</v>
      </c>
      <c r="F167" s="385" t="s">
        <v>1542</v>
      </c>
      <c r="G167" s="388"/>
      <c r="H167" s="385" t="s">
        <v>1514</v>
      </c>
    </row>
    <row r="168" spans="1:8" ht="15" thickBot="1" x14ac:dyDescent="0.4">
      <c r="A168" t="s">
        <v>1506</v>
      </c>
      <c r="B168" t="s">
        <v>2230</v>
      </c>
      <c r="C168" s="385" t="s">
        <v>1543</v>
      </c>
      <c r="D168" s="385" t="str">
        <f t="shared" ref="D168:D170" si="30">A168&amp;C168</f>
        <v>IRM -SLD-GR-HVY</v>
      </c>
      <c r="E168" s="385" t="s">
        <v>1544</v>
      </c>
      <c r="F168" s="385" t="s">
        <v>1545</v>
      </c>
      <c r="G168" s="388"/>
      <c r="H168" s="385" t="s">
        <v>1514</v>
      </c>
    </row>
    <row r="169" spans="1:8" ht="15" thickBot="1" x14ac:dyDescent="0.4">
      <c r="A169" t="s">
        <v>1506</v>
      </c>
      <c r="B169" t="s">
        <v>2230</v>
      </c>
      <c r="C169" s="385" t="s">
        <v>1546</v>
      </c>
      <c r="D169" s="385" t="str">
        <f t="shared" si="30"/>
        <v>IRM -RAL-TOW</v>
      </c>
      <c r="E169" s="385" t="s">
        <v>1547</v>
      </c>
      <c r="F169" s="385" t="s">
        <v>1548</v>
      </c>
      <c r="G169" s="388"/>
      <c r="H169" s="385" t="s">
        <v>1069</v>
      </c>
    </row>
    <row r="170" spans="1:8" ht="15" thickBot="1" x14ac:dyDescent="0.4">
      <c r="A170" t="s">
        <v>1506</v>
      </c>
      <c r="B170" t="s">
        <v>2230</v>
      </c>
      <c r="C170" s="385" t="s">
        <v>1549</v>
      </c>
      <c r="D170" s="385" t="str">
        <f t="shared" si="30"/>
        <v>IRM -RAL-GRB</v>
      </c>
      <c r="E170" s="385" t="s">
        <v>1550</v>
      </c>
      <c r="F170" s="385" t="s">
        <v>1551</v>
      </c>
      <c r="G170" s="388"/>
      <c r="H170" s="385" t="s">
        <v>1069</v>
      </c>
    </row>
    <row r="171" spans="1:8" ht="15" thickBot="1" x14ac:dyDescent="0.4">
      <c r="A171" t="s">
        <v>1506</v>
      </c>
      <c r="B171" t="s">
        <v>2230</v>
      </c>
      <c r="C171" s="385" t="s">
        <v>1552</v>
      </c>
      <c r="D171" s="385" t="str">
        <f>A171&amp;C171</f>
        <v>IRM -FIT-LOK-MET</v>
      </c>
      <c r="E171" s="385" t="s">
        <v>1553</v>
      </c>
      <c r="F171" s="385" t="s">
        <v>1554</v>
      </c>
      <c r="G171" s="388"/>
      <c r="H171" s="385" t="s">
        <v>1069</v>
      </c>
    </row>
    <row r="172" spans="1:8" ht="15" thickBot="1" x14ac:dyDescent="0.4">
      <c r="A172" t="s">
        <v>1506</v>
      </c>
      <c r="B172" t="s">
        <v>2230</v>
      </c>
      <c r="C172" s="385" t="s">
        <v>1555</v>
      </c>
      <c r="D172" s="385" t="str">
        <f t="shared" ref="D172:D175" si="31">A172&amp;C172</f>
        <v>IRM -FIT-LOK-TIM</v>
      </c>
      <c r="E172" s="385" t="s">
        <v>1556</v>
      </c>
      <c r="F172" s="385" t="s">
        <v>1557</v>
      </c>
      <c r="G172" s="388"/>
      <c r="H172" s="385" t="s">
        <v>1069</v>
      </c>
    </row>
    <row r="173" spans="1:8" ht="15" thickBot="1" x14ac:dyDescent="0.4">
      <c r="A173" t="s">
        <v>1506</v>
      </c>
      <c r="B173" t="s">
        <v>2230</v>
      </c>
      <c r="C173" s="385" t="s">
        <v>1558</v>
      </c>
      <c r="D173" s="385" t="str">
        <f t="shared" si="31"/>
        <v>IRM -FIT-WRT-BRD</v>
      </c>
      <c r="E173" s="385" t="s">
        <v>1559</v>
      </c>
      <c r="F173" s="385" t="s">
        <v>1560</v>
      </c>
      <c r="G173" s="388"/>
      <c r="H173" s="385" t="s">
        <v>1069</v>
      </c>
    </row>
    <row r="174" spans="1:8" ht="15" thickBot="1" x14ac:dyDescent="0.4">
      <c r="A174" t="s">
        <v>1506</v>
      </c>
      <c r="B174" t="s">
        <v>2230</v>
      </c>
      <c r="C174" s="385" t="s">
        <v>1561</v>
      </c>
      <c r="D174" s="385" t="str">
        <f t="shared" si="31"/>
        <v>IRM -FIT-SEA-FOLD</v>
      </c>
      <c r="E174" s="385" t="s">
        <v>1562</v>
      </c>
      <c r="F174" s="385" t="s">
        <v>1563</v>
      </c>
      <c r="G174" s="388"/>
      <c r="H174" s="385" t="s">
        <v>1069</v>
      </c>
    </row>
    <row r="175" spans="1:8" ht="15" thickBot="1" x14ac:dyDescent="0.4">
      <c r="A175" t="s">
        <v>1506</v>
      </c>
      <c r="B175" t="s">
        <v>2230</v>
      </c>
      <c r="C175" s="385" t="s">
        <v>1564</v>
      </c>
      <c r="D175" s="385" t="str">
        <f t="shared" si="31"/>
        <v>IRM -FIT-CUB-MET</v>
      </c>
      <c r="E175" s="385" t="s">
        <v>1565</v>
      </c>
      <c r="F175" s="385" t="s">
        <v>1566</v>
      </c>
      <c r="G175" s="388"/>
      <c r="H175" s="385" t="s">
        <v>1069</v>
      </c>
    </row>
    <row r="176" spans="1:8" ht="28.5" thickBot="1" x14ac:dyDescent="0.4">
      <c r="A176" t="s">
        <v>1567</v>
      </c>
      <c r="B176" t="s">
        <v>2231</v>
      </c>
      <c r="C176" s="385" t="s">
        <v>1568</v>
      </c>
      <c r="D176" s="385" t="str">
        <f>A176&amp;C176</f>
        <v>STW - S-UNI</v>
      </c>
      <c r="E176" s="385" t="s">
        <v>1569</v>
      </c>
      <c r="F176" s="385" t="s">
        <v>1570</v>
      </c>
      <c r="G176" s="388"/>
      <c r="H176" s="385" t="s">
        <v>1143</v>
      </c>
    </row>
    <row r="177" spans="1:8" ht="15" thickBot="1" x14ac:dyDescent="0.4">
      <c r="A177" t="s">
        <v>1567</v>
      </c>
      <c r="B177" t="s">
        <v>2231</v>
      </c>
      <c r="C177" s="385" t="s">
        <v>1571</v>
      </c>
      <c r="D177" s="385" t="str">
        <f t="shared" ref="D177:D180" si="32">A177&amp;C177</f>
        <v>STW - S-ANG</v>
      </c>
      <c r="E177" s="385" t="s">
        <v>1572</v>
      </c>
      <c r="F177" s="385" t="s">
        <v>1573</v>
      </c>
      <c r="G177" s="388"/>
      <c r="H177" s="385" t="s">
        <v>1574</v>
      </c>
    </row>
    <row r="178" spans="1:8" ht="15" thickBot="1" x14ac:dyDescent="0.4">
      <c r="A178" t="s">
        <v>1567</v>
      </c>
      <c r="B178" t="s">
        <v>2231</v>
      </c>
      <c r="C178" s="385" t="s">
        <v>1575</v>
      </c>
      <c r="D178" s="385" t="str">
        <f t="shared" si="32"/>
        <v>STW - S-CHN</v>
      </c>
      <c r="E178" s="385" t="s">
        <v>1576</v>
      </c>
      <c r="F178" s="385" t="s">
        <v>1577</v>
      </c>
      <c r="G178" s="388"/>
      <c r="H178" s="385" t="s">
        <v>1574</v>
      </c>
    </row>
    <row r="179" spans="1:8" ht="15" thickBot="1" x14ac:dyDescent="0.4">
      <c r="A179" t="s">
        <v>1567</v>
      </c>
      <c r="B179" t="s">
        <v>2231</v>
      </c>
      <c r="C179" s="385" t="s">
        <v>1578</v>
      </c>
      <c r="D179" s="385" t="str">
        <f t="shared" si="32"/>
        <v>STW - S-PLT</v>
      </c>
      <c r="E179" s="385" t="s">
        <v>1579</v>
      </c>
      <c r="F179" s="385" t="s">
        <v>1580</v>
      </c>
      <c r="G179" s="388"/>
      <c r="H179" s="385" t="s">
        <v>1054</v>
      </c>
    </row>
    <row r="180" spans="1:8" ht="15" thickBot="1" x14ac:dyDescent="0.4">
      <c r="A180" t="s">
        <v>1567</v>
      </c>
      <c r="B180" t="s">
        <v>2231</v>
      </c>
      <c r="C180" s="385" t="s">
        <v>1581</v>
      </c>
      <c r="D180" s="385" t="str">
        <f t="shared" si="32"/>
        <v>STW - S-TRUS</v>
      </c>
      <c r="E180" s="385" t="s">
        <v>1582</v>
      </c>
      <c r="F180" s="385" t="s">
        <v>1583</v>
      </c>
      <c r="G180" s="388"/>
      <c r="H180" s="385" t="s">
        <v>245</v>
      </c>
    </row>
    <row r="181" spans="1:8" ht="15" thickBot="1" x14ac:dyDescent="0.4">
      <c r="A181" t="s">
        <v>1567</v>
      </c>
      <c r="B181" t="s">
        <v>2231</v>
      </c>
      <c r="C181" s="385" t="s">
        <v>1584</v>
      </c>
      <c r="D181" s="385" t="str">
        <f>A181&amp;C181</f>
        <v>STW - B-PLAIN</v>
      </c>
      <c r="E181" s="385" t="s">
        <v>1585</v>
      </c>
      <c r="F181" s="385" t="s">
        <v>1586</v>
      </c>
      <c r="G181" s="388"/>
      <c r="H181" s="385" t="s">
        <v>1058</v>
      </c>
    </row>
    <row r="182" spans="1:8" ht="15" thickBot="1" x14ac:dyDescent="0.4">
      <c r="A182" t="s">
        <v>1567</v>
      </c>
      <c r="B182" t="s">
        <v>2231</v>
      </c>
      <c r="C182" s="385" t="s">
        <v>1587</v>
      </c>
      <c r="D182" s="385" t="str">
        <f t="shared" ref="D182:D185" si="33">A182&amp;C182</f>
        <v>STW - B-SSTEEL</v>
      </c>
      <c r="E182" s="385" t="s">
        <v>1588</v>
      </c>
      <c r="F182" s="385" t="s">
        <v>1589</v>
      </c>
      <c r="G182" s="388"/>
      <c r="H182" s="385" t="s">
        <v>1058</v>
      </c>
    </row>
    <row r="183" spans="1:8" ht="15" thickBot="1" x14ac:dyDescent="0.4">
      <c r="A183" t="s">
        <v>1567</v>
      </c>
      <c r="B183" t="s">
        <v>2231</v>
      </c>
      <c r="C183" s="385" t="s">
        <v>1590</v>
      </c>
      <c r="D183" s="385" t="str">
        <f t="shared" si="33"/>
        <v>STW - B-GLASS</v>
      </c>
      <c r="E183" s="385" t="s">
        <v>1591</v>
      </c>
      <c r="F183" s="385" t="s">
        <v>1592</v>
      </c>
      <c r="G183" s="388"/>
      <c r="H183" s="385" t="s">
        <v>1058</v>
      </c>
    </row>
    <row r="184" spans="1:8" ht="15" thickBot="1" x14ac:dyDescent="0.4">
      <c r="A184" t="s">
        <v>1567</v>
      </c>
      <c r="B184" t="s">
        <v>2231</v>
      </c>
      <c r="C184" s="385" t="s">
        <v>1593</v>
      </c>
      <c r="D184" s="385" t="str">
        <f t="shared" si="33"/>
        <v>STW - S-STAIR</v>
      </c>
      <c r="E184" s="385" t="s">
        <v>1594</v>
      </c>
      <c r="F184" s="385" t="s">
        <v>1595</v>
      </c>
      <c r="G184" s="388"/>
      <c r="H184" s="385" t="s">
        <v>1069</v>
      </c>
    </row>
    <row r="185" spans="1:8" ht="15" thickBot="1" x14ac:dyDescent="0.4">
      <c r="A185" t="s">
        <v>1567</v>
      </c>
      <c r="B185" t="s">
        <v>2231</v>
      </c>
      <c r="C185" s="385" t="s">
        <v>1596</v>
      </c>
      <c r="D185" s="385" t="str">
        <f t="shared" si="33"/>
        <v>STW - S-LAD</v>
      </c>
      <c r="E185" s="385" t="s">
        <v>1597</v>
      </c>
      <c r="F185" s="385" t="s">
        <v>1598</v>
      </c>
      <c r="G185" s="388"/>
      <c r="H185" s="385" t="s">
        <v>1058</v>
      </c>
    </row>
    <row r="186" spans="1:8" ht="15" thickBot="1" x14ac:dyDescent="0.4">
      <c r="A186" t="s">
        <v>1567</v>
      </c>
      <c r="B186" t="s">
        <v>2231</v>
      </c>
      <c r="C186" s="385" t="s">
        <v>1599</v>
      </c>
      <c r="D186" s="385" t="str">
        <f>A186&amp;C186</f>
        <v>STW - FIX-BOL-M12</v>
      </c>
      <c r="E186" s="385" t="s">
        <v>1600</v>
      </c>
      <c r="F186" s="385" t="s">
        <v>1601</v>
      </c>
      <c r="G186" s="388"/>
      <c r="H186" s="385" t="s">
        <v>1069</v>
      </c>
    </row>
    <row r="187" spans="1:8" ht="15" thickBot="1" x14ac:dyDescent="0.4">
      <c r="A187" t="s">
        <v>1567</v>
      </c>
      <c r="B187" t="s">
        <v>2231</v>
      </c>
      <c r="C187" s="385" t="s">
        <v>1602</v>
      </c>
      <c r="D187" s="385" t="str">
        <f t="shared" ref="D187:D190" si="34">A187&amp;C187</f>
        <v>STW - FIX-BOL-M20</v>
      </c>
      <c r="E187" s="385" t="s">
        <v>1603</v>
      </c>
      <c r="F187" s="385" t="s">
        <v>1604</v>
      </c>
      <c r="G187" s="388"/>
      <c r="H187" s="385" t="s">
        <v>1069</v>
      </c>
    </row>
    <row r="188" spans="1:8" ht="15" thickBot="1" x14ac:dyDescent="0.4">
      <c r="A188" t="s">
        <v>1567</v>
      </c>
      <c r="B188" t="s">
        <v>2231</v>
      </c>
      <c r="C188" s="385" t="s">
        <v>1605</v>
      </c>
      <c r="D188" s="385" t="str">
        <f t="shared" si="34"/>
        <v>STW - FIX-WAS-M16</v>
      </c>
      <c r="E188" s="385" t="s">
        <v>1606</v>
      </c>
      <c r="F188" s="385" t="s">
        <v>1607</v>
      </c>
      <c r="G188" s="388"/>
      <c r="H188" s="385" t="s">
        <v>1069</v>
      </c>
    </row>
    <row r="189" spans="1:8" ht="15" thickBot="1" x14ac:dyDescent="0.4">
      <c r="A189" t="s">
        <v>1567</v>
      </c>
      <c r="B189" t="s">
        <v>2231</v>
      </c>
      <c r="C189" s="385" t="s">
        <v>1608</v>
      </c>
      <c r="D189" s="385" t="str">
        <f t="shared" si="34"/>
        <v>STW - FIX-ROD-WEL</v>
      </c>
      <c r="E189" s="385" t="s">
        <v>1609</v>
      </c>
      <c r="F189" s="385" t="s">
        <v>1610</v>
      </c>
      <c r="G189" s="388"/>
      <c r="H189" s="385" t="s">
        <v>1370</v>
      </c>
    </row>
    <row r="190" spans="1:8" ht="15" thickBot="1" x14ac:dyDescent="0.4">
      <c r="A190" t="s">
        <v>1567</v>
      </c>
      <c r="B190" t="s">
        <v>2231</v>
      </c>
      <c r="C190" s="385" t="s">
        <v>1611</v>
      </c>
      <c r="D190" s="385" t="str">
        <f t="shared" si="34"/>
        <v>STW - FIX-ANC-CHM</v>
      </c>
      <c r="E190" s="385" t="s">
        <v>1612</v>
      </c>
      <c r="F190" s="385" t="s">
        <v>1613</v>
      </c>
      <c r="G190" s="388"/>
      <c r="H190" s="385" t="s">
        <v>1223</v>
      </c>
    </row>
    <row r="191" spans="1:8" ht="30.75" customHeight="1" thickBot="1" x14ac:dyDescent="0.4">
      <c r="A191" t="s">
        <v>1567</v>
      </c>
      <c r="B191" t="s">
        <v>2231</v>
      </c>
      <c r="C191" s="385" t="s">
        <v>1614</v>
      </c>
      <c r="D191" s="385" t="str">
        <f>A191&amp;C191</f>
        <v>STW - FIN-PRM-ROX</v>
      </c>
      <c r="E191" s="385" t="s">
        <v>1615</v>
      </c>
      <c r="F191" s="385" t="s">
        <v>1616</v>
      </c>
      <c r="G191" s="388"/>
      <c r="H191" s="385" t="s">
        <v>1617</v>
      </c>
    </row>
    <row r="192" spans="1:8" ht="27.75" customHeight="1" thickBot="1" x14ac:dyDescent="0.4">
      <c r="A192" t="s">
        <v>1567</v>
      </c>
      <c r="B192" t="s">
        <v>2231</v>
      </c>
      <c r="C192" s="385" t="s">
        <v>1618</v>
      </c>
      <c r="D192" s="385" t="str">
        <f t="shared" ref="D192:D193" si="35">A192&amp;C192</f>
        <v>STW - FIN-GAL-HOT</v>
      </c>
      <c r="E192" s="385" t="s">
        <v>1619</v>
      </c>
      <c r="F192" s="385" t="s">
        <v>1620</v>
      </c>
      <c r="G192" s="388"/>
      <c r="H192" s="385" t="s">
        <v>1058</v>
      </c>
    </row>
    <row r="193" spans="1:8" ht="15" thickBot="1" x14ac:dyDescent="0.4">
      <c r="A193" t="s">
        <v>1567</v>
      </c>
      <c r="B193" t="s">
        <v>2231</v>
      </c>
      <c r="C193" s="385" t="s">
        <v>1621</v>
      </c>
      <c r="D193" s="385" t="str">
        <f t="shared" si="35"/>
        <v>STW - FIN-PDR</v>
      </c>
      <c r="E193" s="385" t="s">
        <v>1622</v>
      </c>
      <c r="F193" s="385" t="s">
        <v>1623</v>
      </c>
      <c r="G193" s="388"/>
      <c r="H193" s="385" t="s">
        <v>1058</v>
      </c>
    </row>
    <row r="194" spans="1:8" ht="15" thickBot="1" x14ac:dyDescent="0.4">
      <c r="A194" t="s">
        <v>1624</v>
      </c>
      <c r="B194" t="s">
        <v>2232</v>
      </c>
      <c r="C194" s="385" t="s">
        <v>1625</v>
      </c>
      <c r="D194" s="385" t="str">
        <f>A194&amp;C194</f>
        <v>MTW -PRS-762</v>
      </c>
      <c r="E194" s="385" t="s">
        <v>1626</v>
      </c>
      <c r="F194" s="385" t="s">
        <v>1627</v>
      </c>
      <c r="G194" s="388"/>
      <c r="H194" s="385" t="s">
        <v>1069</v>
      </c>
    </row>
    <row r="195" spans="1:8" ht="15" thickBot="1" x14ac:dyDescent="0.4">
      <c r="A195" t="s">
        <v>1624</v>
      </c>
      <c r="B195" t="s">
        <v>2232</v>
      </c>
      <c r="C195" s="385" t="s">
        <v>1628</v>
      </c>
      <c r="D195" s="385" t="str">
        <f t="shared" ref="D195:D198" si="36">A195&amp;C195</f>
        <v>MTW -PRS-813</v>
      </c>
      <c r="E195" s="385" t="s">
        <v>1626</v>
      </c>
      <c r="F195" s="385" t="s">
        <v>1629</v>
      </c>
      <c r="G195" s="388"/>
      <c r="H195" s="385" t="s">
        <v>1069</v>
      </c>
    </row>
    <row r="196" spans="1:8" ht="15" thickBot="1" x14ac:dyDescent="0.4">
      <c r="A196" t="s">
        <v>1624</v>
      </c>
      <c r="B196" t="s">
        <v>2232</v>
      </c>
      <c r="C196" s="385" t="s">
        <v>1630</v>
      </c>
      <c r="D196" s="385" t="str">
        <f t="shared" si="36"/>
        <v>MTW -PRS-HDY</v>
      </c>
      <c r="E196" s="385" t="s">
        <v>1631</v>
      </c>
      <c r="F196" s="385" t="s">
        <v>1632</v>
      </c>
      <c r="G196" s="388"/>
      <c r="H196" s="385" t="s">
        <v>1069</v>
      </c>
    </row>
    <row r="197" spans="1:8" ht="15" thickBot="1" x14ac:dyDescent="0.4">
      <c r="A197" t="s">
        <v>1624</v>
      </c>
      <c r="B197" t="s">
        <v>2232</v>
      </c>
      <c r="C197" s="385" t="s">
        <v>1633</v>
      </c>
      <c r="D197" s="385" t="str">
        <f t="shared" si="36"/>
        <v>MTW -PRS-TFR</v>
      </c>
      <c r="E197" s="385" t="s">
        <v>1634</v>
      </c>
      <c r="F197" s="385" t="s">
        <v>1635</v>
      </c>
      <c r="G197" s="388"/>
      <c r="H197" s="385" t="s">
        <v>1069</v>
      </c>
    </row>
    <row r="198" spans="1:8" ht="15" thickBot="1" x14ac:dyDescent="0.4">
      <c r="A198" t="s">
        <v>1624</v>
      </c>
      <c r="B198" t="s">
        <v>2232</v>
      </c>
      <c r="C198" s="385" t="s">
        <v>1636</v>
      </c>
      <c r="D198" s="385" t="str">
        <f t="shared" si="36"/>
        <v>MTW -PRS-SUB</v>
      </c>
      <c r="E198" s="385" t="s">
        <v>1637</v>
      </c>
      <c r="F198" s="385" t="s">
        <v>1638</v>
      </c>
      <c r="G198" s="388"/>
      <c r="H198" s="385" t="s">
        <v>1069</v>
      </c>
    </row>
    <row r="199" spans="1:8" ht="15" thickBot="1" x14ac:dyDescent="0.4">
      <c r="A199" t="s">
        <v>1624</v>
      </c>
      <c r="B199" t="s">
        <v>2232</v>
      </c>
      <c r="C199" s="385" t="s">
        <v>1639</v>
      </c>
      <c r="D199" s="385" t="str">
        <f>A199&amp;C199</f>
        <v>MTW -MS-ANG</v>
      </c>
      <c r="E199" s="385" t="s">
        <v>1572</v>
      </c>
      <c r="F199" s="385" t="s">
        <v>1640</v>
      </c>
      <c r="G199" s="388"/>
      <c r="H199" s="385" t="s">
        <v>1069</v>
      </c>
    </row>
    <row r="200" spans="1:8" ht="15" thickBot="1" x14ac:dyDescent="0.4">
      <c r="A200" t="s">
        <v>1624</v>
      </c>
      <c r="B200" t="s">
        <v>2232</v>
      </c>
      <c r="C200" s="385" t="s">
        <v>1641</v>
      </c>
      <c r="D200" s="385" t="str">
        <f t="shared" ref="D200:D203" si="37">A200&amp;C200</f>
        <v>MTW -MS-ANG2</v>
      </c>
      <c r="E200" s="385" t="s">
        <v>1572</v>
      </c>
      <c r="F200" s="385" t="s">
        <v>1642</v>
      </c>
      <c r="G200" s="388"/>
      <c r="H200" s="385" t="s">
        <v>1069</v>
      </c>
    </row>
    <row r="201" spans="1:8" ht="15" thickBot="1" x14ac:dyDescent="0.4">
      <c r="A201" t="s">
        <v>1624</v>
      </c>
      <c r="B201" t="s">
        <v>2232</v>
      </c>
      <c r="C201" s="385" t="s">
        <v>1643</v>
      </c>
      <c r="D201" s="385" t="str">
        <f t="shared" si="37"/>
        <v>MTW -MS-FLT</v>
      </c>
      <c r="E201" s="385" t="s">
        <v>1644</v>
      </c>
      <c r="F201" s="385" t="s">
        <v>1645</v>
      </c>
      <c r="G201" s="388"/>
      <c r="H201" s="385" t="s">
        <v>1069</v>
      </c>
    </row>
    <row r="202" spans="1:8" ht="15" thickBot="1" x14ac:dyDescent="0.4">
      <c r="A202" t="s">
        <v>1624</v>
      </c>
      <c r="B202" t="s">
        <v>2232</v>
      </c>
      <c r="C202" s="385" t="s">
        <v>1646</v>
      </c>
      <c r="D202" s="385" t="str">
        <f t="shared" si="37"/>
        <v>MTW -MS-FLT2</v>
      </c>
      <c r="E202" s="385" t="s">
        <v>1644</v>
      </c>
      <c r="F202" s="385" t="s">
        <v>1647</v>
      </c>
      <c r="G202" s="388"/>
      <c r="H202" s="385" t="s">
        <v>1069</v>
      </c>
    </row>
    <row r="203" spans="1:8" ht="15" thickBot="1" x14ac:dyDescent="0.4">
      <c r="A203" t="s">
        <v>1624</v>
      </c>
      <c r="B203" t="s">
        <v>2232</v>
      </c>
      <c r="C203" s="385" t="s">
        <v>1648</v>
      </c>
      <c r="D203" s="385" t="str">
        <f t="shared" si="37"/>
        <v>MTW -MS-TUB</v>
      </c>
      <c r="E203" s="385" t="s">
        <v>1649</v>
      </c>
      <c r="F203" s="385" t="s">
        <v>1650</v>
      </c>
      <c r="G203" s="388"/>
      <c r="H203" s="385" t="s">
        <v>1069</v>
      </c>
    </row>
    <row r="204" spans="1:8" ht="15" thickBot="1" x14ac:dyDescent="0.4">
      <c r="A204" t="s">
        <v>1624</v>
      </c>
      <c r="B204" t="s">
        <v>2232</v>
      </c>
      <c r="C204" s="385" t="s">
        <v>1651</v>
      </c>
      <c r="D204" s="385" t="str">
        <f>A204&amp;C204</f>
        <v>MTW -ALU-WIN-SLD</v>
      </c>
      <c r="E204" s="385" t="s">
        <v>1652</v>
      </c>
      <c r="F204" s="385" t="s">
        <v>1653</v>
      </c>
      <c r="G204" s="388"/>
      <c r="H204" s="385" t="s">
        <v>1069</v>
      </c>
    </row>
    <row r="205" spans="1:8" ht="15" thickBot="1" x14ac:dyDescent="0.4">
      <c r="A205" t="s">
        <v>1624</v>
      </c>
      <c r="B205" t="s">
        <v>2232</v>
      </c>
      <c r="C205" s="385" t="s">
        <v>1654</v>
      </c>
      <c r="D205" s="385" t="str">
        <f t="shared" ref="D205:D208" si="38">A205&amp;C205</f>
        <v>MTW -ALU-WIN-CSM</v>
      </c>
      <c r="E205" s="385" t="s">
        <v>1655</v>
      </c>
      <c r="F205" s="385" t="s">
        <v>1656</v>
      </c>
      <c r="G205" s="388"/>
      <c r="H205" s="385" t="s">
        <v>1069</v>
      </c>
    </row>
    <row r="206" spans="1:8" ht="15" thickBot="1" x14ac:dyDescent="0.4">
      <c r="A206" t="s">
        <v>1624</v>
      </c>
      <c r="B206" t="s">
        <v>2232</v>
      </c>
      <c r="C206" s="385" t="s">
        <v>1657</v>
      </c>
      <c r="D206" s="385" t="str">
        <f t="shared" si="38"/>
        <v>MTW -ALU-SF-STD</v>
      </c>
      <c r="E206" s="385" t="s">
        <v>1658</v>
      </c>
      <c r="F206" s="385" t="s">
        <v>1659</v>
      </c>
      <c r="G206" s="388"/>
      <c r="H206" s="385" t="s">
        <v>1660</v>
      </c>
    </row>
    <row r="207" spans="1:8" ht="15" thickBot="1" x14ac:dyDescent="0.4">
      <c r="A207" t="s">
        <v>1624</v>
      </c>
      <c r="B207" t="s">
        <v>2232</v>
      </c>
      <c r="C207" s="385" t="s">
        <v>1661</v>
      </c>
      <c r="D207" s="385" t="str">
        <f t="shared" si="38"/>
        <v>MTW -ALU-LOU-VNT</v>
      </c>
      <c r="E207" s="385" t="s">
        <v>1662</v>
      </c>
      <c r="F207" s="385" t="s">
        <v>1663</v>
      </c>
      <c r="G207" s="388"/>
      <c r="H207" s="385" t="s">
        <v>1069</v>
      </c>
    </row>
    <row r="208" spans="1:8" ht="15" thickBot="1" x14ac:dyDescent="0.4">
      <c r="A208" t="s">
        <v>1624</v>
      </c>
      <c r="B208" t="s">
        <v>2232</v>
      </c>
      <c r="C208" s="385" t="s">
        <v>1664</v>
      </c>
      <c r="D208" s="385" t="str">
        <f t="shared" si="38"/>
        <v>MTW -ALU-SF-GLZ</v>
      </c>
      <c r="E208" s="385" t="s">
        <v>1665</v>
      </c>
      <c r="F208" s="385" t="s">
        <v>1666</v>
      </c>
      <c r="G208" s="388"/>
      <c r="H208" s="385" t="s">
        <v>245</v>
      </c>
    </row>
    <row r="209" spans="1:8" ht="15" thickBot="1" x14ac:dyDescent="0.4">
      <c r="A209" t="s">
        <v>1624</v>
      </c>
      <c r="B209" t="s">
        <v>2232</v>
      </c>
      <c r="C209" s="385" t="s">
        <v>1667</v>
      </c>
      <c r="D209" s="385" t="str">
        <f>A209&amp;C209</f>
        <v>MTW -MSH-EXP</v>
      </c>
      <c r="E209" s="385" t="s">
        <v>1668</v>
      </c>
      <c r="F209" s="385" t="s">
        <v>1669</v>
      </c>
      <c r="G209" s="388"/>
      <c r="H209" s="385" t="s">
        <v>1069</v>
      </c>
    </row>
    <row r="210" spans="1:8" ht="15" thickBot="1" x14ac:dyDescent="0.4">
      <c r="A210" t="s">
        <v>1624</v>
      </c>
      <c r="B210" t="s">
        <v>2232</v>
      </c>
      <c r="C210" s="385" t="s">
        <v>1670</v>
      </c>
      <c r="D210" s="385" t="str">
        <f t="shared" ref="D210:D212" si="39">A210&amp;C210</f>
        <v>MTW -MSH-GAL</v>
      </c>
      <c r="E210" s="385" t="s">
        <v>1671</v>
      </c>
      <c r="F210" s="385" t="s">
        <v>1672</v>
      </c>
      <c r="G210" s="388"/>
      <c r="H210" s="385" t="s">
        <v>1069</v>
      </c>
    </row>
    <row r="211" spans="1:8" ht="15" thickBot="1" x14ac:dyDescent="0.4">
      <c r="A211" t="s">
        <v>1624</v>
      </c>
      <c r="B211" t="s">
        <v>2232</v>
      </c>
      <c r="C211" s="385" t="s">
        <v>1673</v>
      </c>
      <c r="D211" s="385" t="str">
        <f t="shared" si="39"/>
        <v>MTW -MSH-3680</v>
      </c>
      <c r="E211" s="385" t="s">
        <v>1668</v>
      </c>
      <c r="F211" s="385" t="s">
        <v>1674</v>
      </c>
      <c r="G211" s="388"/>
      <c r="H211" s="385" t="s">
        <v>1069</v>
      </c>
    </row>
    <row r="212" spans="1:8" ht="15" thickBot="1" x14ac:dyDescent="0.4">
      <c r="A212" t="s">
        <v>1624</v>
      </c>
      <c r="B212" t="s">
        <v>2232</v>
      </c>
      <c r="C212" s="385" t="s">
        <v>1675</v>
      </c>
      <c r="D212" s="385" t="str">
        <f t="shared" si="39"/>
        <v>MTW -FIN-GAL</v>
      </c>
      <c r="E212" s="385" t="s">
        <v>1676</v>
      </c>
      <c r="F212" s="385" t="s">
        <v>1677</v>
      </c>
      <c r="G212" s="388"/>
      <c r="H212" s="385" t="s">
        <v>245</v>
      </c>
    </row>
    <row r="213" spans="1:8" ht="27.75" customHeight="1" thickBot="1" x14ac:dyDescent="0.4">
      <c r="A213" t="s">
        <v>1678</v>
      </c>
      <c r="B213" t="s">
        <v>2233</v>
      </c>
      <c r="C213" s="385" t="s">
        <v>1679</v>
      </c>
      <c r="D213" s="385" t="str">
        <f>A213&amp;C213</f>
        <v>PLA -CMT-CEM-32.5</v>
      </c>
      <c r="E213" s="385" t="s">
        <v>1680</v>
      </c>
      <c r="F213" s="385" t="s">
        <v>1681</v>
      </c>
      <c r="G213" s="388"/>
      <c r="H213" s="385" t="s">
        <v>1095</v>
      </c>
    </row>
    <row r="214" spans="1:8" ht="43.5" customHeight="1" thickBot="1" x14ac:dyDescent="0.4">
      <c r="A214" t="s">
        <v>1678</v>
      </c>
      <c r="B214" t="s">
        <v>2233</v>
      </c>
      <c r="C214" s="385" t="s">
        <v>1682</v>
      </c>
      <c r="D214" s="385" t="str">
        <f t="shared" ref="D214:D218" si="40">A214&amp;C214</f>
        <v>PLA -CMT-CEM-42.5</v>
      </c>
      <c r="E214" s="385" t="s">
        <v>1683</v>
      </c>
      <c r="F214" s="385" t="s">
        <v>1684</v>
      </c>
      <c r="G214" s="388"/>
      <c r="H214" s="385" t="s">
        <v>1095</v>
      </c>
    </row>
    <row r="215" spans="1:8" ht="15" thickBot="1" x14ac:dyDescent="0.4">
      <c r="A215" t="s">
        <v>1678</v>
      </c>
      <c r="B215" t="s">
        <v>2233</v>
      </c>
      <c r="C215" s="385" t="s">
        <v>1685</v>
      </c>
      <c r="D215" s="385" t="str">
        <f t="shared" si="40"/>
        <v>PLA -SND-PLR-YRD</v>
      </c>
      <c r="E215" s="385" t="s">
        <v>1686</v>
      </c>
      <c r="F215" s="385" t="s">
        <v>1687</v>
      </c>
      <c r="G215" s="388"/>
      <c r="H215" s="385" t="s">
        <v>587</v>
      </c>
    </row>
    <row r="216" spans="1:8" ht="30.75" customHeight="1" thickBot="1" x14ac:dyDescent="0.4">
      <c r="A216" t="s">
        <v>1678</v>
      </c>
      <c r="B216" t="s">
        <v>2233</v>
      </c>
      <c r="C216" s="385" t="s">
        <v>1688</v>
      </c>
      <c r="D216" s="385" t="str">
        <f t="shared" si="40"/>
        <v>PLA -SND-PLR-WSH</v>
      </c>
      <c r="E216" s="385" t="s">
        <v>1689</v>
      </c>
      <c r="F216" s="385" t="s">
        <v>1690</v>
      </c>
      <c r="G216" s="388"/>
      <c r="H216" s="385" t="s">
        <v>587</v>
      </c>
    </row>
    <row r="217" spans="1:8" ht="15" thickBot="1" x14ac:dyDescent="0.4">
      <c r="A217" t="s">
        <v>1678</v>
      </c>
      <c r="B217" t="s">
        <v>2233</v>
      </c>
      <c r="C217" s="385" t="s">
        <v>1691</v>
      </c>
      <c r="D217" s="385" t="str">
        <f t="shared" si="40"/>
        <v>PLA -PLR-MIX-PRE</v>
      </c>
      <c r="E217" s="385" t="s">
        <v>1692</v>
      </c>
      <c r="F217" s="385" t="s">
        <v>1693</v>
      </c>
      <c r="G217" s="388"/>
      <c r="H217" s="385" t="s">
        <v>1694</v>
      </c>
    </row>
    <row r="218" spans="1:8" ht="36.75" customHeight="1" thickBot="1" x14ac:dyDescent="0.4">
      <c r="A218" t="s">
        <v>1678</v>
      </c>
      <c r="B218" t="s">
        <v>2233</v>
      </c>
      <c r="C218" s="385" t="s">
        <v>1695</v>
      </c>
      <c r="D218" s="385" t="str">
        <f t="shared" si="40"/>
        <v>PLA -PLR-ADH-BOND</v>
      </c>
      <c r="E218" s="385" t="s">
        <v>1696</v>
      </c>
      <c r="F218" s="385" t="s">
        <v>1697</v>
      </c>
      <c r="G218" s="388"/>
      <c r="H218" s="385" t="s">
        <v>1617</v>
      </c>
    </row>
    <row r="219" spans="1:8" ht="15" thickBot="1" x14ac:dyDescent="0.4">
      <c r="A219" t="s">
        <v>1678</v>
      </c>
      <c r="B219" t="s">
        <v>2233</v>
      </c>
      <c r="C219" s="385" t="s">
        <v>1698</v>
      </c>
      <c r="D219" s="385" t="str">
        <f>A219&amp;C219</f>
        <v>PLA -GYP-RHI-40</v>
      </c>
      <c r="E219" s="385" t="s">
        <v>1699</v>
      </c>
      <c r="F219" s="385" t="s">
        <v>1700</v>
      </c>
      <c r="G219" s="388"/>
      <c r="H219" s="385" t="s">
        <v>1694</v>
      </c>
    </row>
    <row r="220" spans="1:8" ht="15" thickBot="1" x14ac:dyDescent="0.4">
      <c r="A220" t="s">
        <v>1678</v>
      </c>
      <c r="B220" t="s">
        <v>2233</v>
      </c>
      <c r="C220" s="385" t="s">
        <v>1701</v>
      </c>
      <c r="D220" s="385" t="str">
        <f t="shared" ref="D220:D222" si="41">A220&amp;C220</f>
        <v>PLA -GYP-TACK-40</v>
      </c>
      <c r="E220" s="385" t="s">
        <v>1702</v>
      </c>
      <c r="F220" s="385" t="s">
        <v>1703</v>
      </c>
      <c r="G220" s="388"/>
      <c r="H220" s="385" t="s">
        <v>1694</v>
      </c>
    </row>
    <row r="221" spans="1:8" ht="15" thickBot="1" x14ac:dyDescent="0.4">
      <c r="A221" t="s">
        <v>1678</v>
      </c>
      <c r="B221" t="s">
        <v>2233</v>
      </c>
      <c r="C221" s="385" t="s">
        <v>1704</v>
      </c>
      <c r="D221" s="385" t="str">
        <f t="shared" si="41"/>
        <v>PLA -GYP-CRT-40</v>
      </c>
      <c r="E221" s="385" t="s">
        <v>1705</v>
      </c>
      <c r="F221" s="385" t="s">
        <v>1706</v>
      </c>
      <c r="G221" s="388"/>
      <c r="H221" s="385" t="s">
        <v>1694</v>
      </c>
    </row>
    <row r="222" spans="1:8" ht="15" thickBot="1" x14ac:dyDescent="0.4">
      <c r="A222" t="s">
        <v>1678</v>
      </c>
      <c r="B222" t="s">
        <v>2233</v>
      </c>
      <c r="C222" s="385" t="s">
        <v>1707</v>
      </c>
      <c r="D222" s="385" t="str">
        <f t="shared" si="41"/>
        <v>PLA -GYP-GLI-20</v>
      </c>
      <c r="E222" s="385" t="s">
        <v>1708</v>
      </c>
      <c r="F222" s="385" t="s">
        <v>1709</v>
      </c>
      <c r="G222" s="388"/>
      <c r="H222" s="385" t="s">
        <v>1710</v>
      </c>
    </row>
    <row r="223" spans="1:8" ht="15" thickBot="1" x14ac:dyDescent="0.4">
      <c r="A223" t="s">
        <v>1678</v>
      </c>
      <c r="B223" t="s">
        <v>2233</v>
      </c>
      <c r="C223" s="385" t="s">
        <v>1711</v>
      </c>
      <c r="D223" s="385" t="str">
        <f>A223&amp;C223</f>
        <v>PLA -DEC-CEM-COL</v>
      </c>
      <c r="E223" s="385" t="s">
        <v>1712</v>
      </c>
      <c r="F223" s="385" t="s">
        <v>1713</v>
      </c>
      <c r="G223" s="388"/>
      <c r="H223" s="385" t="s">
        <v>1694</v>
      </c>
    </row>
    <row r="224" spans="1:8" ht="15" thickBot="1" x14ac:dyDescent="0.4">
      <c r="A224" t="s">
        <v>1678</v>
      </c>
      <c r="B224" t="s">
        <v>2233</v>
      </c>
      <c r="C224" s="385" t="s">
        <v>1714</v>
      </c>
      <c r="D224" s="385" t="str">
        <f t="shared" ref="D224:D226" si="42">A224&amp;C224</f>
        <v>PLA -DEC-TEX-EXT</v>
      </c>
      <c r="E224" s="385" t="s">
        <v>1715</v>
      </c>
      <c r="F224" s="385" t="s">
        <v>1716</v>
      </c>
      <c r="G224" s="388"/>
      <c r="H224" s="385" t="s">
        <v>245</v>
      </c>
    </row>
    <row r="225" spans="1:8" ht="15" thickBot="1" x14ac:dyDescent="0.4">
      <c r="A225" t="s">
        <v>1678</v>
      </c>
      <c r="B225" t="s">
        <v>2233</v>
      </c>
      <c r="C225" s="385" t="s">
        <v>1717</v>
      </c>
      <c r="D225" s="385" t="str">
        <f t="shared" si="42"/>
        <v>PLA -DEC-INS-REN</v>
      </c>
      <c r="E225" s="385" t="s">
        <v>1718</v>
      </c>
      <c r="F225" s="385" t="s">
        <v>1719</v>
      </c>
      <c r="G225" s="388"/>
      <c r="H225" s="385" t="s">
        <v>245</v>
      </c>
    </row>
    <row r="226" spans="1:8" ht="15" thickBot="1" x14ac:dyDescent="0.4">
      <c r="A226" t="s">
        <v>1678</v>
      </c>
      <c r="B226" t="s">
        <v>2233</v>
      </c>
      <c r="C226" s="385" t="s">
        <v>1720</v>
      </c>
      <c r="D226" s="385" t="str">
        <f t="shared" si="42"/>
        <v>PLA -FIX-PLR-FIB</v>
      </c>
      <c r="E226" s="385" t="s">
        <v>1721</v>
      </c>
      <c r="F226" s="385" t="s">
        <v>1722</v>
      </c>
      <c r="G226" s="388"/>
      <c r="H226" s="385" t="s">
        <v>1723</v>
      </c>
    </row>
    <row r="227" spans="1:8" ht="35.25" customHeight="1" thickBot="1" x14ac:dyDescent="0.4">
      <c r="A227" t="s">
        <v>1678</v>
      </c>
      <c r="B227" t="s">
        <v>2233</v>
      </c>
      <c r="C227" s="385" t="s">
        <v>1724</v>
      </c>
      <c r="D227" s="385" t="str">
        <f>A227&amp;C227</f>
        <v>PLA -ANC-BEAD-CRN</v>
      </c>
      <c r="E227" s="385" t="s">
        <v>1725</v>
      </c>
      <c r="F227" s="385" t="s">
        <v>1726</v>
      </c>
      <c r="G227" s="388"/>
      <c r="H227" s="385" t="s">
        <v>1493</v>
      </c>
    </row>
    <row r="228" spans="1:8" ht="33" customHeight="1" thickBot="1" x14ac:dyDescent="0.4">
      <c r="A228" t="s">
        <v>1678</v>
      </c>
      <c r="B228" t="s">
        <v>2233</v>
      </c>
      <c r="C228" s="385" t="s">
        <v>1727</v>
      </c>
      <c r="D228" s="385" t="str">
        <f t="shared" ref="D228:D229" si="43">A228&amp;C228</f>
        <v>PLA -ANC-TAPE-FIB</v>
      </c>
      <c r="E228" s="385" t="s">
        <v>1728</v>
      </c>
      <c r="F228" s="385" t="s">
        <v>1729</v>
      </c>
      <c r="G228" s="388"/>
      <c r="H228" s="385" t="s">
        <v>1184</v>
      </c>
    </row>
    <row r="229" spans="1:8" ht="28.5" customHeight="1" thickBot="1" x14ac:dyDescent="0.4">
      <c r="A229" t="s">
        <v>1678</v>
      </c>
      <c r="B229" t="s">
        <v>2233</v>
      </c>
      <c r="C229" s="385" t="s">
        <v>1730</v>
      </c>
      <c r="D229" s="385" t="str">
        <f t="shared" si="43"/>
        <v>PLA -ANC-PRM-PLR</v>
      </c>
      <c r="E229" s="385" t="s">
        <v>1731</v>
      </c>
      <c r="F229" s="385" t="s">
        <v>1732</v>
      </c>
      <c r="G229" s="388"/>
      <c r="H229" s="385" t="s">
        <v>1062</v>
      </c>
    </row>
    <row r="230" spans="1:8" ht="15" thickBot="1" x14ac:dyDescent="0.4">
      <c r="A230" t="s">
        <v>1733</v>
      </c>
      <c r="B230" t="s">
        <v>2234</v>
      </c>
      <c r="C230" s="385" t="s">
        <v>1734</v>
      </c>
      <c r="D230" s="385" t="str">
        <f>A230&amp;C230</f>
        <v>TIL - CER-WHL</v>
      </c>
      <c r="E230" s="385" t="s">
        <v>1735</v>
      </c>
      <c r="F230" s="385" t="s">
        <v>1736</v>
      </c>
      <c r="G230" s="388"/>
      <c r="H230" s="385" t="s">
        <v>245</v>
      </c>
    </row>
    <row r="231" spans="1:8" ht="15" thickBot="1" x14ac:dyDescent="0.4">
      <c r="A231" t="s">
        <v>1733</v>
      </c>
      <c r="B231" t="s">
        <v>2234</v>
      </c>
      <c r="C231" s="385" t="s">
        <v>1737</v>
      </c>
      <c r="D231" s="385" t="str">
        <f t="shared" ref="D231:D235" si="44">A231&amp;C231</f>
        <v>TIL - CER-FLR</v>
      </c>
      <c r="E231" s="385" t="s">
        <v>1738</v>
      </c>
      <c r="F231" s="385" t="s">
        <v>1739</v>
      </c>
      <c r="G231" s="388"/>
      <c r="H231" s="385" t="s">
        <v>245</v>
      </c>
    </row>
    <row r="232" spans="1:8" ht="15" thickBot="1" x14ac:dyDescent="0.4">
      <c r="A232" t="s">
        <v>1733</v>
      </c>
      <c r="B232" t="s">
        <v>2234</v>
      </c>
      <c r="C232" s="385" t="s">
        <v>1740</v>
      </c>
      <c r="D232" s="385" t="str">
        <f t="shared" si="44"/>
        <v>TIL - POR-POL</v>
      </c>
      <c r="E232" s="385" t="s">
        <v>1741</v>
      </c>
      <c r="F232" s="385" t="s">
        <v>1742</v>
      </c>
      <c r="G232" s="388"/>
      <c r="H232" s="385" t="s">
        <v>245</v>
      </c>
    </row>
    <row r="233" spans="1:8" ht="15" thickBot="1" x14ac:dyDescent="0.4">
      <c r="A233" t="s">
        <v>1733</v>
      </c>
      <c r="B233" t="s">
        <v>2234</v>
      </c>
      <c r="C233" s="385" t="s">
        <v>1743</v>
      </c>
      <c r="D233" s="385" t="str">
        <f t="shared" si="44"/>
        <v>TIL - POR-MAT</v>
      </c>
      <c r="E233" s="385" t="s">
        <v>1741</v>
      </c>
      <c r="F233" s="385" t="s">
        <v>1744</v>
      </c>
      <c r="G233" s="388"/>
      <c r="H233" s="385" t="s">
        <v>245</v>
      </c>
    </row>
    <row r="234" spans="1:8" ht="15" thickBot="1" x14ac:dyDescent="0.4">
      <c r="A234" t="s">
        <v>1733</v>
      </c>
      <c r="B234" t="s">
        <v>2234</v>
      </c>
      <c r="C234" s="385" t="s">
        <v>1745</v>
      </c>
      <c r="D234" s="385" t="str">
        <f t="shared" si="44"/>
        <v>TIL - MOS-GLS</v>
      </c>
      <c r="E234" s="385" t="s">
        <v>1746</v>
      </c>
      <c r="F234" s="385" t="s">
        <v>1747</v>
      </c>
      <c r="G234" s="388"/>
      <c r="H234" s="385" t="s">
        <v>1054</v>
      </c>
    </row>
    <row r="235" spans="1:8" ht="28.5" thickBot="1" x14ac:dyDescent="0.4">
      <c r="A235" t="s">
        <v>1733</v>
      </c>
      <c r="B235" t="s">
        <v>2234</v>
      </c>
      <c r="C235" s="385" t="s">
        <v>1748</v>
      </c>
      <c r="D235" s="385" t="str">
        <f t="shared" si="44"/>
        <v>TIL - MOS-NAT</v>
      </c>
      <c r="E235" s="385" t="s">
        <v>1749</v>
      </c>
      <c r="F235" s="385" t="s">
        <v>1750</v>
      </c>
      <c r="G235" s="388"/>
      <c r="H235" s="385" t="s">
        <v>1054</v>
      </c>
    </row>
    <row r="236" spans="1:8" ht="15" thickBot="1" x14ac:dyDescent="0.4">
      <c r="A236" t="s">
        <v>1733</v>
      </c>
      <c r="B236" t="s">
        <v>2234</v>
      </c>
      <c r="C236" s="385" t="s">
        <v>1751</v>
      </c>
      <c r="D236" s="385" t="str">
        <f>A236&amp;C236</f>
        <v>TIL - ADH-CER-STD</v>
      </c>
      <c r="E236" s="385" t="s">
        <v>1752</v>
      </c>
      <c r="F236" s="385" t="s">
        <v>1753</v>
      </c>
      <c r="G236" s="388"/>
      <c r="H236" s="385" t="s">
        <v>1710</v>
      </c>
    </row>
    <row r="237" spans="1:8" ht="15" thickBot="1" x14ac:dyDescent="0.4">
      <c r="A237" t="s">
        <v>1733</v>
      </c>
      <c r="B237" t="s">
        <v>2234</v>
      </c>
      <c r="C237" s="385" t="s">
        <v>1754</v>
      </c>
      <c r="D237" s="385" t="str">
        <f t="shared" ref="D237:D240" si="45">A237&amp;C237</f>
        <v>TIL - ADH-POR-12H</v>
      </c>
      <c r="E237" s="385" t="s">
        <v>1755</v>
      </c>
      <c r="F237" s="385" t="s">
        <v>1756</v>
      </c>
      <c r="G237" s="388"/>
      <c r="H237" s="385" t="s">
        <v>1710</v>
      </c>
    </row>
    <row r="238" spans="1:8" ht="15" thickBot="1" x14ac:dyDescent="0.4">
      <c r="A238" t="s">
        <v>1733</v>
      </c>
      <c r="B238" t="s">
        <v>2234</v>
      </c>
      <c r="C238" s="385" t="s">
        <v>1757</v>
      </c>
      <c r="D238" s="385" t="str">
        <f t="shared" si="45"/>
        <v>TIL - ADH-POR-RAP</v>
      </c>
      <c r="E238" s="385" t="s">
        <v>1758</v>
      </c>
      <c r="F238" s="385" t="s">
        <v>1759</v>
      </c>
      <c r="G238" s="388"/>
      <c r="H238" s="385" t="s">
        <v>1710</v>
      </c>
    </row>
    <row r="239" spans="1:8" ht="28.5" customHeight="1" thickBot="1" x14ac:dyDescent="0.4">
      <c r="A239" t="s">
        <v>1733</v>
      </c>
      <c r="B239" t="s">
        <v>2234</v>
      </c>
      <c r="C239" s="385" t="s">
        <v>1760</v>
      </c>
      <c r="D239" s="385" t="str">
        <f t="shared" si="45"/>
        <v>TIL - ADH-MOS-WHT</v>
      </c>
      <c r="E239" s="385" t="s">
        <v>1761</v>
      </c>
      <c r="F239" s="385" t="s">
        <v>1762</v>
      </c>
      <c r="G239" s="388"/>
      <c r="H239" s="385" t="s">
        <v>1763</v>
      </c>
    </row>
    <row r="240" spans="1:8" ht="15" thickBot="1" x14ac:dyDescent="0.4">
      <c r="A240" t="s">
        <v>1733</v>
      </c>
      <c r="B240" t="s">
        <v>2234</v>
      </c>
      <c r="C240" s="385" t="s">
        <v>1764</v>
      </c>
      <c r="D240" s="385" t="str">
        <f t="shared" si="45"/>
        <v>TIL - ADH-BND-LIQ</v>
      </c>
      <c r="E240" s="385" t="s">
        <v>1765</v>
      </c>
      <c r="F240" s="385" t="s">
        <v>1766</v>
      </c>
      <c r="G240" s="388"/>
      <c r="H240" s="385" t="s">
        <v>1617</v>
      </c>
    </row>
    <row r="241" spans="1:8" ht="15" thickBot="1" x14ac:dyDescent="0.4">
      <c r="A241" t="s">
        <v>1733</v>
      </c>
      <c r="B241" t="s">
        <v>2234</v>
      </c>
      <c r="C241" s="385" t="s">
        <v>1767</v>
      </c>
      <c r="D241" s="385" t="str">
        <f>A241&amp;C241</f>
        <v>TIL - GRT-WAL-WHT</v>
      </c>
      <c r="E241" s="385" t="s">
        <v>1768</v>
      </c>
      <c r="F241" s="385" t="s">
        <v>1769</v>
      </c>
      <c r="G241" s="388"/>
      <c r="H241" s="385" t="s">
        <v>1763</v>
      </c>
    </row>
    <row r="242" spans="1:8" ht="15" thickBot="1" x14ac:dyDescent="0.4">
      <c r="A242" t="s">
        <v>1733</v>
      </c>
      <c r="B242" t="s">
        <v>2234</v>
      </c>
      <c r="C242" s="385" t="s">
        <v>1770</v>
      </c>
      <c r="D242" s="385" t="str">
        <f t="shared" ref="D242:D244" si="46">A242&amp;C242</f>
        <v>TIL - GRT-FLR-GRY</v>
      </c>
      <c r="E242" s="385" t="s">
        <v>1771</v>
      </c>
      <c r="F242" s="385" t="s">
        <v>1772</v>
      </c>
      <c r="G242" s="388"/>
      <c r="H242" s="385" t="s">
        <v>1763</v>
      </c>
    </row>
    <row r="243" spans="1:8" ht="15" thickBot="1" x14ac:dyDescent="0.4">
      <c r="A243" t="s">
        <v>1733</v>
      </c>
      <c r="B243" t="s">
        <v>2234</v>
      </c>
      <c r="C243" s="385" t="s">
        <v>1773</v>
      </c>
      <c r="D243" s="385" t="str">
        <f t="shared" si="46"/>
        <v>TIL - GRT-EPX-CHM</v>
      </c>
      <c r="E243" s="385" t="s">
        <v>1774</v>
      </c>
      <c r="F243" s="385" t="s">
        <v>1775</v>
      </c>
      <c r="G243" s="388"/>
      <c r="H243" s="385" t="s">
        <v>1763</v>
      </c>
    </row>
    <row r="244" spans="1:8" ht="15" thickBot="1" x14ac:dyDescent="0.4">
      <c r="A244" t="s">
        <v>1733</v>
      </c>
      <c r="B244" t="s">
        <v>2234</v>
      </c>
      <c r="C244" s="385" t="s">
        <v>1776</v>
      </c>
      <c r="D244" s="385" t="str">
        <f t="shared" si="46"/>
        <v>TIL - GRT-SIL-SAN</v>
      </c>
      <c r="E244" s="385" t="s">
        <v>1777</v>
      </c>
      <c r="F244" s="385" t="s">
        <v>1778</v>
      </c>
      <c r="G244" s="388"/>
      <c r="H244" s="385" t="s">
        <v>1223</v>
      </c>
    </row>
    <row r="245" spans="1:8" ht="15" thickBot="1" x14ac:dyDescent="0.4">
      <c r="A245" t="s">
        <v>1733</v>
      </c>
      <c r="B245" t="s">
        <v>2234</v>
      </c>
      <c r="C245" s="385" t="s">
        <v>1779</v>
      </c>
      <c r="D245" s="385" t="str">
        <f>A245&amp;C245</f>
        <v>TIL - ACC-TRM-PVC</v>
      </c>
      <c r="E245" s="385" t="s">
        <v>1780</v>
      </c>
      <c r="F245" s="385" t="s">
        <v>1781</v>
      </c>
      <c r="G245" s="388"/>
      <c r="H245" s="385" t="s">
        <v>1782</v>
      </c>
    </row>
    <row r="246" spans="1:8" ht="15" thickBot="1" x14ac:dyDescent="0.4">
      <c r="A246" t="s">
        <v>1733</v>
      </c>
      <c r="B246" t="s">
        <v>2234</v>
      </c>
      <c r="C246" s="385" t="s">
        <v>1783</v>
      </c>
      <c r="D246" s="385" t="str">
        <f t="shared" ref="D246:D249" si="47">A246&amp;C246</f>
        <v>TIL - ACC-TRM-ALU</v>
      </c>
      <c r="E246" s="385" t="s">
        <v>1784</v>
      </c>
      <c r="F246" s="385" t="s">
        <v>1785</v>
      </c>
      <c r="G246" s="388"/>
      <c r="H246" s="385" t="s">
        <v>1782</v>
      </c>
    </row>
    <row r="247" spans="1:8" ht="15" thickBot="1" x14ac:dyDescent="0.4">
      <c r="A247" t="s">
        <v>1733</v>
      </c>
      <c r="B247" t="s">
        <v>2234</v>
      </c>
      <c r="C247" s="385" t="s">
        <v>1786</v>
      </c>
      <c r="D247" s="385" t="str">
        <f t="shared" si="47"/>
        <v>TIL - ACC-SPC-3MM</v>
      </c>
      <c r="E247" s="385" t="s">
        <v>1787</v>
      </c>
      <c r="F247" s="385" t="s">
        <v>1788</v>
      </c>
      <c r="G247" s="388"/>
      <c r="H247" s="385" t="s">
        <v>1789</v>
      </c>
    </row>
    <row r="248" spans="1:8" ht="15" thickBot="1" x14ac:dyDescent="0.4">
      <c r="A248" t="s">
        <v>1733</v>
      </c>
      <c r="B248" t="s">
        <v>2234</v>
      </c>
      <c r="C248" s="385" t="s">
        <v>1790</v>
      </c>
      <c r="D248" s="385" t="str">
        <f t="shared" si="47"/>
        <v>TIL - ACC-SKR-CER</v>
      </c>
      <c r="E248" s="385" t="s">
        <v>1791</v>
      </c>
      <c r="F248" s="385" t="s">
        <v>1792</v>
      </c>
      <c r="G248" s="388"/>
      <c r="H248" s="385" t="s">
        <v>1058</v>
      </c>
    </row>
    <row r="249" spans="1:8" ht="15" thickBot="1" x14ac:dyDescent="0.4">
      <c r="A249" t="s">
        <v>1733</v>
      </c>
      <c r="B249" t="s">
        <v>2234</v>
      </c>
      <c r="C249" s="385" t="s">
        <v>1793</v>
      </c>
      <c r="D249" s="385" t="str">
        <f t="shared" si="47"/>
        <v>TIL - ACC-SCR-LEV</v>
      </c>
      <c r="E249" s="385" t="s">
        <v>1794</v>
      </c>
      <c r="F249" s="385" t="s">
        <v>1795</v>
      </c>
      <c r="G249" s="388"/>
      <c r="H249" s="385" t="s">
        <v>1710</v>
      </c>
    </row>
    <row r="250" spans="1:8" ht="46.5" customHeight="1" thickBot="1" x14ac:dyDescent="0.4">
      <c r="A250" t="s">
        <v>1796</v>
      </c>
      <c r="B250" t="s">
        <v>951</v>
      </c>
      <c r="C250" s="385" t="s">
        <v>1797</v>
      </c>
      <c r="D250" s="385" t="str">
        <f>A250&amp;C250</f>
        <v>PLD -RWD-GUT-PVC</v>
      </c>
      <c r="E250" s="385" t="s">
        <v>1798</v>
      </c>
      <c r="F250" s="385" t="s">
        <v>1799</v>
      </c>
      <c r="G250" s="388"/>
      <c r="H250" s="385" t="s">
        <v>1058</v>
      </c>
    </row>
    <row r="251" spans="1:8" ht="15" thickBot="1" x14ac:dyDescent="0.4">
      <c r="A251" t="s">
        <v>1796</v>
      </c>
      <c r="B251" t="s">
        <v>2235</v>
      </c>
      <c r="C251" s="385" t="s">
        <v>1800</v>
      </c>
      <c r="D251" s="385" t="str">
        <f t="shared" ref="D251:D254" si="48">A251&amp;C251</f>
        <v>PLD -RWD-GUT-ALU</v>
      </c>
      <c r="E251" s="385" t="s">
        <v>1801</v>
      </c>
      <c r="F251" s="385" t="s">
        <v>1802</v>
      </c>
      <c r="G251" s="388"/>
      <c r="H251" s="385" t="s">
        <v>1058</v>
      </c>
    </row>
    <row r="252" spans="1:8" ht="33.75" customHeight="1" thickBot="1" x14ac:dyDescent="0.4">
      <c r="A252" t="s">
        <v>1796</v>
      </c>
      <c r="B252" t="s">
        <v>2235</v>
      </c>
      <c r="C252" s="385" t="s">
        <v>1803</v>
      </c>
      <c r="D252" s="385" t="str">
        <f t="shared" si="48"/>
        <v>PLD -RWD-PIPE-PVC</v>
      </c>
      <c r="E252" s="385" t="s">
        <v>1804</v>
      </c>
      <c r="F252" s="385" t="s">
        <v>1805</v>
      </c>
      <c r="G252" s="388"/>
      <c r="H252" s="385" t="s">
        <v>1058</v>
      </c>
    </row>
    <row r="253" spans="1:8" ht="36" customHeight="1" thickBot="1" x14ac:dyDescent="0.4">
      <c r="A253" t="s">
        <v>1796</v>
      </c>
      <c r="B253" t="s">
        <v>2235</v>
      </c>
      <c r="C253" s="385" t="s">
        <v>1806</v>
      </c>
      <c r="D253" s="385" t="str">
        <f t="shared" si="48"/>
        <v>PLD -RWD-HEAD-BOX</v>
      </c>
      <c r="E253" s="385" t="s">
        <v>1807</v>
      </c>
      <c r="F253" s="385" t="s">
        <v>1808</v>
      </c>
      <c r="G253" s="388"/>
      <c r="H253" s="385" t="s">
        <v>1069</v>
      </c>
    </row>
    <row r="254" spans="1:8" ht="37.5" customHeight="1" thickBot="1" x14ac:dyDescent="0.4">
      <c r="A254" t="s">
        <v>1796</v>
      </c>
      <c r="B254" t="s">
        <v>2235</v>
      </c>
      <c r="C254" s="385" t="s">
        <v>1809</v>
      </c>
      <c r="D254" s="385" t="str">
        <f t="shared" si="48"/>
        <v>PLD -RWD-ACC-SHOE</v>
      </c>
      <c r="E254" s="385" t="s">
        <v>1810</v>
      </c>
      <c r="F254" s="385" t="s">
        <v>1811</v>
      </c>
      <c r="G254" s="388"/>
      <c r="H254" s="385" t="s">
        <v>1069</v>
      </c>
    </row>
    <row r="255" spans="1:8" ht="15" thickBot="1" x14ac:dyDescent="0.4">
      <c r="A255" t="s">
        <v>1796</v>
      </c>
      <c r="B255" t="s">
        <v>2235</v>
      </c>
      <c r="C255" s="385" t="s">
        <v>1812</v>
      </c>
      <c r="D255" s="385" t="str">
        <f>A255&amp;C255</f>
        <v>PLD -PIP-COP-15</v>
      </c>
      <c r="E255" s="385" t="s">
        <v>1813</v>
      </c>
      <c r="F255" s="385" t="s">
        <v>1814</v>
      </c>
      <c r="G255" s="388"/>
      <c r="H255" s="385" t="s">
        <v>1058</v>
      </c>
    </row>
    <row r="256" spans="1:8" ht="15" thickBot="1" x14ac:dyDescent="0.4">
      <c r="A256" t="s">
        <v>1796</v>
      </c>
      <c r="B256" t="s">
        <v>2235</v>
      </c>
      <c r="C256" s="385" t="s">
        <v>1815</v>
      </c>
      <c r="D256" s="385" t="str">
        <f t="shared" ref="D256:D260" si="49">A256&amp;C256</f>
        <v>PLD -PIP-PEX-15</v>
      </c>
      <c r="E256" s="385" t="s">
        <v>1816</v>
      </c>
      <c r="F256" s="385" t="s">
        <v>1817</v>
      </c>
      <c r="G256" s="388"/>
      <c r="H256" s="385" t="s">
        <v>1058</v>
      </c>
    </row>
    <row r="257" spans="1:8" ht="15" thickBot="1" x14ac:dyDescent="0.4">
      <c r="A257" t="s">
        <v>1796</v>
      </c>
      <c r="B257" t="s">
        <v>2235</v>
      </c>
      <c r="C257" s="385" t="s">
        <v>1818</v>
      </c>
      <c r="D257" s="385" t="str">
        <f t="shared" si="49"/>
        <v>PLD -PIP-PVC-110</v>
      </c>
      <c r="E257" s="385" t="s">
        <v>1819</v>
      </c>
      <c r="F257" s="385" t="s">
        <v>1820</v>
      </c>
      <c r="G257" s="388"/>
      <c r="H257" s="385" t="s">
        <v>1058</v>
      </c>
    </row>
    <row r="258" spans="1:8" ht="15" thickBot="1" x14ac:dyDescent="0.4">
      <c r="A258" t="s">
        <v>1796</v>
      </c>
      <c r="B258" t="s">
        <v>2235</v>
      </c>
      <c r="C258" s="385" t="s">
        <v>1821</v>
      </c>
      <c r="D258" s="385" t="str">
        <f t="shared" si="49"/>
        <v>PLD -PIP-HDPE-50</v>
      </c>
      <c r="E258" s="385" t="s">
        <v>1822</v>
      </c>
      <c r="F258" s="385" t="s">
        <v>1823</v>
      </c>
      <c r="G258" s="388"/>
      <c r="H258" s="385" t="s">
        <v>1058</v>
      </c>
    </row>
    <row r="259" spans="1:8" ht="15" thickBot="1" x14ac:dyDescent="0.4">
      <c r="A259" t="s">
        <v>1796</v>
      </c>
      <c r="B259" t="s">
        <v>2235</v>
      </c>
      <c r="C259" s="385" t="s">
        <v>1824</v>
      </c>
      <c r="D259" s="385" t="str">
        <f t="shared" si="49"/>
        <v>PLD -PIP-INS-FOAM</v>
      </c>
      <c r="E259" s="385" t="s">
        <v>1825</v>
      </c>
      <c r="F259" s="385" t="s">
        <v>1826</v>
      </c>
      <c r="G259" s="388"/>
      <c r="H259" s="385" t="s">
        <v>1058</v>
      </c>
    </row>
    <row r="260" spans="1:8" ht="15" thickBot="1" x14ac:dyDescent="0.4">
      <c r="A260" t="s">
        <v>1796</v>
      </c>
      <c r="B260" t="s">
        <v>2235</v>
      </c>
      <c r="C260" s="385" t="s">
        <v>1827</v>
      </c>
      <c r="D260" s="385" t="str">
        <f t="shared" si="49"/>
        <v>PLD -PIP-FIX-BKT</v>
      </c>
      <c r="E260" s="385" t="s">
        <v>1828</v>
      </c>
      <c r="F260" s="385" t="s">
        <v>1829</v>
      </c>
      <c r="G260" s="388"/>
      <c r="H260" s="385" t="s">
        <v>1069</v>
      </c>
    </row>
    <row r="261" spans="1:8" ht="15" thickBot="1" x14ac:dyDescent="0.4">
      <c r="A261" t="s">
        <v>1796</v>
      </c>
      <c r="B261" t="s">
        <v>2235</v>
      </c>
      <c r="C261" s="385" t="s">
        <v>1830</v>
      </c>
      <c r="D261" s="385" t="str">
        <f>A261&amp;C261</f>
        <v>PLD -SAN-WC-CC</v>
      </c>
      <c r="E261" s="385" t="s">
        <v>1831</v>
      </c>
      <c r="F261" s="385" t="s">
        <v>1832</v>
      </c>
      <c r="G261" s="388"/>
      <c r="H261" s="385" t="s">
        <v>1069</v>
      </c>
    </row>
    <row r="262" spans="1:8" ht="15" thickBot="1" x14ac:dyDescent="0.4">
      <c r="A262" t="s">
        <v>1796</v>
      </c>
      <c r="B262" t="s">
        <v>2235</v>
      </c>
      <c r="C262" s="385" t="s">
        <v>1833</v>
      </c>
      <c r="D262" s="385" t="str">
        <f t="shared" ref="D262:D266" si="50">A262&amp;C262</f>
        <v>PLD -SAN-BAS-PED</v>
      </c>
      <c r="E262" s="385" t="s">
        <v>1834</v>
      </c>
      <c r="F262" s="385" t="s">
        <v>1835</v>
      </c>
      <c r="G262" s="388"/>
      <c r="H262" s="385" t="s">
        <v>1069</v>
      </c>
    </row>
    <row r="263" spans="1:8" ht="15" thickBot="1" x14ac:dyDescent="0.4">
      <c r="A263" t="s">
        <v>1796</v>
      </c>
      <c r="B263" t="s">
        <v>2235</v>
      </c>
      <c r="C263" s="385" t="s">
        <v>1836</v>
      </c>
      <c r="D263" s="385" t="str">
        <f t="shared" si="50"/>
        <v>PLD -SAN-GEY-150</v>
      </c>
      <c r="E263" s="385" t="s">
        <v>1837</v>
      </c>
      <c r="F263" s="385" t="s">
        <v>1838</v>
      </c>
      <c r="G263" s="388"/>
      <c r="H263" s="385" t="s">
        <v>1069</v>
      </c>
    </row>
    <row r="264" spans="1:8" ht="15" thickBot="1" x14ac:dyDescent="0.4">
      <c r="A264" t="s">
        <v>1796</v>
      </c>
      <c r="B264" t="s">
        <v>2235</v>
      </c>
      <c r="C264" s="385" t="s">
        <v>1839</v>
      </c>
      <c r="D264" s="385" t="str">
        <f t="shared" si="50"/>
        <v>PLD -SAN-GEY-SOL</v>
      </c>
      <c r="E264" s="385" t="s">
        <v>1840</v>
      </c>
      <c r="F264" s="385" t="s">
        <v>1841</v>
      </c>
      <c r="G264" s="388"/>
      <c r="H264" s="385" t="s">
        <v>1069</v>
      </c>
    </row>
    <row r="265" spans="1:8" ht="15" thickBot="1" x14ac:dyDescent="0.4">
      <c r="A265" t="s">
        <v>1796</v>
      </c>
      <c r="B265" t="s">
        <v>2235</v>
      </c>
      <c r="C265" s="385" t="s">
        <v>1842</v>
      </c>
      <c r="D265" s="385" t="str">
        <f t="shared" si="50"/>
        <v>PLD -SAN-TAP-MIX</v>
      </c>
      <c r="E265" s="385" t="s">
        <v>1843</v>
      </c>
      <c r="F265" s="385" t="s">
        <v>1844</v>
      </c>
      <c r="G265" s="388"/>
      <c r="H265" s="385" t="s">
        <v>1069</v>
      </c>
    </row>
    <row r="266" spans="1:8" ht="30.75" customHeight="1" thickBot="1" x14ac:dyDescent="0.4">
      <c r="A266" t="s">
        <v>1796</v>
      </c>
      <c r="B266" t="s">
        <v>2235</v>
      </c>
      <c r="C266" s="385" t="s">
        <v>1845</v>
      </c>
      <c r="D266" s="385" t="str">
        <f t="shared" si="50"/>
        <v>PLD -SAN-SHW-SET</v>
      </c>
      <c r="E266" s="385" t="s">
        <v>1846</v>
      </c>
      <c r="F266" s="385" t="s">
        <v>1847</v>
      </c>
      <c r="G266" s="388"/>
      <c r="H266" s="385" t="s">
        <v>1069</v>
      </c>
    </row>
    <row r="267" spans="1:8" ht="30" customHeight="1" thickBot="1" x14ac:dyDescent="0.4">
      <c r="A267" t="s">
        <v>1796</v>
      </c>
      <c r="B267" t="s">
        <v>2235</v>
      </c>
      <c r="C267" s="385" t="s">
        <v>1848</v>
      </c>
      <c r="D267" s="385" t="str">
        <f>A267&amp;C267</f>
        <v>PLD -DRN-GUL-PVC</v>
      </c>
      <c r="E267" s="385" t="s">
        <v>1849</v>
      </c>
      <c r="F267" s="385" t="s">
        <v>1850</v>
      </c>
      <c r="G267" s="388"/>
      <c r="H267" s="385" t="s">
        <v>1069</v>
      </c>
    </row>
    <row r="268" spans="1:8" ht="38.25" customHeight="1" thickBot="1" x14ac:dyDescent="0.4">
      <c r="A268" t="s">
        <v>1796</v>
      </c>
      <c r="B268" t="s">
        <v>2235</v>
      </c>
      <c r="C268" s="385" t="s">
        <v>1851</v>
      </c>
      <c r="D268" s="385" t="str">
        <f t="shared" ref="D268:D271" si="51">A268&amp;C268</f>
        <v>PLD -DRN-TRP-GRS</v>
      </c>
      <c r="E268" s="385" t="s">
        <v>1852</v>
      </c>
      <c r="F268" s="385" t="s">
        <v>1853</v>
      </c>
      <c r="G268" s="388"/>
      <c r="H268" s="385" t="s">
        <v>1069</v>
      </c>
    </row>
    <row r="269" spans="1:8" ht="28.5" customHeight="1" thickBot="1" x14ac:dyDescent="0.4">
      <c r="A269" t="s">
        <v>1796</v>
      </c>
      <c r="B269" t="s">
        <v>2235</v>
      </c>
      <c r="C269" s="385" t="s">
        <v>1854</v>
      </c>
      <c r="D269" s="385" t="str">
        <f t="shared" si="51"/>
        <v>PLD -DRN-FILL-SND</v>
      </c>
      <c r="E269" s="385" t="s">
        <v>1855</v>
      </c>
      <c r="F269" s="385" t="s">
        <v>1856</v>
      </c>
      <c r="G269" s="388"/>
      <c r="H269" s="385" t="s">
        <v>587</v>
      </c>
    </row>
    <row r="270" spans="1:8" ht="36" customHeight="1" thickBot="1" x14ac:dyDescent="0.4">
      <c r="A270" t="s">
        <v>1796</v>
      </c>
      <c r="B270" t="s">
        <v>2235</v>
      </c>
      <c r="C270" s="385" t="s">
        <v>1857</v>
      </c>
      <c r="D270" s="385" t="str">
        <f t="shared" si="51"/>
        <v>PLD -DRN-FILL-STN</v>
      </c>
      <c r="E270" s="385" t="s">
        <v>1858</v>
      </c>
      <c r="F270" s="385" t="s">
        <v>1859</v>
      </c>
      <c r="G270" s="388"/>
      <c r="H270" s="385" t="s">
        <v>587</v>
      </c>
    </row>
    <row r="271" spans="1:8" ht="28.5" thickBot="1" x14ac:dyDescent="0.4">
      <c r="A271" t="s">
        <v>1796</v>
      </c>
      <c r="B271" t="s">
        <v>2235</v>
      </c>
      <c r="C271" s="385" t="s">
        <v>1860</v>
      </c>
      <c r="D271" s="385" t="str">
        <f t="shared" si="51"/>
        <v>PLD -DRN-CONC-ENC</v>
      </c>
      <c r="E271" s="385" t="s">
        <v>1861</v>
      </c>
      <c r="F271" s="385" t="s">
        <v>1862</v>
      </c>
      <c r="G271" s="388"/>
      <c r="H271" s="385" t="s">
        <v>587</v>
      </c>
    </row>
    <row r="272" spans="1:8" ht="15" thickBot="1" x14ac:dyDescent="0.4">
      <c r="A272" t="s">
        <v>1796</v>
      </c>
      <c r="B272" t="s">
        <v>2235</v>
      </c>
      <c r="C272" s="385" t="s">
        <v>1863</v>
      </c>
      <c r="D272" s="385" t="str">
        <f>A272&amp;C272</f>
        <v>PLD -FIR-HOS-REE</v>
      </c>
      <c r="E272" s="385" t="s">
        <v>1864</v>
      </c>
      <c r="F272" s="385" t="s">
        <v>1865</v>
      </c>
      <c r="G272" s="388"/>
      <c r="H272" s="385" t="s">
        <v>1069</v>
      </c>
    </row>
    <row r="273" spans="1:8" ht="15" thickBot="1" x14ac:dyDescent="0.4">
      <c r="A273" t="s">
        <v>1796</v>
      </c>
      <c r="B273" t="s">
        <v>2235</v>
      </c>
      <c r="C273" s="385" t="s">
        <v>1866</v>
      </c>
      <c r="D273" s="385" t="str">
        <f t="shared" ref="D273:D275" si="52">A273&amp;C273</f>
        <v>PLD -FIR-EXT-DCP</v>
      </c>
      <c r="E273" s="385" t="s">
        <v>1867</v>
      </c>
      <c r="F273" s="385" t="s">
        <v>1868</v>
      </c>
      <c r="G273" s="388"/>
      <c r="H273" s="385" t="s">
        <v>1069</v>
      </c>
    </row>
    <row r="274" spans="1:8" ht="15" thickBot="1" x14ac:dyDescent="0.4">
      <c r="A274" t="s">
        <v>1796</v>
      </c>
      <c r="B274" t="s">
        <v>2235</v>
      </c>
      <c r="C274" s="385" t="s">
        <v>1869</v>
      </c>
      <c r="D274" s="385" t="str">
        <f t="shared" si="52"/>
        <v>PLD -FIR-HYD-VAL</v>
      </c>
      <c r="E274" s="385" t="s">
        <v>1870</v>
      </c>
      <c r="F274" s="385" t="s">
        <v>1871</v>
      </c>
      <c r="G274" s="388"/>
      <c r="H274" s="385" t="s">
        <v>1069</v>
      </c>
    </row>
    <row r="275" spans="1:8" ht="15" thickBot="1" x14ac:dyDescent="0.4">
      <c r="A275" t="s">
        <v>1796</v>
      </c>
      <c r="B275" t="s">
        <v>2235</v>
      </c>
      <c r="C275" s="385" t="s">
        <v>1872</v>
      </c>
      <c r="D275" s="385" t="str">
        <f t="shared" si="52"/>
        <v>PLD -PLD-GEN-TST</v>
      </c>
      <c r="E275" s="385" t="s">
        <v>1873</v>
      </c>
      <c r="F275" s="385" t="s">
        <v>1874</v>
      </c>
      <c r="G275" s="388"/>
      <c r="H275" s="385" t="s">
        <v>1660</v>
      </c>
    </row>
    <row r="276" spans="1:8" ht="15" thickBot="1" x14ac:dyDescent="0.4">
      <c r="A276" t="s">
        <v>1875</v>
      </c>
      <c r="B276" t="s">
        <v>2236</v>
      </c>
      <c r="C276" s="385" t="s">
        <v>1876</v>
      </c>
      <c r="D276" s="385" t="str">
        <f>A276&amp;C276</f>
        <v>ELW -CON-PVC-20</v>
      </c>
      <c r="E276" s="385" t="s">
        <v>1877</v>
      </c>
      <c r="F276" s="385" t="s">
        <v>1878</v>
      </c>
      <c r="G276" s="388"/>
      <c r="H276" s="385" t="s">
        <v>1069</v>
      </c>
    </row>
    <row r="277" spans="1:8" ht="15" thickBot="1" x14ac:dyDescent="0.4">
      <c r="A277" t="s">
        <v>1875</v>
      </c>
      <c r="B277" t="s">
        <v>2236</v>
      </c>
      <c r="C277" s="385" t="s">
        <v>1879</v>
      </c>
      <c r="D277" s="385" t="str">
        <f t="shared" ref="D277:D281" si="53">A277&amp;C277</f>
        <v>ELW -CON-PVC-25</v>
      </c>
      <c r="E277" s="385" t="s">
        <v>1877</v>
      </c>
      <c r="F277" s="385" t="s">
        <v>1880</v>
      </c>
      <c r="G277" s="388"/>
      <c r="H277" s="385" t="s">
        <v>1069</v>
      </c>
    </row>
    <row r="278" spans="1:8" ht="15" thickBot="1" x14ac:dyDescent="0.4">
      <c r="A278" t="s">
        <v>1875</v>
      </c>
      <c r="B278" t="s">
        <v>2236</v>
      </c>
      <c r="C278" s="385" t="s">
        <v>1881</v>
      </c>
      <c r="D278" s="385" t="str">
        <f t="shared" si="53"/>
        <v>ELW -CON-BOX-44</v>
      </c>
      <c r="E278" s="385" t="s">
        <v>1882</v>
      </c>
      <c r="F278" s="385" t="s">
        <v>1883</v>
      </c>
      <c r="G278" s="388"/>
      <c r="H278" s="385" t="s">
        <v>1069</v>
      </c>
    </row>
    <row r="279" spans="1:8" ht="15" thickBot="1" x14ac:dyDescent="0.4">
      <c r="A279" t="s">
        <v>1875</v>
      </c>
      <c r="B279" t="s">
        <v>2236</v>
      </c>
      <c r="C279" s="385" t="s">
        <v>1884</v>
      </c>
      <c r="D279" s="385" t="str">
        <f t="shared" si="53"/>
        <v>ELW -CON-BOX-42</v>
      </c>
      <c r="E279" s="385" t="s">
        <v>1885</v>
      </c>
      <c r="F279" s="385" t="s">
        <v>1886</v>
      </c>
      <c r="G279" s="388"/>
      <c r="H279" s="385" t="s">
        <v>1069</v>
      </c>
    </row>
    <row r="280" spans="1:8" ht="28.5" customHeight="1" thickBot="1" x14ac:dyDescent="0.4">
      <c r="A280" t="s">
        <v>1875</v>
      </c>
      <c r="B280" t="s">
        <v>2236</v>
      </c>
      <c r="C280" s="385" t="s">
        <v>1887</v>
      </c>
      <c r="D280" s="385" t="str">
        <f t="shared" si="53"/>
        <v>ELW -CON-ACC-BND</v>
      </c>
      <c r="E280" s="385" t="s">
        <v>1888</v>
      </c>
      <c r="F280" s="385" t="s">
        <v>1889</v>
      </c>
      <c r="G280" s="388"/>
      <c r="H280" s="385" t="s">
        <v>1069</v>
      </c>
    </row>
    <row r="281" spans="1:8" ht="35.25" customHeight="1" thickBot="1" x14ac:dyDescent="0.4">
      <c r="A281" t="s">
        <v>1875</v>
      </c>
      <c r="B281" t="s">
        <v>2236</v>
      </c>
      <c r="C281" s="385" t="s">
        <v>1890</v>
      </c>
      <c r="D281" s="385" t="str">
        <f t="shared" si="53"/>
        <v>ELW -CON-ACC-SAD</v>
      </c>
      <c r="E281" s="385" t="s">
        <v>1891</v>
      </c>
      <c r="F281" s="385" t="s">
        <v>1892</v>
      </c>
      <c r="G281" s="388"/>
      <c r="H281" s="385" t="s">
        <v>1069</v>
      </c>
    </row>
    <row r="282" spans="1:8" ht="15" thickBot="1" x14ac:dyDescent="0.4">
      <c r="A282" t="s">
        <v>1875</v>
      </c>
      <c r="B282" t="s">
        <v>2236</v>
      </c>
      <c r="C282" s="385" t="s">
        <v>1893</v>
      </c>
      <c r="D282" s="385" t="str">
        <f>A282&amp;C282</f>
        <v>ELW -CAB-TE-1.5</v>
      </c>
      <c r="E282" s="385" t="s">
        <v>1894</v>
      </c>
      <c r="F282" s="385" t="s">
        <v>1895</v>
      </c>
      <c r="G282" s="388"/>
      <c r="H282" s="385" t="s">
        <v>1896</v>
      </c>
    </row>
    <row r="283" spans="1:8" ht="15" thickBot="1" x14ac:dyDescent="0.4">
      <c r="A283" t="s">
        <v>1875</v>
      </c>
      <c r="B283" t="s">
        <v>2236</v>
      </c>
      <c r="C283" s="385" t="s">
        <v>1897</v>
      </c>
      <c r="D283" s="385" t="str">
        <f t="shared" ref="D283:D286" si="54">A283&amp;C283</f>
        <v>ELW -CAB-TE-2.5</v>
      </c>
      <c r="E283" s="385" t="s">
        <v>1894</v>
      </c>
      <c r="F283" s="385" t="s">
        <v>1898</v>
      </c>
      <c r="G283" s="388"/>
      <c r="H283" s="385" t="s">
        <v>1896</v>
      </c>
    </row>
    <row r="284" spans="1:8" ht="15" thickBot="1" x14ac:dyDescent="0.4">
      <c r="A284" t="s">
        <v>1875</v>
      </c>
      <c r="B284" t="s">
        <v>2236</v>
      </c>
      <c r="C284" s="385" t="s">
        <v>1899</v>
      </c>
      <c r="D284" s="385" t="str">
        <f t="shared" si="54"/>
        <v>ELW -CAB-S2.5</v>
      </c>
      <c r="E284" s="385" t="s">
        <v>1900</v>
      </c>
      <c r="F284" s="385" t="s">
        <v>1901</v>
      </c>
      <c r="G284" s="388"/>
      <c r="H284" s="385" t="s">
        <v>1896</v>
      </c>
    </row>
    <row r="285" spans="1:8" ht="15" thickBot="1" x14ac:dyDescent="0.4">
      <c r="A285" t="s">
        <v>1875</v>
      </c>
      <c r="B285" t="s">
        <v>2236</v>
      </c>
      <c r="C285" s="385" t="s">
        <v>1902</v>
      </c>
      <c r="D285" s="385" t="str">
        <f t="shared" si="54"/>
        <v>ELW -CAB-ECC-16</v>
      </c>
      <c r="E285" s="385" t="s">
        <v>1903</v>
      </c>
      <c r="F285" s="385" t="s">
        <v>1904</v>
      </c>
      <c r="G285" s="388"/>
      <c r="H285" s="385" t="s">
        <v>1058</v>
      </c>
    </row>
    <row r="286" spans="1:8" ht="31.5" customHeight="1" thickBot="1" x14ac:dyDescent="0.4">
      <c r="A286" t="s">
        <v>1875</v>
      </c>
      <c r="B286" t="s">
        <v>2236</v>
      </c>
      <c r="C286" s="385" t="s">
        <v>1905</v>
      </c>
      <c r="D286" s="385" t="str">
        <f t="shared" si="54"/>
        <v>ELW -CAB-COM-CAT6</v>
      </c>
      <c r="E286" s="385" t="s">
        <v>1906</v>
      </c>
      <c r="F286" s="385" t="s">
        <v>1907</v>
      </c>
      <c r="G286" s="388"/>
      <c r="H286" s="385" t="s">
        <v>1058</v>
      </c>
    </row>
    <row r="287" spans="1:8" ht="15" thickBot="1" x14ac:dyDescent="0.4">
      <c r="A287" t="s">
        <v>1875</v>
      </c>
      <c r="B287" t="s">
        <v>2236</v>
      </c>
      <c r="C287" s="385" t="s">
        <v>1908</v>
      </c>
      <c r="D287" s="385" t="str">
        <f>A287&amp;C287</f>
        <v>ELW -DB-MAIN-12</v>
      </c>
      <c r="E287" s="385" t="s">
        <v>1909</v>
      </c>
      <c r="F287" s="385" t="s">
        <v>1910</v>
      </c>
      <c r="G287" s="388"/>
      <c r="H287" s="385" t="s">
        <v>1069</v>
      </c>
    </row>
    <row r="288" spans="1:8" ht="15" thickBot="1" x14ac:dyDescent="0.4">
      <c r="A288" t="s">
        <v>1875</v>
      </c>
      <c r="B288" t="s">
        <v>2236</v>
      </c>
      <c r="C288" s="385" t="s">
        <v>1911</v>
      </c>
      <c r="D288" s="385" t="str">
        <f t="shared" ref="D288:D291" si="55">A288&amp;C288</f>
        <v>ELW -DB-BRK-60A</v>
      </c>
      <c r="E288" s="385" t="s">
        <v>1912</v>
      </c>
      <c r="F288" s="385" t="s">
        <v>1913</v>
      </c>
      <c r="G288" s="388"/>
      <c r="H288" s="385" t="s">
        <v>1069</v>
      </c>
    </row>
    <row r="289" spans="1:8" ht="15" thickBot="1" x14ac:dyDescent="0.4">
      <c r="A289" t="s">
        <v>1875</v>
      </c>
      <c r="B289" t="s">
        <v>2236</v>
      </c>
      <c r="C289" s="385" t="s">
        <v>1914</v>
      </c>
      <c r="D289" s="385" t="str">
        <f t="shared" si="55"/>
        <v>ELW -DB-BRK-EL</v>
      </c>
      <c r="E289" s="385" t="s">
        <v>1915</v>
      </c>
      <c r="F289" s="385" t="s">
        <v>1916</v>
      </c>
      <c r="G289" s="388"/>
      <c r="H289" s="385" t="s">
        <v>1069</v>
      </c>
    </row>
    <row r="290" spans="1:8" ht="15" thickBot="1" x14ac:dyDescent="0.4">
      <c r="A290" t="s">
        <v>1875</v>
      </c>
      <c r="B290" t="s">
        <v>2236</v>
      </c>
      <c r="C290" s="385" t="s">
        <v>1917</v>
      </c>
      <c r="D290" s="385" t="str">
        <f t="shared" si="55"/>
        <v>ELW -DB-BRK-20A</v>
      </c>
      <c r="E290" s="385" t="s">
        <v>1918</v>
      </c>
      <c r="F290" s="385" t="s">
        <v>1919</v>
      </c>
      <c r="G290" s="388"/>
      <c r="H290" s="385" t="s">
        <v>1069</v>
      </c>
    </row>
    <row r="291" spans="1:8" ht="15" thickBot="1" x14ac:dyDescent="0.4">
      <c r="A291" t="s">
        <v>1875</v>
      </c>
      <c r="B291" t="s">
        <v>2236</v>
      </c>
      <c r="C291" s="385" t="s">
        <v>1920</v>
      </c>
      <c r="D291" s="385" t="str">
        <f t="shared" si="55"/>
        <v>ELW -DB-ISO-STV</v>
      </c>
      <c r="E291" s="385" t="s">
        <v>1921</v>
      </c>
      <c r="F291" s="385" t="s">
        <v>1922</v>
      </c>
      <c r="G291" s="388"/>
      <c r="H291" s="385" t="s">
        <v>1069</v>
      </c>
    </row>
    <row r="292" spans="1:8" ht="15" thickBot="1" x14ac:dyDescent="0.4">
      <c r="A292" t="s">
        <v>1875</v>
      </c>
      <c r="B292" t="s">
        <v>2236</v>
      </c>
      <c r="C292" s="385" t="s">
        <v>1923</v>
      </c>
      <c r="D292" s="385" t="str">
        <f>A292&amp;C292</f>
        <v>ELW -FIT-SWI-1L</v>
      </c>
      <c r="E292" s="385" t="s">
        <v>1924</v>
      </c>
      <c r="F292" s="385" t="s">
        <v>1925</v>
      </c>
      <c r="G292" s="388"/>
      <c r="H292" s="385" t="s">
        <v>1069</v>
      </c>
    </row>
    <row r="293" spans="1:8" ht="15" thickBot="1" x14ac:dyDescent="0.4">
      <c r="A293" t="s">
        <v>1875</v>
      </c>
      <c r="B293" t="s">
        <v>2236</v>
      </c>
      <c r="C293" s="385" t="s">
        <v>1926</v>
      </c>
      <c r="D293" s="385" t="str">
        <f t="shared" ref="D293:D297" si="56">A293&amp;C293</f>
        <v>ELW -FIT-SOC-DBL</v>
      </c>
      <c r="E293" s="385" t="s">
        <v>1927</v>
      </c>
      <c r="F293" s="385" t="s">
        <v>1928</v>
      </c>
      <c r="G293" s="388"/>
      <c r="H293" s="385" t="s">
        <v>1069</v>
      </c>
    </row>
    <row r="294" spans="1:8" ht="15" thickBot="1" x14ac:dyDescent="0.4">
      <c r="A294" t="s">
        <v>1875</v>
      </c>
      <c r="B294" t="s">
        <v>2236</v>
      </c>
      <c r="C294" s="385" t="s">
        <v>1929</v>
      </c>
      <c r="D294" s="385" t="str">
        <f t="shared" si="56"/>
        <v>ELW -FIT-SOC-SHU</v>
      </c>
      <c r="E294" s="385" t="s">
        <v>1930</v>
      </c>
      <c r="F294" s="385" t="s">
        <v>1931</v>
      </c>
      <c r="G294" s="388"/>
      <c r="H294" s="385" t="s">
        <v>1069</v>
      </c>
    </row>
    <row r="295" spans="1:8" ht="15" thickBot="1" x14ac:dyDescent="0.4">
      <c r="A295" t="s">
        <v>1875</v>
      </c>
      <c r="B295" t="s">
        <v>2236</v>
      </c>
      <c r="C295" s="385" t="s">
        <v>1932</v>
      </c>
      <c r="D295" s="385" t="str">
        <f t="shared" si="56"/>
        <v>ELW -LUM-LED-4FT</v>
      </c>
      <c r="E295" s="385" t="s">
        <v>1933</v>
      </c>
      <c r="F295" s="385" t="s">
        <v>1934</v>
      </c>
      <c r="G295" s="388"/>
      <c r="H295" s="385" t="s">
        <v>1069</v>
      </c>
    </row>
    <row r="296" spans="1:8" ht="15" thickBot="1" x14ac:dyDescent="0.4">
      <c r="A296" t="s">
        <v>1875</v>
      </c>
      <c r="B296" t="s">
        <v>2236</v>
      </c>
      <c r="C296" s="385" t="s">
        <v>1935</v>
      </c>
      <c r="D296" s="385" t="str">
        <f t="shared" si="56"/>
        <v>ELW -LUM-LED-DBL</v>
      </c>
      <c r="E296" s="385" t="s">
        <v>1933</v>
      </c>
      <c r="F296" s="385" t="s">
        <v>1936</v>
      </c>
      <c r="G296" s="388"/>
      <c r="H296" s="385" t="s">
        <v>1069</v>
      </c>
    </row>
    <row r="297" spans="1:8" ht="15" thickBot="1" x14ac:dyDescent="0.4">
      <c r="A297" t="s">
        <v>1875</v>
      </c>
      <c r="B297" t="s">
        <v>2236</v>
      </c>
      <c r="C297" s="385" t="s">
        <v>1937</v>
      </c>
      <c r="D297" s="385" t="str">
        <f t="shared" si="56"/>
        <v>ELW -FIT-COV-BLK</v>
      </c>
      <c r="E297" s="385" t="s">
        <v>1938</v>
      </c>
      <c r="F297" s="385" t="s">
        <v>1939</v>
      </c>
      <c r="G297" s="388"/>
      <c r="H297" s="385" t="s">
        <v>1069</v>
      </c>
    </row>
    <row r="298" spans="1:8" ht="15" thickBot="1" x14ac:dyDescent="0.4">
      <c r="A298" t="s">
        <v>1940</v>
      </c>
      <c r="B298" t="s">
        <v>2237</v>
      </c>
      <c r="C298" s="385" t="s">
        <v>1941</v>
      </c>
      <c r="D298" s="385" t="str">
        <f>A298&amp;C298</f>
        <v>MEW -HVAC-SPL-9</v>
      </c>
      <c r="E298" s="385" t="s">
        <v>1942</v>
      </c>
      <c r="F298" s="385" t="s">
        <v>1943</v>
      </c>
      <c r="G298" s="388"/>
      <c r="H298" s="385" t="s">
        <v>1069</v>
      </c>
    </row>
    <row r="299" spans="1:8" ht="28.5" thickBot="1" x14ac:dyDescent="0.4">
      <c r="A299" t="s">
        <v>1940</v>
      </c>
      <c r="B299" t="s">
        <v>2237</v>
      </c>
      <c r="C299" s="385" t="s">
        <v>1944</v>
      </c>
      <c r="D299" s="385" t="str">
        <f t="shared" ref="D299:D302" si="57">A299&amp;C299</f>
        <v>MEW -HVAC-INV-9</v>
      </c>
      <c r="E299" s="385" t="s">
        <v>1945</v>
      </c>
      <c r="F299" s="385" t="s">
        <v>1946</v>
      </c>
      <c r="G299" s="388"/>
      <c r="H299" s="385" t="s">
        <v>1069</v>
      </c>
    </row>
    <row r="300" spans="1:8" ht="15" thickBot="1" x14ac:dyDescent="0.4">
      <c r="A300" t="s">
        <v>1940</v>
      </c>
      <c r="B300" t="s">
        <v>2237</v>
      </c>
      <c r="C300" s="385" t="s">
        <v>1947</v>
      </c>
      <c r="D300" s="385" t="str">
        <f t="shared" si="57"/>
        <v>MEW -HVAC-SPL-18</v>
      </c>
      <c r="E300" s="385" t="s">
        <v>1942</v>
      </c>
      <c r="F300" s="385" t="s">
        <v>1948</v>
      </c>
      <c r="G300" s="388"/>
      <c r="H300" s="385" t="s">
        <v>1069</v>
      </c>
    </row>
    <row r="301" spans="1:8" ht="15" thickBot="1" x14ac:dyDescent="0.4">
      <c r="A301" t="s">
        <v>1940</v>
      </c>
      <c r="B301" t="s">
        <v>2237</v>
      </c>
      <c r="C301" s="385" t="s">
        <v>1949</v>
      </c>
      <c r="D301" s="385" t="str">
        <f t="shared" si="57"/>
        <v>MEW -HVAC-DUC-SYS</v>
      </c>
      <c r="E301" s="385" t="s">
        <v>1950</v>
      </c>
      <c r="F301" s="385" t="s">
        <v>1951</v>
      </c>
      <c r="G301" s="388"/>
      <c r="H301" s="385" t="s">
        <v>1069</v>
      </c>
    </row>
    <row r="302" spans="1:8" ht="36" customHeight="1" thickBot="1" x14ac:dyDescent="0.4">
      <c r="A302" t="s">
        <v>1940</v>
      </c>
      <c r="B302" t="s">
        <v>2237</v>
      </c>
      <c r="C302" s="385" t="s">
        <v>1952</v>
      </c>
      <c r="D302" s="385" t="str">
        <f t="shared" si="57"/>
        <v>MEW -HVAC-FAN-EXT</v>
      </c>
      <c r="E302" s="385" t="s">
        <v>1953</v>
      </c>
      <c r="F302" s="385" t="s">
        <v>1954</v>
      </c>
      <c r="G302" s="388"/>
      <c r="H302" s="385" t="s">
        <v>1069</v>
      </c>
    </row>
    <row r="303" spans="1:8" ht="28.5" customHeight="1" thickBot="1" x14ac:dyDescent="0.4">
      <c r="A303" t="s">
        <v>1940</v>
      </c>
      <c r="B303" t="s">
        <v>2237</v>
      </c>
      <c r="C303" s="385" t="s">
        <v>1955</v>
      </c>
      <c r="D303" s="385" t="str">
        <f>A303&amp;C303</f>
        <v>MEW -DUC-GAL-STD</v>
      </c>
      <c r="E303" s="385" t="s">
        <v>1956</v>
      </c>
      <c r="F303" s="385" t="s">
        <v>1957</v>
      </c>
      <c r="G303" s="388"/>
      <c r="H303" s="385" t="s">
        <v>245</v>
      </c>
    </row>
    <row r="304" spans="1:8" ht="15" thickBot="1" x14ac:dyDescent="0.4">
      <c r="A304" t="s">
        <v>1940</v>
      </c>
      <c r="B304" t="s">
        <v>2237</v>
      </c>
      <c r="C304" s="385" t="s">
        <v>1958</v>
      </c>
      <c r="D304" s="385" t="str">
        <f t="shared" ref="D304:D307" si="58">A304&amp;C304</f>
        <v>MEW -DUC-INS-05</v>
      </c>
      <c r="E304" s="385" t="s">
        <v>1959</v>
      </c>
      <c r="F304" s="385" t="s">
        <v>1960</v>
      </c>
      <c r="G304" s="388"/>
      <c r="H304" s="385" t="s">
        <v>1069</v>
      </c>
    </row>
    <row r="305" spans="1:8" ht="15" thickBot="1" x14ac:dyDescent="0.4">
      <c r="A305" t="s">
        <v>1940</v>
      </c>
      <c r="B305" t="s">
        <v>2237</v>
      </c>
      <c r="C305" s="385" t="s">
        <v>1961</v>
      </c>
      <c r="D305" s="385" t="str">
        <f t="shared" si="58"/>
        <v>MEW -DUC-FLX-200</v>
      </c>
      <c r="E305" s="385" t="s">
        <v>1962</v>
      </c>
      <c r="F305" s="385" t="s">
        <v>1963</v>
      </c>
      <c r="G305" s="388"/>
      <c r="H305" s="385" t="s">
        <v>1058</v>
      </c>
    </row>
    <row r="306" spans="1:8" ht="35.25" customHeight="1" thickBot="1" x14ac:dyDescent="0.4">
      <c r="A306" t="s">
        <v>1940</v>
      </c>
      <c r="B306" t="s">
        <v>2237</v>
      </c>
      <c r="C306" s="385" t="s">
        <v>1964</v>
      </c>
      <c r="D306" s="385" t="str">
        <f t="shared" si="58"/>
        <v>MEW -DUC-DIF-4WAY</v>
      </c>
      <c r="E306" s="385" t="s">
        <v>1965</v>
      </c>
      <c r="F306" s="385" t="s">
        <v>1966</v>
      </c>
      <c r="G306" s="388"/>
      <c r="H306" s="385" t="s">
        <v>1069</v>
      </c>
    </row>
    <row r="307" spans="1:8" ht="30.75" customHeight="1" thickBot="1" x14ac:dyDescent="0.4">
      <c r="A307" t="s">
        <v>1940</v>
      </c>
      <c r="B307" t="s">
        <v>2237</v>
      </c>
      <c r="C307" s="385" t="s">
        <v>1967</v>
      </c>
      <c r="D307" s="385" t="str">
        <f t="shared" si="58"/>
        <v>MEW -DUC-GRT-RET</v>
      </c>
      <c r="E307" s="385" t="s">
        <v>1968</v>
      </c>
      <c r="F307" s="385" t="s">
        <v>1969</v>
      </c>
      <c r="G307" s="388"/>
      <c r="H307" s="385" t="s">
        <v>1069</v>
      </c>
    </row>
    <row r="308" spans="1:8" ht="15" thickBot="1" x14ac:dyDescent="0.4">
      <c r="A308" t="s">
        <v>1940</v>
      </c>
      <c r="B308" t="s">
        <v>2237</v>
      </c>
      <c r="C308" s="385" t="s">
        <v>1970</v>
      </c>
      <c r="D308" s="385" t="str">
        <f>A308&amp;C308</f>
        <v>MEW -REF-SET</v>
      </c>
      <c r="E308" s="385" t="s">
        <v>1971</v>
      </c>
      <c r="F308" s="385" t="s">
        <v>1972</v>
      </c>
      <c r="G308" s="388"/>
      <c r="H308" s="385" t="s">
        <v>1058</v>
      </c>
    </row>
    <row r="309" spans="1:8" ht="15" thickBot="1" x14ac:dyDescent="0.4">
      <c r="A309" t="s">
        <v>1940</v>
      </c>
      <c r="B309" t="s">
        <v>2237</v>
      </c>
      <c r="C309" s="385" t="s">
        <v>1973</v>
      </c>
      <c r="D309" s="385" t="str">
        <f t="shared" ref="D309:D311" si="59">A309&amp;C309</f>
        <v>MEW -PMP-CND</v>
      </c>
      <c r="E309" s="385" t="s">
        <v>1974</v>
      </c>
      <c r="F309" s="385" t="s">
        <v>1975</v>
      </c>
      <c r="G309" s="388"/>
      <c r="H309" s="385" t="s">
        <v>1069</v>
      </c>
    </row>
    <row r="310" spans="1:8" ht="15" thickBot="1" x14ac:dyDescent="0.4">
      <c r="A310" t="s">
        <v>1940</v>
      </c>
      <c r="B310" t="s">
        <v>2237</v>
      </c>
      <c r="C310" s="385" t="s">
        <v>1976</v>
      </c>
      <c r="D310" s="385" t="str">
        <f t="shared" si="59"/>
        <v>MEW -PMP-CIR</v>
      </c>
      <c r="E310" s="385" t="s">
        <v>1977</v>
      </c>
      <c r="F310" s="385" t="s">
        <v>1978</v>
      </c>
      <c r="G310" s="388"/>
      <c r="H310" s="385" t="s">
        <v>1069</v>
      </c>
    </row>
    <row r="311" spans="1:8" ht="15" thickBot="1" x14ac:dyDescent="0.4">
      <c r="A311" t="s">
        <v>1940</v>
      </c>
      <c r="B311" t="s">
        <v>2237</v>
      </c>
      <c r="C311" s="385" t="s">
        <v>1979</v>
      </c>
      <c r="D311" s="385" t="str">
        <f t="shared" si="59"/>
        <v>MEW -VAL-RED</v>
      </c>
      <c r="E311" s="385" t="s">
        <v>1980</v>
      </c>
      <c r="F311" s="385" t="s">
        <v>1981</v>
      </c>
      <c r="G311" s="388"/>
      <c r="H311" s="385" t="s">
        <v>1069</v>
      </c>
    </row>
    <row r="312" spans="1:8" ht="15" thickBot="1" x14ac:dyDescent="0.4">
      <c r="A312" t="s">
        <v>1940</v>
      </c>
      <c r="B312" t="s">
        <v>2237</v>
      </c>
      <c r="C312" s="385" t="s">
        <v>1982</v>
      </c>
      <c r="D312" s="385" t="str">
        <f>A312&amp;C312</f>
        <v>MEW -LIF-PAS</v>
      </c>
      <c r="E312" s="385" t="s">
        <v>1983</v>
      </c>
      <c r="F312" s="385" t="s">
        <v>1984</v>
      </c>
      <c r="G312" s="388"/>
      <c r="H312" s="385" t="s">
        <v>1069</v>
      </c>
    </row>
    <row r="313" spans="1:8" ht="15" thickBot="1" x14ac:dyDescent="0.4">
      <c r="A313" t="s">
        <v>1940</v>
      </c>
      <c r="B313" t="s">
        <v>2237</v>
      </c>
      <c r="C313" s="385" t="s">
        <v>1985</v>
      </c>
      <c r="D313" s="385" t="str">
        <f t="shared" ref="D313:D314" si="60">A313&amp;C313</f>
        <v>MEW -SPR-HD</v>
      </c>
      <c r="E313" s="385" t="s">
        <v>1986</v>
      </c>
      <c r="F313" s="385" t="s">
        <v>1987</v>
      </c>
      <c r="G313" s="388"/>
      <c r="H313" s="385" t="s">
        <v>1069</v>
      </c>
    </row>
    <row r="314" spans="1:8" ht="15" thickBot="1" x14ac:dyDescent="0.4">
      <c r="A314" t="s">
        <v>1940</v>
      </c>
      <c r="B314" t="s">
        <v>2237</v>
      </c>
      <c r="C314" s="385" t="s">
        <v>1988</v>
      </c>
      <c r="D314" s="385" t="str">
        <f t="shared" si="60"/>
        <v>MEW -BMS-CON</v>
      </c>
      <c r="E314" s="385" t="s">
        <v>1989</v>
      </c>
      <c r="F314" s="385" t="s">
        <v>1990</v>
      </c>
      <c r="G314" s="388"/>
      <c r="H314" s="385" t="s">
        <v>1069</v>
      </c>
    </row>
    <row r="315" spans="1:8" ht="15" thickBot="1" x14ac:dyDescent="0.4">
      <c r="A315" t="s">
        <v>1991</v>
      </c>
      <c r="B315" t="s">
        <v>2238</v>
      </c>
      <c r="C315" s="385" t="s">
        <v>1992</v>
      </c>
      <c r="D315" s="385" t="str">
        <f>A315&amp;C315</f>
        <v>GLZ -FLT-3MM</v>
      </c>
      <c r="E315" s="385" t="s">
        <v>1993</v>
      </c>
      <c r="F315" s="385" t="s">
        <v>1994</v>
      </c>
      <c r="G315" s="388"/>
      <c r="H315" s="385" t="s">
        <v>245</v>
      </c>
    </row>
    <row r="316" spans="1:8" ht="15" thickBot="1" x14ac:dyDescent="0.4">
      <c r="A316" t="s">
        <v>1991</v>
      </c>
      <c r="B316" t="s">
        <v>2238</v>
      </c>
      <c r="C316" s="385" t="s">
        <v>1995</v>
      </c>
      <c r="D316" s="385" t="str">
        <f t="shared" ref="D316:D319" si="61">A316&amp;C316</f>
        <v>GLZ -FLT-4MM</v>
      </c>
      <c r="E316" s="385" t="s">
        <v>1996</v>
      </c>
      <c r="F316" s="385" t="s">
        <v>1997</v>
      </c>
      <c r="G316" s="388"/>
      <c r="H316" s="385" t="s">
        <v>245</v>
      </c>
    </row>
    <row r="317" spans="1:8" ht="15" thickBot="1" x14ac:dyDescent="0.4">
      <c r="A317" t="s">
        <v>1991</v>
      </c>
      <c r="B317" t="s">
        <v>2238</v>
      </c>
      <c r="C317" s="385" t="s">
        <v>1998</v>
      </c>
      <c r="D317" s="385" t="str">
        <f t="shared" si="61"/>
        <v>GLZ -FLT-6MM</v>
      </c>
      <c r="E317" s="385" t="s">
        <v>1999</v>
      </c>
      <c r="F317" s="385" t="s">
        <v>2000</v>
      </c>
      <c r="G317" s="388"/>
      <c r="H317" s="385" t="s">
        <v>245</v>
      </c>
    </row>
    <row r="318" spans="1:8" ht="15" thickBot="1" x14ac:dyDescent="0.4">
      <c r="A318" t="s">
        <v>1991</v>
      </c>
      <c r="B318" t="s">
        <v>2238</v>
      </c>
      <c r="C318" s="385" t="s">
        <v>2001</v>
      </c>
      <c r="D318" s="385" t="str">
        <f t="shared" si="61"/>
        <v>GLZ -OBS-4MM</v>
      </c>
      <c r="E318" s="385" t="s">
        <v>2002</v>
      </c>
      <c r="F318" s="385" t="s">
        <v>2003</v>
      </c>
      <c r="G318" s="388"/>
      <c r="H318" s="385" t="s">
        <v>245</v>
      </c>
    </row>
    <row r="319" spans="1:8" ht="15" thickBot="1" x14ac:dyDescent="0.4">
      <c r="A319" t="s">
        <v>1991</v>
      </c>
      <c r="B319" t="s">
        <v>2238</v>
      </c>
      <c r="C319" s="385" t="s">
        <v>2004</v>
      </c>
      <c r="D319" s="385" t="str">
        <f t="shared" si="61"/>
        <v>GLZ -TIN-BRZ</v>
      </c>
      <c r="E319" s="385" t="s">
        <v>2005</v>
      </c>
      <c r="F319" s="385" t="s">
        <v>2006</v>
      </c>
      <c r="G319" s="388"/>
      <c r="H319" s="385" t="s">
        <v>245</v>
      </c>
    </row>
    <row r="320" spans="1:8" ht="15" thickBot="1" x14ac:dyDescent="0.4">
      <c r="A320" t="s">
        <v>1991</v>
      </c>
      <c r="B320" t="s">
        <v>2238</v>
      </c>
      <c r="C320" s="385" t="s">
        <v>2007</v>
      </c>
      <c r="D320" s="385" t="str">
        <f>A320&amp;C320</f>
        <v>GLZ -LAM-6.38</v>
      </c>
      <c r="E320" s="385" t="s">
        <v>2008</v>
      </c>
      <c r="F320" s="385" t="s">
        <v>2009</v>
      </c>
      <c r="G320" s="388"/>
      <c r="H320" s="385" t="s">
        <v>245</v>
      </c>
    </row>
    <row r="321" spans="1:8" ht="15" thickBot="1" x14ac:dyDescent="0.4">
      <c r="A321" t="s">
        <v>1991</v>
      </c>
      <c r="B321" t="s">
        <v>2238</v>
      </c>
      <c r="C321" s="385" t="s">
        <v>2010</v>
      </c>
      <c r="D321" s="385" t="str">
        <f t="shared" ref="D321:D324" si="62">A321&amp;C321</f>
        <v>GLZ -TSG-4MM</v>
      </c>
      <c r="E321" s="385" t="s">
        <v>2011</v>
      </c>
      <c r="F321" s="385" t="s">
        <v>2012</v>
      </c>
      <c r="G321" s="388"/>
      <c r="H321" s="385" t="s">
        <v>245</v>
      </c>
    </row>
    <row r="322" spans="1:8" ht="15" thickBot="1" x14ac:dyDescent="0.4">
      <c r="A322" t="s">
        <v>1991</v>
      </c>
      <c r="B322" t="s">
        <v>2238</v>
      </c>
      <c r="C322" s="385" t="s">
        <v>2013</v>
      </c>
      <c r="D322" s="385" t="str">
        <f t="shared" si="62"/>
        <v>GLZ -TSG-6MM</v>
      </c>
      <c r="E322" s="385" t="s">
        <v>2014</v>
      </c>
      <c r="F322" s="385" t="s">
        <v>2015</v>
      </c>
      <c r="G322" s="388"/>
      <c r="H322" s="385" t="s">
        <v>245</v>
      </c>
    </row>
    <row r="323" spans="1:8" ht="15" thickBot="1" x14ac:dyDescent="0.4">
      <c r="A323" t="s">
        <v>1991</v>
      </c>
      <c r="B323" t="s">
        <v>2238</v>
      </c>
      <c r="C323" s="385" t="s">
        <v>2016</v>
      </c>
      <c r="D323" s="385" t="str">
        <f t="shared" si="62"/>
        <v>GLZ -DGU-SIG</v>
      </c>
      <c r="E323" s="385" t="s">
        <v>2017</v>
      </c>
      <c r="F323" s="385" t="s">
        <v>2018</v>
      </c>
      <c r="G323" s="388"/>
      <c r="H323" s="385" t="s">
        <v>245</v>
      </c>
    </row>
    <row r="324" spans="1:8" ht="15" thickBot="1" x14ac:dyDescent="0.4">
      <c r="A324" t="s">
        <v>1991</v>
      </c>
      <c r="B324" t="s">
        <v>2238</v>
      </c>
      <c r="C324" s="385" t="s">
        <v>2019</v>
      </c>
      <c r="D324" s="385" t="str">
        <f t="shared" si="62"/>
        <v>GLZ -LAM-LOWE</v>
      </c>
      <c r="E324" s="385" t="s">
        <v>2020</v>
      </c>
      <c r="F324" s="385" t="s">
        <v>2021</v>
      </c>
      <c r="G324" s="388"/>
      <c r="H324" s="385" t="s">
        <v>245</v>
      </c>
    </row>
    <row r="325" spans="1:8" ht="15" thickBot="1" x14ac:dyDescent="0.4">
      <c r="A325" t="s">
        <v>1991</v>
      </c>
      <c r="B325" t="s">
        <v>2238</v>
      </c>
      <c r="C325" s="385" t="s">
        <v>2022</v>
      </c>
      <c r="D325" s="385" t="str">
        <f>A325&amp;C325</f>
        <v>GLZ -MIR-4MM</v>
      </c>
      <c r="E325" s="385" t="s">
        <v>2023</v>
      </c>
      <c r="F325" s="385" t="s">
        <v>2024</v>
      </c>
      <c r="G325" s="388"/>
      <c r="H325" s="385" t="s">
        <v>1069</v>
      </c>
    </row>
    <row r="326" spans="1:8" ht="15" thickBot="1" x14ac:dyDescent="0.4">
      <c r="A326" t="s">
        <v>1991</v>
      </c>
      <c r="B326" t="s">
        <v>2238</v>
      </c>
      <c r="C326" s="385" t="s">
        <v>2025</v>
      </c>
      <c r="D326" s="385" t="str">
        <f t="shared" ref="D326:D328" si="63">A326&amp;C326</f>
        <v>GLZ -LOU-CLR</v>
      </c>
      <c r="E326" s="385" t="s">
        <v>2026</v>
      </c>
      <c r="F326" s="385" t="s">
        <v>2027</v>
      </c>
      <c r="G326" s="388"/>
      <c r="H326" s="385" t="s">
        <v>1069</v>
      </c>
    </row>
    <row r="327" spans="1:8" ht="15" thickBot="1" x14ac:dyDescent="0.4">
      <c r="A327" t="s">
        <v>1991</v>
      </c>
      <c r="B327" t="s">
        <v>2238</v>
      </c>
      <c r="C327" s="385" t="s">
        <v>2028</v>
      </c>
      <c r="D327" s="385" t="str">
        <f t="shared" si="63"/>
        <v>GLZ -POL-PC</v>
      </c>
      <c r="E327" s="385" t="s">
        <v>2029</v>
      </c>
      <c r="F327" s="385" t="s">
        <v>2030</v>
      </c>
      <c r="G327" s="388"/>
      <c r="H327" s="385" t="s">
        <v>245</v>
      </c>
    </row>
    <row r="328" spans="1:8" ht="15" thickBot="1" x14ac:dyDescent="0.4">
      <c r="A328" t="s">
        <v>1991</v>
      </c>
      <c r="B328" t="s">
        <v>2238</v>
      </c>
      <c r="C328" s="385" t="s">
        <v>2031</v>
      </c>
      <c r="D328" s="385" t="str">
        <f t="shared" si="63"/>
        <v>GLZ -BUL-BR</v>
      </c>
      <c r="E328" s="385" t="s">
        <v>2032</v>
      </c>
      <c r="F328" s="385" t="s">
        <v>2033</v>
      </c>
      <c r="G328" s="388"/>
      <c r="H328" s="385" t="s">
        <v>245</v>
      </c>
    </row>
    <row r="329" spans="1:8" ht="15" thickBot="1" x14ac:dyDescent="0.4">
      <c r="A329" t="s">
        <v>1991</v>
      </c>
      <c r="B329" t="s">
        <v>2238</v>
      </c>
      <c r="C329" s="385" t="s">
        <v>2034</v>
      </c>
      <c r="D329" s="385" t="str">
        <f>A329&amp;C329</f>
        <v>GLZ -FIX-PUT-5KG</v>
      </c>
      <c r="E329" s="385" t="s">
        <v>2035</v>
      </c>
      <c r="F329" s="385" t="s">
        <v>2036</v>
      </c>
      <c r="G329" s="388"/>
      <c r="H329" s="385" t="s">
        <v>1069</v>
      </c>
    </row>
    <row r="330" spans="1:8" ht="15" thickBot="1" x14ac:dyDescent="0.4">
      <c r="A330" t="s">
        <v>1991</v>
      </c>
      <c r="B330" t="s">
        <v>2238</v>
      </c>
      <c r="C330" s="385" t="s">
        <v>2037</v>
      </c>
      <c r="D330" s="385" t="str">
        <f t="shared" ref="D330:D332" si="64">A330&amp;C330</f>
        <v>GLZ -FIX-SIL-CLR</v>
      </c>
      <c r="E330" s="385" t="s">
        <v>2038</v>
      </c>
      <c r="F330" s="385" t="s">
        <v>2039</v>
      </c>
      <c r="G330" s="388"/>
      <c r="H330" s="385" t="s">
        <v>1223</v>
      </c>
    </row>
    <row r="331" spans="1:8" ht="15" thickBot="1" x14ac:dyDescent="0.4">
      <c r="A331" t="s">
        <v>1991</v>
      </c>
      <c r="B331" t="s">
        <v>2238</v>
      </c>
      <c r="C331" s="385" t="s">
        <v>2040</v>
      </c>
      <c r="D331" s="385" t="str">
        <f t="shared" si="64"/>
        <v>GLZ -FIX-BD-PVC</v>
      </c>
      <c r="E331" s="385" t="s">
        <v>2041</v>
      </c>
      <c r="F331" s="385" t="s">
        <v>2042</v>
      </c>
      <c r="G331" s="388"/>
      <c r="H331" s="385" t="s">
        <v>1058</v>
      </c>
    </row>
    <row r="332" spans="1:8" ht="15" thickBot="1" x14ac:dyDescent="0.4">
      <c r="A332" t="s">
        <v>1991</v>
      </c>
      <c r="B332" t="s">
        <v>2238</v>
      </c>
      <c r="C332" s="385" t="s">
        <v>2043</v>
      </c>
      <c r="D332" s="385" t="str">
        <f t="shared" si="64"/>
        <v>GLZ -FIX-GSK-RUB</v>
      </c>
      <c r="E332" s="385" t="s">
        <v>2044</v>
      </c>
      <c r="F332" s="385" t="s">
        <v>2045</v>
      </c>
      <c r="G332" s="388"/>
      <c r="H332" s="385" t="s">
        <v>1058</v>
      </c>
    </row>
    <row r="333" spans="1:8" ht="15" thickBot="1" x14ac:dyDescent="0.4">
      <c r="A333" t="s">
        <v>2240</v>
      </c>
      <c r="B333" t="s">
        <v>2243</v>
      </c>
      <c r="C333" s="385" t="s">
        <v>2046</v>
      </c>
      <c r="D333" s="385" t="str">
        <f>A333&amp;C333</f>
        <v>PAW -PVA-INT</v>
      </c>
      <c r="E333" s="385" t="s">
        <v>2047</v>
      </c>
      <c r="F333" s="385" t="s">
        <v>2048</v>
      </c>
      <c r="G333" s="388"/>
      <c r="H333" s="385" t="s">
        <v>1062</v>
      </c>
    </row>
    <row r="334" spans="1:8" ht="15" thickBot="1" x14ac:dyDescent="0.4">
      <c r="A334" t="s">
        <v>2239</v>
      </c>
      <c r="B334" t="s">
        <v>2243</v>
      </c>
      <c r="C334" s="385" t="s">
        <v>2049</v>
      </c>
      <c r="D334" s="385" t="str">
        <f t="shared" ref="D334:D337" si="65">A334&amp;C334</f>
        <v>PAT -PVA-ECO</v>
      </c>
      <c r="E334" s="385" t="s">
        <v>2050</v>
      </c>
      <c r="F334" s="385" t="s">
        <v>2051</v>
      </c>
      <c r="G334" s="388"/>
      <c r="H334" s="385" t="s">
        <v>1062</v>
      </c>
    </row>
    <row r="335" spans="1:8" ht="15" thickBot="1" x14ac:dyDescent="0.4">
      <c r="A335" t="s">
        <v>2239</v>
      </c>
      <c r="B335" t="s">
        <v>2243</v>
      </c>
      <c r="C335" s="385" t="s">
        <v>2052</v>
      </c>
      <c r="D335" s="385" t="str">
        <f t="shared" si="65"/>
        <v>PAT -ACR-EXT</v>
      </c>
      <c r="E335" s="385" t="s">
        <v>2053</v>
      </c>
      <c r="F335" s="385" t="s">
        <v>2054</v>
      </c>
      <c r="G335" s="388"/>
      <c r="H335" s="385" t="s">
        <v>1062</v>
      </c>
    </row>
    <row r="336" spans="1:8" ht="15" thickBot="1" x14ac:dyDescent="0.4">
      <c r="A336" t="s">
        <v>2239</v>
      </c>
      <c r="B336" t="s">
        <v>2243</v>
      </c>
      <c r="C336" s="385" t="s">
        <v>2055</v>
      </c>
      <c r="D336" s="385" t="str">
        <f t="shared" si="65"/>
        <v>PAT -SIL-PRM</v>
      </c>
      <c r="E336" s="385" t="s">
        <v>2056</v>
      </c>
      <c r="F336" s="385" t="s">
        <v>2057</v>
      </c>
      <c r="G336" s="388"/>
      <c r="H336" s="385" t="s">
        <v>1062</v>
      </c>
    </row>
    <row r="337" spans="1:8" ht="15" thickBot="1" x14ac:dyDescent="0.4">
      <c r="A337" t="s">
        <v>2239</v>
      </c>
      <c r="B337" t="s">
        <v>2243</v>
      </c>
      <c r="C337" s="385" t="s">
        <v>2058</v>
      </c>
      <c r="D337" s="385" t="str">
        <f t="shared" si="65"/>
        <v>PAT -ROF-GRD</v>
      </c>
      <c r="E337" s="385" t="s">
        <v>2059</v>
      </c>
      <c r="F337" s="385" t="s">
        <v>2060</v>
      </c>
      <c r="G337" s="388"/>
      <c r="H337" s="385" t="s">
        <v>1062</v>
      </c>
    </row>
    <row r="338" spans="1:8" ht="15" thickBot="1" x14ac:dyDescent="0.4">
      <c r="A338" t="s">
        <v>2239</v>
      </c>
      <c r="B338" t="s">
        <v>2243</v>
      </c>
      <c r="C338" s="385" t="s">
        <v>2061</v>
      </c>
      <c r="D338" s="385" t="str">
        <f>A338&amp;C338</f>
        <v>PAT -ENM-GLS</v>
      </c>
      <c r="E338" s="385" t="s">
        <v>2062</v>
      </c>
      <c r="F338" s="385" t="s">
        <v>2063</v>
      </c>
      <c r="G338" s="388"/>
      <c r="H338" s="385" t="s">
        <v>1617</v>
      </c>
    </row>
    <row r="339" spans="1:8" ht="15" thickBot="1" x14ac:dyDescent="0.4">
      <c r="A339" t="s">
        <v>2239</v>
      </c>
      <c r="B339" t="s">
        <v>2243</v>
      </c>
      <c r="C339" s="385" t="s">
        <v>2064</v>
      </c>
      <c r="D339" s="385" t="str">
        <f t="shared" ref="D339:D341" si="66">A339&amp;C339</f>
        <v>PAT -ENM-WTR</v>
      </c>
      <c r="E339" s="385" t="s">
        <v>2065</v>
      </c>
      <c r="F339" s="385" t="s">
        <v>2066</v>
      </c>
      <c r="G339" s="388"/>
      <c r="H339" s="385" t="s">
        <v>1617</v>
      </c>
    </row>
    <row r="340" spans="1:8" ht="15" thickBot="1" x14ac:dyDescent="0.4">
      <c r="A340" t="s">
        <v>2239</v>
      </c>
      <c r="B340" t="s">
        <v>2243</v>
      </c>
      <c r="C340" s="385" t="s">
        <v>2067</v>
      </c>
      <c r="D340" s="385" t="str">
        <f t="shared" si="66"/>
        <v>PAT -ENM-CHR</v>
      </c>
      <c r="E340" s="385" t="s">
        <v>2068</v>
      </c>
      <c r="F340" s="385" t="s">
        <v>2069</v>
      </c>
      <c r="G340" s="388"/>
      <c r="H340" s="385" t="s">
        <v>1617</v>
      </c>
    </row>
    <row r="341" spans="1:8" ht="15" thickBot="1" x14ac:dyDescent="0.4">
      <c r="A341" t="s">
        <v>2239</v>
      </c>
      <c r="B341" t="s">
        <v>2243</v>
      </c>
      <c r="C341" s="385" t="s">
        <v>2070</v>
      </c>
      <c r="D341" s="385" t="str">
        <f t="shared" si="66"/>
        <v>PAT -VNS-CLR</v>
      </c>
      <c r="E341" s="385" t="s">
        <v>2071</v>
      </c>
      <c r="F341" s="385" t="s">
        <v>2072</v>
      </c>
      <c r="G341" s="388"/>
      <c r="H341" s="385" t="s">
        <v>1617</v>
      </c>
    </row>
    <row r="342" spans="1:8" ht="28.5" thickBot="1" x14ac:dyDescent="0.4">
      <c r="A342" t="s">
        <v>2239</v>
      </c>
      <c r="B342" t="s">
        <v>2243</v>
      </c>
      <c r="C342" s="385" t="s">
        <v>2073</v>
      </c>
      <c r="D342" s="385" t="str">
        <f>A342&amp;C342</f>
        <v>PAT -PRM-PLR-SOL</v>
      </c>
      <c r="E342" s="385" t="s">
        <v>1731</v>
      </c>
      <c r="F342" s="385" t="s">
        <v>2074</v>
      </c>
      <c r="G342" s="388"/>
      <c r="H342" s="385" t="s">
        <v>1617</v>
      </c>
    </row>
    <row r="343" spans="1:8" ht="23.25" customHeight="1" thickBot="1" x14ac:dyDescent="0.4">
      <c r="A343" t="s">
        <v>2239</v>
      </c>
      <c r="B343" t="s">
        <v>2243</v>
      </c>
      <c r="C343" s="385" t="s">
        <v>2075</v>
      </c>
      <c r="D343" s="385" t="str">
        <f t="shared" ref="D343:D346" si="67">A343&amp;C343</f>
        <v>PAT -PRM-WOD-PNK</v>
      </c>
      <c r="E343" s="385" t="s">
        <v>2076</v>
      </c>
      <c r="F343" s="385" t="s">
        <v>2077</v>
      </c>
      <c r="G343" s="388"/>
      <c r="H343" s="385" t="s">
        <v>1617</v>
      </c>
    </row>
    <row r="344" spans="1:8" ht="30" customHeight="1" thickBot="1" x14ac:dyDescent="0.4">
      <c r="A344" t="s">
        <v>2239</v>
      </c>
      <c r="B344" t="s">
        <v>2243</v>
      </c>
      <c r="C344" s="385" t="s">
        <v>2078</v>
      </c>
      <c r="D344" s="385" t="str">
        <f t="shared" si="67"/>
        <v>PAT -PRM-MTL-ROX</v>
      </c>
      <c r="E344" s="385" t="s">
        <v>1615</v>
      </c>
      <c r="F344" s="385" t="s">
        <v>2079</v>
      </c>
      <c r="G344" s="388"/>
      <c r="H344" s="385" t="s">
        <v>1617</v>
      </c>
    </row>
    <row r="345" spans="1:8" ht="15" thickBot="1" x14ac:dyDescent="0.4">
      <c r="A345" t="s">
        <v>2239</v>
      </c>
      <c r="B345" t="s">
        <v>2243</v>
      </c>
      <c r="C345" s="385" t="s">
        <v>2080</v>
      </c>
      <c r="D345" s="385" t="str">
        <f t="shared" si="67"/>
        <v>PAT -PRM-MTL-ETC</v>
      </c>
      <c r="E345" s="385" t="s">
        <v>2081</v>
      </c>
      <c r="F345" s="385" t="s">
        <v>2082</v>
      </c>
      <c r="G345" s="388"/>
      <c r="H345" s="385" t="s">
        <v>1617</v>
      </c>
    </row>
    <row r="346" spans="1:8" ht="15" thickBot="1" x14ac:dyDescent="0.4">
      <c r="A346" t="s">
        <v>2239</v>
      </c>
      <c r="B346" t="s">
        <v>2243</v>
      </c>
      <c r="C346" s="385" t="s">
        <v>2083</v>
      </c>
      <c r="D346" s="385" t="str">
        <f t="shared" si="67"/>
        <v>PAT -PRE-FIL-INT</v>
      </c>
      <c r="E346" s="385" t="s">
        <v>2084</v>
      </c>
      <c r="F346" s="385" t="s">
        <v>2085</v>
      </c>
      <c r="G346" s="388"/>
      <c r="H346" s="385" t="s">
        <v>2086</v>
      </c>
    </row>
    <row r="347" spans="1:8" ht="15" thickBot="1" x14ac:dyDescent="0.4">
      <c r="A347" t="s">
        <v>2239</v>
      </c>
      <c r="B347" t="s">
        <v>2243</v>
      </c>
      <c r="C347" s="385" t="s">
        <v>2087</v>
      </c>
      <c r="D347" s="385" t="str">
        <f>A347&amp;C347</f>
        <v>PAT -ACC-ROL-SET</v>
      </c>
      <c r="E347" s="385" t="s">
        <v>2088</v>
      </c>
      <c r="F347" s="385" t="s">
        <v>2089</v>
      </c>
      <c r="G347" s="388"/>
      <c r="H347" s="385" t="s">
        <v>1069</v>
      </c>
    </row>
    <row r="348" spans="1:8" ht="15" thickBot="1" x14ac:dyDescent="0.4">
      <c r="A348" t="s">
        <v>2239</v>
      </c>
      <c r="B348" t="s">
        <v>2243</v>
      </c>
      <c r="C348" s="385" t="s">
        <v>2090</v>
      </c>
      <c r="D348" s="385" t="str">
        <f t="shared" ref="D348:D351" si="68">A348&amp;C348</f>
        <v>PAT -ACC-BRU-SET</v>
      </c>
      <c r="E348" s="385" t="s">
        <v>2091</v>
      </c>
      <c r="F348" s="385" t="s">
        <v>2092</v>
      </c>
      <c r="G348" s="388"/>
      <c r="H348" s="385" t="s">
        <v>1069</v>
      </c>
    </row>
    <row r="349" spans="1:8" ht="15" thickBot="1" x14ac:dyDescent="0.4">
      <c r="A349" t="s">
        <v>2239</v>
      </c>
      <c r="B349" t="s">
        <v>2243</v>
      </c>
      <c r="C349" s="385" t="s">
        <v>2093</v>
      </c>
      <c r="D349" s="385" t="str">
        <f t="shared" si="68"/>
        <v>PAT -ACC-DRP-SHT</v>
      </c>
      <c r="E349" s="385" t="s">
        <v>2094</v>
      </c>
      <c r="F349" s="385" t="s">
        <v>2095</v>
      </c>
      <c r="G349" s="388"/>
      <c r="H349" s="385" t="s">
        <v>1069</v>
      </c>
    </row>
    <row r="350" spans="1:8" ht="30.75" customHeight="1" thickBot="1" x14ac:dyDescent="0.4">
      <c r="A350" t="s">
        <v>2239</v>
      </c>
      <c r="B350" t="s">
        <v>2243</v>
      </c>
      <c r="C350" s="385" t="s">
        <v>2096</v>
      </c>
      <c r="D350" s="385" t="str">
        <f t="shared" si="68"/>
        <v>PAT -ACC-SND-PPR</v>
      </c>
      <c r="E350" s="385" t="s">
        <v>2097</v>
      </c>
      <c r="F350" s="385" t="s">
        <v>2098</v>
      </c>
      <c r="G350" s="388"/>
      <c r="H350" s="385" t="s">
        <v>2099</v>
      </c>
    </row>
    <row r="351" spans="1:8" ht="15" thickBot="1" x14ac:dyDescent="0.4">
      <c r="A351" t="s">
        <v>2239</v>
      </c>
      <c r="B351" t="s">
        <v>2243</v>
      </c>
      <c r="C351" s="385" t="s">
        <v>2100</v>
      </c>
      <c r="D351" s="385" t="str">
        <f t="shared" si="68"/>
        <v>PAT -ACC-TUR-SOL</v>
      </c>
      <c r="E351" s="385" t="s">
        <v>2101</v>
      </c>
      <c r="F351" s="385" t="s">
        <v>2102</v>
      </c>
      <c r="G351" s="388"/>
      <c r="H351" s="385" t="s">
        <v>2103</v>
      </c>
    </row>
    <row r="352" spans="1:8" ht="15" thickBot="1" x14ac:dyDescent="0.4">
      <c r="A352" t="s">
        <v>2245</v>
      </c>
      <c r="B352" t="s">
        <v>2244</v>
      </c>
      <c r="C352" s="385" t="s">
        <v>2104</v>
      </c>
      <c r="D352" s="385" t="str">
        <f>A352&amp;C352</f>
        <v>PAH - PAP-STD</v>
      </c>
      <c r="E352" s="385" t="s">
        <v>2105</v>
      </c>
      <c r="F352" s="385" t="s">
        <v>2106</v>
      </c>
      <c r="G352" s="388"/>
      <c r="H352" s="385" t="s">
        <v>1184</v>
      </c>
    </row>
    <row r="353" spans="1:8" ht="38.25" customHeight="1" thickBot="1" x14ac:dyDescent="0.4">
      <c r="A353" t="s">
        <v>2245</v>
      </c>
      <c r="B353" t="s">
        <v>2244</v>
      </c>
      <c r="C353" s="385" t="s">
        <v>2107</v>
      </c>
      <c r="D353" s="385" t="str">
        <f t="shared" ref="D353:D357" si="69">A353&amp;C353</f>
        <v>PAH - PAP-PVC</v>
      </c>
      <c r="E353" s="385" t="s">
        <v>2108</v>
      </c>
      <c r="F353" s="385" t="s">
        <v>2109</v>
      </c>
      <c r="G353" s="388"/>
      <c r="H353" s="385" t="s">
        <v>1184</v>
      </c>
    </row>
    <row r="354" spans="1:8" ht="15" thickBot="1" x14ac:dyDescent="0.4">
      <c r="A354" t="s">
        <v>2245</v>
      </c>
      <c r="B354" t="s">
        <v>2244</v>
      </c>
      <c r="C354" s="385" t="s">
        <v>2110</v>
      </c>
      <c r="D354" s="385" t="str">
        <f t="shared" si="69"/>
        <v>PAH - PAP-VIN</v>
      </c>
      <c r="E354" s="385" t="s">
        <v>2111</v>
      </c>
      <c r="F354" s="385" t="s">
        <v>2112</v>
      </c>
      <c r="G354" s="388"/>
      <c r="H354" s="385" t="s">
        <v>1184</v>
      </c>
    </row>
    <row r="355" spans="1:8" ht="15" thickBot="1" x14ac:dyDescent="0.4">
      <c r="A355" t="s">
        <v>2245</v>
      </c>
      <c r="B355" t="s">
        <v>2244</v>
      </c>
      <c r="C355" s="385" t="s">
        <v>2113</v>
      </c>
      <c r="D355" s="385" t="str">
        <f t="shared" si="69"/>
        <v>PAH - PAP-FAB</v>
      </c>
      <c r="E355" s="385" t="s">
        <v>2114</v>
      </c>
      <c r="F355" s="385" t="s">
        <v>2115</v>
      </c>
      <c r="G355" s="388"/>
      <c r="H355" s="385" t="s">
        <v>1184</v>
      </c>
    </row>
    <row r="356" spans="1:8" ht="31.5" customHeight="1" thickBot="1" x14ac:dyDescent="0.4">
      <c r="A356" t="s">
        <v>2245</v>
      </c>
      <c r="B356" t="s">
        <v>2244</v>
      </c>
      <c r="C356" s="385" t="s">
        <v>2116</v>
      </c>
      <c r="D356" s="385" t="str">
        <f t="shared" si="69"/>
        <v>PAH - MRL-CST</v>
      </c>
      <c r="E356" s="385" t="s">
        <v>2117</v>
      </c>
      <c r="F356" s="385" t="s">
        <v>2118</v>
      </c>
      <c r="G356" s="388"/>
      <c r="H356" s="385" t="s">
        <v>245</v>
      </c>
    </row>
    <row r="357" spans="1:8" ht="28.5" customHeight="1" thickBot="1" x14ac:dyDescent="0.4">
      <c r="A357" t="s">
        <v>2245</v>
      </c>
      <c r="B357" t="s">
        <v>2244</v>
      </c>
      <c r="C357" s="385" t="s">
        <v>2119</v>
      </c>
      <c r="D357" s="385" t="str">
        <f t="shared" si="69"/>
        <v>PAH - PAP-SEL</v>
      </c>
      <c r="E357" s="385" t="s">
        <v>2120</v>
      </c>
      <c r="F357" s="385" t="s">
        <v>2121</v>
      </c>
      <c r="G357" s="388"/>
      <c r="H357" s="385" t="s">
        <v>1184</v>
      </c>
    </row>
    <row r="358" spans="1:8" ht="27.75" customHeight="1" thickBot="1" x14ac:dyDescent="0.4">
      <c r="A358" t="s">
        <v>2245</v>
      </c>
      <c r="B358" t="s">
        <v>2244</v>
      </c>
      <c r="C358" s="385" t="s">
        <v>2122</v>
      </c>
      <c r="D358" s="385" t="str">
        <f>A358&amp;C358</f>
        <v>PAH - ADH-FLK</v>
      </c>
      <c r="E358" s="385" t="s">
        <v>2123</v>
      </c>
      <c r="F358" s="385" t="s">
        <v>2124</v>
      </c>
      <c r="G358" s="388"/>
      <c r="H358" s="385" t="s">
        <v>1789</v>
      </c>
    </row>
    <row r="359" spans="1:8" ht="39" customHeight="1" thickBot="1" x14ac:dyDescent="0.4">
      <c r="A359" t="s">
        <v>2245</v>
      </c>
      <c r="B359" t="s">
        <v>2244</v>
      </c>
      <c r="C359" s="385" t="s">
        <v>2125</v>
      </c>
      <c r="D359" s="385" t="str">
        <f t="shared" ref="D359:D361" si="70">A359&amp;C359</f>
        <v>PAH - ADH-CLR</v>
      </c>
      <c r="E359" s="385" t="s">
        <v>2126</v>
      </c>
      <c r="F359" s="385" t="s">
        <v>2127</v>
      </c>
      <c r="G359" s="388"/>
      <c r="H359" s="385" t="s">
        <v>2128</v>
      </c>
    </row>
    <row r="360" spans="1:8" ht="27.75" customHeight="1" thickBot="1" x14ac:dyDescent="0.4">
      <c r="A360" t="s">
        <v>2245</v>
      </c>
      <c r="B360" t="s">
        <v>2244</v>
      </c>
      <c r="C360" s="385" t="s">
        <v>2129</v>
      </c>
      <c r="D360" s="385" t="str">
        <f t="shared" si="70"/>
        <v>PAH - ADH-PRE</v>
      </c>
      <c r="E360" s="385" t="s">
        <v>2130</v>
      </c>
      <c r="F360" s="385" t="s">
        <v>2131</v>
      </c>
      <c r="G360" s="388"/>
      <c r="H360" s="385" t="s">
        <v>2128</v>
      </c>
    </row>
    <row r="361" spans="1:8" ht="25.5" customHeight="1" thickBot="1" x14ac:dyDescent="0.4">
      <c r="A361" t="s">
        <v>2245</v>
      </c>
      <c r="B361" t="s">
        <v>2244</v>
      </c>
      <c r="C361" s="385" t="s">
        <v>2132</v>
      </c>
      <c r="D361" s="385" t="str">
        <f t="shared" si="70"/>
        <v>PAH - ADH-BOR</v>
      </c>
      <c r="E361" s="385" t="s">
        <v>2133</v>
      </c>
      <c r="F361" s="385" t="s">
        <v>2134</v>
      </c>
      <c r="G361" s="388"/>
      <c r="H361" s="385" t="s">
        <v>1069</v>
      </c>
    </row>
    <row r="362" spans="1:8" ht="15" thickBot="1" x14ac:dyDescent="0.4">
      <c r="A362" t="s">
        <v>2245</v>
      </c>
      <c r="B362" t="s">
        <v>2244</v>
      </c>
      <c r="C362" s="385" t="s">
        <v>2135</v>
      </c>
      <c r="D362" s="385" t="str">
        <f>A362&amp;C362</f>
        <v>PAH - PRE-SEL</v>
      </c>
      <c r="E362" s="385" t="s">
        <v>2136</v>
      </c>
      <c r="F362" s="385" t="s">
        <v>2137</v>
      </c>
      <c r="G362" s="388"/>
      <c r="H362" s="385" t="s">
        <v>1617</v>
      </c>
    </row>
    <row r="363" spans="1:8" ht="28.5" thickBot="1" x14ac:dyDescent="0.4">
      <c r="A363" t="s">
        <v>2245</v>
      </c>
      <c r="B363" t="s">
        <v>2244</v>
      </c>
      <c r="C363" s="385" t="s">
        <v>2138</v>
      </c>
      <c r="D363" s="385" t="str">
        <f t="shared" ref="D363:D364" si="71">A363&amp;C363</f>
        <v>PAH - PRE-PRM</v>
      </c>
      <c r="E363" s="385" t="s">
        <v>1731</v>
      </c>
      <c r="F363" s="385" t="s">
        <v>2139</v>
      </c>
      <c r="G363" s="388"/>
      <c r="H363" s="385" t="s">
        <v>1617</v>
      </c>
    </row>
    <row r="364" spans="1:8" ht="15" thickBot="1" x14ac:dyDescent="0.4">
      <c r="A364" t="s">
        <v>2245</v>
      </c>
      <c r="B364" t="s">
        <v>2244</v>
      </c>
      <c r="C364" s="385" t="s">
        <v>2140</v>
      </c>
      <c r="D364" s="385" t="str">
        <f t="shared" si="71"/>
        <v>PAH - PRE-REM</v>
      </c>
      <c r="E364" s="385" t="s">
        <v>2141</v>
      </c>
      <c r="F364" s="385" t="s">
        <v>2142</v>
      </c>
      <c r="G364" s="388"/>
      <c r="H364" s="385" t="s">
        <v>245</v>
      </c>
    </row>
    <row r="365" spans="1:8" ht="27.75" customHeight="1" thickBot="1" x14ac:dyDescent="0.4">
      <c r="A365" t="s">
        <v>2245</v>
      </c>
      <c r="B365" t="s">
        <v>2244</v>
      </c>
      <c r="C365" s="385" t="s">
        <v>2143</v>
      </c>
      <c r="D365" s="385" t="str">
        <f>A365&amp;C365</f>
        <v>PAH - ACC-KNF</v>
      </c>
      <c r="E365" s="385" t="s">
        <v>2144</v>
      </c>
      <c r="F365" s="385" t="s">
        <v>2145</v>
      </c>
      <c r="G365" s="388"/>
      <c r="H365" s="385" t="s">
        <v>1069</v>
      </c>
    </row>
    <row r="366" spans="1:8" ht="36" customHeight="1" thickBot="1" x14ac:dyDescent="0.4">
      <c r="A366" t="s">
        <v>2245</v>
      </c>
      <c r="B366" t="s">
        <v>2244</v>
      </c>
      <c r="C366" s="385" t="s">
        <v>2146</v>
      </c>
      <c r="D366" s="385" t="str">
        <f t="shared" ref="D366:D368" si="72">A366&amp;C366</f>
        <v>PAH - ACC-ROL</v>
      </c>
      <c r="E366" s="385" t="s">
        <v>2147</v>
      </c>
      <c r="F366" s="385" t="s">
        <v>2148</v>
      </c>
      <c r="G366" s="388"/>
      <c r="H366" s="385" t="s">
        <v>1069</v>
      </c>
    </row>
    <row r="367" spans="1:8" ht="38.25" customHeight="1" thickBot="1" x14ac:dyDescent="0.4">
      <c r="A367" t="s">
        <v>2245</v>
      </c>
      <c r="B367" t="s">
        <v>2244</v>
      </c>
      <c r="C367" s="385" t="s">
        <v>2149</v>
      </c>
      <c r="D367" s="385" t="str">
        <f t="shared" si="72"/>
        <v>PAH - ACC-BRU</v>
      </c>
      <c r="E367" s="385" t="s">
        <v>2150</v>
      </c>
      <c r="F367" s="385" t="s">
        <v>2151</v>
      </c>
      <c r="G367" s="388"/>
      <c r="H367" s="385" t="s">
        <v>1069</v>
      </c>
    </row>
    <row r="368" spans="1:8" ht="30" customHeight="1" thickBot="1" x14ac:dyDescent="0.4">
      <c r="A368" t="s">
        <v>2245</v>
      </c>
      <c r="B368" t="s">
        <v>2244</v>
      </c>
      <c r="C368" s="385" t="s">
        <v>2152</v>
      </c>
      <c r="D368" s="385" t="str">
        <f t="shared" si="72"/>
        <v>PAH - ACC-CHL</v>
      </c>
      <c r="E368" s="385" t="s">
        <v>2153</v>
      </c>
      <c r="F368" s="385" t="s">
        <v>2154</v>
      </c>
      <c r="G368" s="388"/>
      <c r="H368" s="385" t="s">
        <v>1069</v>
      </c>
    </row>
    <row r="369" spans="1:8" ht="30.75" customHeight="1" thickBot="1" x14ac:dyDescent="0.4">
      <c r="A369" t="s">
        <v>2155</v>
      </c>
      <c r="B369" t="s">
        <v>2246</v>
      </c>
      <c r="C369" s="385" t="s">
        <v>2156</v>
      </c>
      <c r="D369" s="385" t="str">
        <f>A369&amp;C369</f>
        <v>EXT -LND-SOIL-TOP</v>
      </c>
      <c r="E369" s="385" t="s">
        <v>2157</v>
      </c>
      <c r="F369" s="385" t="s">
        <v>2158</v>
      </c>
      <c r="G369" s="388"/>
      <c r="H369" s="385" t="s">
        <v>587</v>
      </c>
    </row>
    <row r="370" spans="1:8" ht="15" thickBot="1" x14ac:dyDescent="0.4">
      <c r="A370" t="s">
        <v>2155</v>
      </c>
      <c r="B370" t="s">
        <v>2246</v>
      </c>
      <c r="C370" s="385" t="s">
        <v>2159</v>
      </c>
      <c r="D370" s="385" t="str">
        <f t="shared" ref="D370:D374" si="73">A370&amp;C370</f>
        <v>EXT -LND-SOIL-CMP</v>
      </c>
      <c r="E370" s="385" t="s">
        <v>2160</v>
      </c>
      <c r="F370" s="385" t="s">
        <v>2161</v>
      </c>
      <c r="G370" s="388"/>
      <c r="H370" s="385" t="s">
        <v>2162</v>
      </c>
    </row>
    <row r="371" spans="1:8" ht="15" thickBot="1" x14ac:dyDescent="0.4">
      <c r="A371" t="s">
        <v>2155</v>
      </c>
      <c r="B371" t="s">
        <v>2246</v>
      </c>
      <c r="C371" s="385" t="s">
        <v>2163</v>
      </c>
      <c r="D371" s="385" t="str">
        <f t="shared" si="73"/>
        <v>EXT -LND-FER-LAN</v>
      </c>
      <c r="E371" s="385" t="s">
        <v>2164</v>
      </c>
      <c r="F371" s="385" t="s">
        <v>2165</v>
      </c>
      <c r="G371" s="388"/>
      <c r="H371" s="385" t="s">
        <v>1095</v>
      </c>
    </row>
    <row r="372" spans="1:8" ht="15" thickBot="1" x14ac:dyDescent="0.4">
      <c r="A372" t="s">
        <v>2155</v>
      </c>
      <c r="B372" t="s">
        <v>2246</v>
      </c>
      <c r="C372" s="385" t="s">
        <v>2166</v>
      </c>
      <c r="D372" s="385" t="str">
        <f t="shared" si="73"/>
        <v>EXT -LND-GRS-KIK</v>
      </c>
      <c r="E372" s="385" t="s">
        <v>2167</v>
      </c>
      <c r="F372" s="385" t="s">
        <v>2168</v>
      </c>
      <c r="G372" s="388"/>
      <c r="H372" s="385" t="s">
        <v>245</v>
      </c>
    </row>
    <row r="373" spans="1:8" ht="15" thickBot="1" x14ac:dyDescent="0.4">
      <c r="A373" t="s">
        <v>2155</v>
      </c>
      <c r="B373" t="s">
        <v>2246</v>
      </c>
      <c r="C373" s="385" t="s">
        <v>2169</v>
      </c>
      <c r="D373" s="385" t="str">
        <f t="shared" si="73"/>
        <v>EXT -LND-GRS-BUF</v>
      </c>
      <c r="E373" s="385" t="s">
        <v>2170</v>
      </c>
      <c r="F373" s="385" t="s">
        <v>2171</v>
      </c>
      <c r="G373" s="388"/>
      <c r="H373" s="385" t="s">
        <v>245</v>
      </c>
    </row>
    <row r="374" spans="1:8" ht="15" thickBot="1" x14ac:dyDescent="0.4">
      <c r="A374" t="s">
        <v>2155</v>
      </c>
      <c r="B374" t="s">
        <v>2246</v>
      </c>
      <c r="C374" s="385" t="s">
        <v>2172</v>
      </c>
      <c r="D374" s="385" t="str">
        <f t="shared" si="73"/>
        <v>EXT -LND-GRS-LM</v>
      </c>
      <c r="E374" s="385" t="s">
        <v>2173</v>
      </c>
      <c r="F374" s="385" t="s">
        <v>2174</v>
      </c>
      <c r="G374" s="388"/>
      <c r="H374" s="385" t="s">
        <v>245</v>
      </c>
    </row>
    <row r="375" spans="1:8" ht="15" thickBot="1" x14ac:dyDescent="0.4">
      <c r="A375" t="s">
        <v>2155</v>
      </c>
      <c r="B375" t="s">
        <v>2246</v>
      </c>
      <c r="C375" s="385" t="s">
        <v>2175</v>
      </c>
      <c r="D375" s="385" t="str">
        <f>A375&amp;C375</f>
        <v>EXT -STAR-RES</v>
      </c>
      <c r="E375" s="385" t="s">
        <v>2176</v>
      </c>
      <c r="F375" s="385" t="s">
        <v>2177</v>
      </c>
      <c r="G375" s="388"/>
      <c r="H375" s="385" t="s">
        <v>245</v>
      </c>
    </row>
    <row r="376" spans="1:8" ht="15" thickBot="1" x14ac:dyDescent="0.4">
      <c r="A376" t="s">
        <v>2155</v>
      </c>
      <c r="B376" t="s">
        <v>2246</v>
      </c>
      <c r="C376" s="385" t="s">
        <v>2178</v>
      </c>
      <c r="D376" s="385" t="str">
        <f t="shared" ref="D376:D380" si="74">A376&amp;C376</f>
        <v>EXT -STAR-COM</v>
      </c>
      <c r="E376" s="385" t="s">
        <v>2179</v>
      </c>
      <c r="F376" s="385" t="s">
        <v>2180</v>
      </c>
      <c r="G376" s="388"/>
      <c r="H376" s="385" t="s">
        <v>245</v>
      </c>
    </row>
    <row r="377" spans="1:8" ht="15" thickBot="1" x14ac:dyDescent="0.4">
      <c r="A377" t="s">
        <v>2155</v>
      </c>
      <c r="B377" t="s">
        <v>2246</v>
      </c>
      <c r="C377" s="385" t="s">
        <v>2181</v>
      </c>
      <c r="D377" s="385" t="str">
        <f t="shared" si="74"/>
        <v>EXT -SGRV-BAS</v>
      </c>
      <c r="E377" s="385" t="s">
        <v>2182</v>
      </c>
      <c r="F377" s="385" t="s">
        <v>2183</v>
      </c>
      <c r="G377" s="388"/>
      <c r="H377" s="385" t="s">
        <v>587</v>
      </c>
    </row>
    <row r="378" spans="1:8" ht="15" thickBot="1" x14ac:dyDescent="0.4">
      <c r="A378" t="s">
        <v>2155</v>
      </c>
      <c r="B378" t="s">
        <v>2246</v>
      </c>
      <c r="C378" s="385" t="s">
        <v>2184</v>
      </c>
      <c r="D378" s="385" t="str">
        <f t="shared" si="74"/>
        <v>EXT -SKER-FIG8</v>
      </c>
      <c r="E378" s="385" t="s">
        <v>2185</v>
      </c>
      <c r="F378" s="385" t="s">
        <v>2186</v>
      </c>
      <c r="G378" s="388"/>
      <c r="H378" s="385" t="s">
        <v>2099</v>
      </c>
    </row>
    <row r="379" spans="1:8" ht="15" thickBot="1" x14ac:dyDescent="0.4">
      <c r="A379" t="s">
        <v>2155</v>
      </c>
      <c r="B379" t="s">
        <v>2246</v>
      </c>
      <c r="C379" s="385" t="s">
        <v>2187</v>
      </c>
      <c r="D379" s="385" t="str">
        <f t="shared" si="74"/>
        <v>EXT -SKER-BK4</v>
      </c>
      <c r="E379" s="385" t="s">
        <v>2188</v>
      </c>
      <c r="F379" s="385" t="s">
        <v>2189</v>
      </c>
      <c r="G379" s="388"/>
      <c r="H379" s="385" t="s">
        <v>2099</v>
      </c>
    </row>
    <row r="380" spans="1:8" ht="15" thickBot="1" x14ac:dyDescent="0.4">
      <c r="A380" t="s">
        <v>2155</v>
      </c>
      <c r="B380" t="s">
        <v>2246</v>
      </c>
      <c r="C380" s="385" t="s">
        <v>2190</v>
      </c>
      <c r="D380" s="385" t="str">
        <f t="shared" si="74"/>
        <v>EXT -SPAV-BV</v>
      </c>
      <c r="E380" s="385" t="s">
        <v>2191</v>
      </c>
      <c r="F380" s="385" t="s">
        <v>2192</v>
      </c>
      <c r="G380" s="388"/>
      <c r="H380" s="385" t="s">
        <v>2193</v>
      </c>
    </row>
    <row r="381" spans="1:8" ht="15" thickBot="1" x14ac:dyDescent="0.4">
      <c r="A381" t="s">
        <v>2155</v>
      </c>
      <c r="B381" t="s">
        <v>2246</v>
      </c>
      <c r="C381" s="385" t="s">
        <v>2194</v>
      </c>
      <c r="D381" s="385" t="str">
        <f>A381&amp;C381</f>
        <v>EXT -FEN-CLV-1.8</v>
      </c>
      <c r="E381" s="385" t="s">
        <v>2195</v>
      </c>
      <c r="F381" s="385" t="s">
        <v>2196</v>
      </c>
      <c r="G381" s="388"/>
      <c r="H381" s="385" t="s">
        <v>1058</v>
      </c>
    </row>
    <row r="382" spans="1:8" ht="15" thickBot="1" x14ac:dyDescent="0.4">
      <c r="A382" t="s">
        <v>2155</v>
      </c>
      <c r="B382" t="s">
        <v>2246</v>
      </c>
      <c r="C382" s="385" t="s">
        <v>2197</v>
      </c>
      <c r="D382" s="385" t="str">
        <f t="shared" ref="D382:D385" si="75">A382&amp;C382</f>
        <v>EXT -FEN-PAL-1.8</v>
      </c>
      <c r="E382" s="385" t="s">
        <v>2198</v>
      </c>
      <c r="F382" s="385" t="s">
        <v>2199</v>
      </c>
      <c r="G382" s="388"/>
      <c r="H382" s="385" t="s">
        <v>1058</v>
      </c>
    </row>
    <row r="383" spans="1:8" ht="15" thickBot="1" x14ac:dyDescent="0.4">
      <c r="A383" t="s">
        <v>2155</v>
      </c>
      <c r="B383" t="s">
        <v>2246</v>
      </c>
      <c r="C383" s="385" t="s">
        <v>2200</v>
      </c>
      <c r="D383" s="385" t="str">
        <f t="shared" si="75"/>
        <v>EXT -FEN-PAL-PVC</v>
      </c>
      <c r="E383" s="385" t="s">
        <v>2201</v>
      </c>
      <c r="F383" s="385" t="s">
        <v>2202</v>
      </c>
      <c r="G383" s="388"/>
      <c r="H383" s="385" t="s">
        <v>1058</v>
      </c>
    </row>
    <row r="384" spans="1:8" ht="15" thickBot="1" x14ac:dyDescent="0.4">
      <c r="A384" t="s">
        <v>2155</v>
      </c>
      <c r="B384" t="s">
        <v>2246</v>
      </c>
      <c r="C384" s="385" t="s">
        <v>2203</v>
      </c>
      <c r="D384" s="385" t="str">
        <f t="shared" si="75"/>
        <v>EXT -FEN-ELE-6W</v>
      </c>
      <c r="E384" s="385" t="s">
        <v>2204</v>
      </c>
      <c r="F384" s="385" t="s">
        <v>2205</v>
      </c>
      <c r="G384" s="388"/>
      <c r="H384" s="385" t="s">
        <v>1058</v>
      </c>
    </row>
    <row r="385" spans="1:8" ht="15" thickBot="1" x14ac:dyDescent="0.4">
      <c r="A385" t="s">
        <v>2155</v>
      </c>
      <c r="B385" t="s">
        <v>2246</v>
      </c>
      <c r="C385" s="385" t="s">
        <v>2206</v>
      </c>
      <c r="D385" s="385" t="str">
        <f t="shared" si="75"/>
        <v>EXT -FEN-RAZ-CON</v>
      </c>
      <c r="E385" s="385" t="s">
        <v>2207</v>
      </c>
      <c r="F385" s="385" t="s">
        <v>2208</v>
      </c>
      <c r="G385" s="388"/>
      <c r="H385" s="385" t="s">
        <v>1058</v>
      </c>
    </row>
    <row r="386" spans="1:8" ht="33" customHeight="1" thickBot="1" x14ac:dyDescent="0.4">
      <c r="A386" t="s">
        <v>2155</v>
      </c>
      <c r="B386" t="s">
        <v>2246</v>
      </c>
      <c r="C386" s="385" t="s">
        <v>2209</v>
      </c>
      <c r="D386" s="385" t="str">
        <f>A386&amp;C386</f>
        <v>EXT -SUN-WSH-GAL</v>
      </c>
      <c r="E386" s="385" t="s">
        <v>2210</v>
      </c>
      <c r="F386" s="385" t="s">
        <v>2211</v>
      </c>
      <c r="G386" s="388"/>
      <c r="H386" s="385" t="s">
        <v>1069</v>
      </c>
    </row>
    <row r="387" spans="1:8" ht="15" thickBot="1" x14ac:dyDescent="0.4">
      <c r="A387" t="s">
        <v>2155</v>
      </c>
      <c r="B387" t="s">
        <v>2246</v>
      </c>
      <c r="C387" s="385" t="s">
        <v>2212</v>
      </c>
      <c r="D387" s="385" t="str">
        <f t="shared" ref="D387:D389" si="76">A387&amp;C387</f>
        <v>EXT -SUN-WSH-FLD</v>
      </c>
      <c r="E387" s="385" t="s">
        <v>2213</v>
      </c>
      <c r="F387" s="385" t="s">
        <v>2214</v>
      </c>
      <c r="G387" s="388"/>
      <c r="H387" s="385" t="s">
        <v>1069</v>
      </c>
    </row>
    <row r="388" spans="1:8" ht="15" thickBot="1" x14ac:dyDescent="0.4">
      <c r="A388" t="s">
        <v>2155</v>
      </c>
      <c r="B388" t="s">
        <v>2246</v>
      </c>
      <c r="C388" s="385" t="s">
        <v>2215</v>
      </c>
      <c r="D388" s="385" t="str">
        <f t="shared" si="76"/>
        <v>EXT -SUN-BOL-STL</v>
      </c>
      <c r="E388" s="385" t="s">
        <v>2216</v>
      </c>
      <c r="F388" s="385" t="s">
        <v>2217</v>
      </c>
      <c r="G388" s="388"/>
      <c r="H388" s="385" t="s">
        <v>1069</v>
      </c>
    </row>
    <row r="389" spans="1:8" ht="15" thickBot="1" x14ac:dyDescent="0.4">
      <c r="A389" t="s">
        <v>2155</v>
      </c>
      <c r="B389" t="s">
        <v>2246</v>
      </c>
      <c r="C389" s="385" t="s">
        <v>2218</v>
      </c>
      <c r="D389" s="385" t="str">
        <f t="shared" si="76"/>
        <v>EXT -SUN-DRA-GUL</v>
      </c>
      <c r="E389" s="385" t="s">
        <v>2219</v>
      </c>
      <c r="F389" s="385" t="s">
        <v>2220</v>
      </c>
      <c r="G389" s="388"/>
      <c r="H389" s="385" t="s">
        <v>1069</v>
      </c>
    </row>
  </sheetData>
  <autoFilter ref="A1:H389" xr:uid="{0CDAB485-016B-49D9-B0C9-14FD9F23BB0F}"/>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C2C6242C-3ACD-46BF-AF58-9CDA1D39C8A7}">
          <x14:formula1>
            <xm:f>'Trade Code'!$C$2:$C$23</xm:f>
          </x14:formula1>
          <xm:sqref>B2:B1048576</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4</vt:i4>
      </vt:variant>
    </vt:vector>
  </HeadingPairs>
  <TitlesOfParts>
    <vt:vector size="10" baseType="lpstr">
      <vt:lpstr>Baseline BoQ</vt:lpstr>
      <vt:lpstr>Output BoQ</vt:lpstr>
      <vt:lpstr>Trade Code</vt:lpstr>
      <vt:lpstr>Account Code</vt:lpstr>
      <vt:lpstr>Specification Code</vt:lpstr>
      <vt:lpstr>Materials Code</vt:lpstr>
      <vt:lpstr>'Baseline BoQ'!Print_Area</vt:lpstr>
      <vt:lpstr>'Output BoQ'!Print_Area</vt:lpstr>
      <vt:lpstr>'Baseline BoQ'!Print_Titles</vt:lpstr>
      <vt:lpstr>'Output BoQ'!Print_Titles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Newton Baloyi</dc:creator>
  <cp:lastModifiedBy>Newton Baloyi</cp:lastModifiedBy>
  <dcterms:created xsi:type="dcterms:W3CDTF">2026-02-21T04:05:17Z</dcterms:created>
  <dcterms:modified xsi:type="dcterms:W3CDTF">2026-02-21T05:41:37Z</dcterms:modified>
</cp:coreProperties>
</file>